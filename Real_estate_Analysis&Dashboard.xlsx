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E:\excel\"/>
    </mc:Choice>
  </mc:AlternateContent>
  <xr:revisionPtr revIDLastSave="0" documentId="13_ncr:1_{BCA9D56B-5EC0-4F1B-989C-7D1978BA0333}" xr6:coauthVersionLast="47" xr6:coauthVersionMax="47" xr10:uidLastSave="{00000000-0000-0000-0000-000000000000}"/>
  <bookViews>
    <workbookView xWindow="-110" yWindow="-110" windowWidth="19420" windowHeight="10300" activeTab="1" xr2:uid="{242B968B-1F0D-4426-975D-EF8FBFCEFF04}"/>
  </bookViews>
  <sheets>
    <sheet name="Data" sheetId="2" r:id="rId1"/>
    <sheet name="DashBoard" sheetId="9" r:id="rId2"/>
    <sheet name="kpis" sheetId="1" r:id="rId3"/>
    <sheet name="Monthly Sales Trend" sheetId="10" state="hidden" r:id="rId4"/>
    <sheet name=" Agent Performance" sheetId="11" state="hidden" r:id="rId5"/>
    <sheet name="Revenue by City" sheetId="4" state="hidden" r:id="rId6"/>
    <sheet name="Revenue by Property Type" sheetId="7" state="hidden" r:id="rId7"/>
  </sheets>
  <definedNames>
    <definedName name="Data">Sheet1[]</definedName>
    <definedName name="ExternalData_1" localSheetId="0" hidden="1">Data!$A$1:$T$1501</definedName>
    <definedName name="Slicer_Agent_Name">#N/A</definedName>
    <definedName name="Slicer_Building_Type">#N/A</definedName>
    <definedName name="Slicer_Location">#N/A</definedName>
  </definedNames>
  <calcPr calcId="191029"/>
  <pivotCaches>
    <pivotCache cacheId="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B6" i="1"/>
  <c r="B10" i="1" s="1"/>
  <c r="B4"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0497B7-6852-448D-9FBE-0288724E9DC4}"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<sst xmlns="http://schemas.openxmlformats.org/spreadsheetml/2006/main" count="12071" uniqueCount="3588">
  <si>
    <t>Property ID</t>
  </si>
  <si>
    <t>Property Name</t>
  </si>
  <si>
    <t>Location</t>
  </si>
  <si>
    <t>Type</t>
  </si>
  <si>
    <t>Price</t>
  </si>
  <si>
    <t>Date Listed</t>
  </si>
  <si>
    <t>Date Sold</t>
  </si>
  <si>
    <t>Sale Price</t>
  </si>
  <si>
    <t>Sq Ft</t>
  </si>
  <si>
    <t>Bedrooms</t>
  </si>
  <si>
    <t>Bathrooms</t>
  </si>
  <si>
    <t>Building Type</t>
  </si>
  <si>
    <t>Year Built</t>
  </si>
  <si>
    <t>Floor Level</t>
  </si>
  <si>
    <t>Parking Spaces</t>
  </si>
  <si>
    <t>Agent Name</t>
  </si>
  <si>
    <t>Agent Contact Info</t>
  </si>
  <si>
    <t>Property Status</t>
  </si>
  <si>
    <t>Property Features</t>
  </si>
  <si>
    <t>Property 1001</t>
  </si>
  <si>
    <t>Houston</t>
  </si>
  <si>
    <t>House</t>
  </si>
  <si>
    <t>Detached</t>
  </si>
  <si>
    <t>Jane Smith</t>
  </si>
  <si>
    <t>555-3573</t>
  </si>
  <si>
    <t>Sold</t>
  </si>
  <si>
    <t>Sauna|Elevator|Garden|Garage</t>
  </si>
  <si>
    <t>Property 1002</t>
  </si>
  <si>
    <t>Austin</t>
  </si>
  <si>
    <t>Apartment</t>
  </si>
  <si>
    <t>Ranch</t>
  </si>
  <si>
    <t>Laura Taylor</t>
  </si>
  <si>
    <t>555-8240</t>
  </si>
  <si>
    <t>Available</t>
  </si>
  <si>
    <t>Sauna|Elevator|Garden|Gym</t>
  </si>
  <si>
    <t>Property 1003</t>
  </si>
  <si>
    <t>Dallas</t>
  </si>
  <si>
    <t>Office Building</t>
  </si>
  <si>
    <t>Kevin Martinez</t>
  </si>
  <si>
    <t>555-7674</t>
  </si>
  <si>
    <t>Garden</t>
  </si>
  <si>
    <t>Property 1004</t>
  </si>
  <si>
    <t>Commercial</t>
  </si>
  <si>
    <t>Sarah Johnson</t>
  </si>
  <si>
    <t>555-7018</t>
  </si>
  <si>
    <t>Elevator|Barn</t>
  </si>
  <si>
    <t>Property 1005</t>
  </si>
  <si>
    <t>San Antonio</t>
  </si>
  <si>
    <t>555-3385</t>
  </si>
  <si>
    <t>Pool|Elevator|Gym|Sauna</t>
  </si>
  <si>
    <t>Property 1006</t>
  </si>
  <si>
    <t>Fort Worth</t>
  </si>
  <si>
    <t>555-9230</t>
  </si>
  <si>
    <t>Barn|Garden|Gym|Fireplace</t>
  </si>
  <si>
    <t>Property 1007</t>
  </si>
  <si>
    <t>555-8619</t>
  </si>
  <si>
    <t>Gym|Elevator</t>
  </si>
  <si>
    <t>Property 1008</t>
  </si>
  <si>
    <t>Robert Black</t>
  </si>
  <si>
    <t>555-9358</t>
  </si>
  <si>
    <t>Garden|Garage|Gym|Sauna</t>
  </si>
  <si>
    <t>Property 1009</t>
  </si>
  <si>
    <t>Condo</t>
  </si>
  <si>
    <t>555-7214</t>
  </si>
  <si>
    <t>Garden|Barn|Pool|Sauna</t>
  </si>
  <si>
    <t>Property 1010</t>
  </si>
  <si>
    <t>555-7305</t>
  </si>
  <si>
    <t>Garage|Elevator|Garden</t>
  </si>
  <si>
    <t>Property 1011</t>
  </si>
  <si>
    <t>555-3196</t>
  </si>
  <si>
    <t>Elevator</t>
  </si>
  <si>
    <t>Property 1012</t>
  </si>
  <si>
    <t>555-6593</t>
  </si>
  <si>
    <t>Sauna|Garden|Barn</t>
  </si>
  <si>
    <t>Property 1013</t>
  </si>
  <si>
    <t>Michael Green</t>
  </si>
  <si>
    <t>555-7158</t>
  </si>
  <si>
    <t>Gym</t>
  </si>
  <si>
    <t>Property 1014</t>
  </si>
  <si>
    <t>555-9108</t>
  </si>
  <si>
    <t>Sauna|Garage|Barn|Pool</t>
  </si>
  <si>
    <t>Property 1015</t>
  </si>
  <si>
    <t>555-7635</t>
  </si>
  <si>
    <t>Property 1016</t>
  </si>
  <si>
    <t>555-1294</t>
  </si>
  <si>
    <t>Property 1017</t>
  </si>
  <si>
    <t>Emily Brown</t>
  </si>
  <si>
    <t>555-7889</t>
  </si>
  <si>
    <t>Garage|Sauna</t>
  </si>
  <si>
    <t>Property 1018</t>
  </si>
  <si>
    <t>555-2411</t>
  </si>
  <si>
    <t>Pool</t>
  </si>
  <si>
    <t>Property 1019</t>
  </si>
  <si>
    <t>Alice White</t>
  </si>
  <si>
    <t>555-2747</t>
  </si>
  <si>
    <t>Property 1020</t>
  </si>
  <si>
    <t>555-6781</t>
  </si>
  <si>
    <t>Garage|Pool|Garden</t>
  </si>
  <si>
    <t>Property 1021</t>
  </si>
  <si>
    <t>555-7037</t>
  </si>
  <si>
    <t>Barn|Gym|Sauna</t>
  </si>
  <si>
    <t>Property 1022</t>
  </si>
  <si>
    <t>555-6013</t>
  </si>
  <si>
    <t>Property 1023</t>
  </si>
  <si>
    <t>555-9482</t>
  </si>
  <si>
    <t>Property 1024</t>
  </si>
  <si>
    <t>555-2205</t>
  </si>
  <si>
    <t>Barn|Fireplace</t>
  </si>
  <si>
    <t>Property 1025</t>
  </si>
  <si>
    <t>555-7126</t>
  </si>
  <si>
    <t>Sauna|Garage</t>
  </si>
  <si>
    <t>Property 1026</t>
  </si>
  <si>
    <t>555-3580</t>
  </si>
  <si>
    <t>Garage|Fireplace|Sauna|Garden</t>
  </si>
  <si>
    <t>Property 1027</t>
  </si>
  <si>
    <t>555-1656</t>
  </si>
  <si>
    <t>Fireplace|Pool</t>
  </si>
  <si>
    <t>Property 1028</t>
  </si>
  <si>
    <t>555-5664</t>
  </si>
  <si>
    <t>Garden|Barn|Gym|Fireplace</t>
  </si>
  <si>
    <t>Property 1029</t>
  </si>
  <si>
    <t>555-6489</t>
  </si>
  <si>
    <t>Pool|Fireplace</t>
  </si>
  <si>
    <t>Property 1030</t>
  </si>
  <si>
    <t>555-7329</t>
  </si>
  <si>
    <t>Gym|Garage|Elevator</t>
  </si>
  <si>
    <t>Property 1031</t>
  </si>
  <si>
    <t>555-1302</t>
  </si>
  <si>
    <t>Barn</t>
  </si>
  <si>
    <t>Property 1032</t>
  </si>
  <si>
    <t>555-6018</t>
  </si>
  <si>
    <t>Property 1033</t>
  </si>
  <si>
    <t>David Lee</t>
  </si>
  <si>
    <t>555-1080</t>
  </si>
  <si>
    <t>Garden|Gym|Barn|Fireplace</t>
  </si>
  <si>
    <t>Property 1034</t>
  </si>
  <si>
    <t>555-7689</t>
  </si>
  <si>
    <t>Fireplace</t>
  </si>
  <si>
    <t>Property 1035</t>
  </si>
  <si>
    <t>555-9330</t>
  </si>
  <si>
    <t>Property 1036</t>
  </si>
  <si>
    <t>555-4114</t>
  </si>
  <si>
    <t>Sauna|Gym|Barn|Fireplace</t>
  </si>
  <si>
    <t>Property 1037</t>
  </si>
  <si>
    <t>555-9836</t>
  </si>
  <si>
    <t>Barn|Sauna|Gym</t>
  </si>
  <si>
    <t>Property 1038</t>
  </si>
  <si>
    <t>555-5542</t>
  </si>
  <si>
    <t>Property 1039</t>
  </si>
  <si>
    <t>555-4759</t>
  </si>
  <si>
    <t>Property 1040</t>
  </si>
  <si>
    <t>555-9405</t>
  </si>
  <si>
    <t>Sauna|Fireplace</t>
  </si>
  <si>
    <t>Property 1041</t>
  </si>
  <si>
    <t>555-3061</t>
  </si>
  <si>
    <t>Pool|Fireplace|Elevator|Gym</t>
  </si>
  <si>
    <t>Property 1042</t>
  </si>
  <si>
    <t>555-2235</t>
  </si>
  <si>
    <t>Garden|Gym</t>
  </si>
  <si>
    <t>Property 1043</t>
  </si>
  <si>
    <t>555-3041</t>
  </si>
  <si>
    <t>Property 1044</t>
  </si>
  <si>
    <t>John Doe</t>
  </si>
  <si>
    <t>555-5353</t>
  </si>
  <si>
    <t>Sauna|Fireplace|Elevator</t>
  </si>
  <si>
    <t>Property 1045</t>
  </si>
  <si>
    <t>Pool|Garage|Gym</t>
  </si>
  <si>
    <t>Property 1046</t>
  </si>
  <si>
    <t>555-8480</t>
  </si>
  <si>
    <t>Garden|Garage|Gym</t>
  </si>
  <si>
    <t>Property 1047</t>
  </si>
  <si>
    <t>555-5715</t>
  </si>
  <si>
    <t>Elevator|Garage</t>
  </si>
  <si>
    <t>Property 1048</t>
  </si>
  <si>
    <t>555-4194</t>
  </si>
  <si>
    <t>Property 1049</t>
  </si>
  <si>
    <t>555-3538</t>
  </si>
  <si>
    <t>Fireplace|Sauna|Garage|Pool</t>
  </si>
  <si>
    <t>Property 1050</t>
  </si>
  <si>
    <t>555-4328</t>
  </si>
  <si>
    <t>Sauna</t>
  </si>
  <si>
    <t>Property 1051</t>
  </si>
  <si>
    <t>555-9899</t>
  </si>
  <si>
    <t>Garage</t>
  </si>
  <si>
    <t>Property 1052</t>
  </si>
  <si>
    <t>555-5035</t>
  </si>
  <si>
    <t>Sauna|Barn|Gym</t>
  </si>
  <si>
    <t>Property 1053</t>
  </si>
  <si>
    <t>555-1033</t>
  </si>
  <si>
    <t>Property 1054</t>
  </si>
  <si>
    <t>555-5550</t>
  </si>
  <si>
    <t>Fireplace|Garage|Barn</t>
  </si>
  <si>
    <t>Property 1055</t>
  </si>
  <si>
    <t>555-5508</t>
  </si>
  <si>
    <t>Garden|Barn|Fireplace</t>
  </si>
  <si>
    <t>Property 1056</t>
  </si>
  <si>
    <t>555-7024</t>
  </si>
  <si>
    <t>Property 1057</t>
  </si>
  <si>
    <t>555-1536</t>
  </si>
  <si>
    <t>Property 1058</t>
  </si>
  <si>
    <t>555-3231</t>
  </si>
  <si>
    <t>Pool|Sauna|Garden</t>
  </si>
  <si>
    <t>Property 1059</t>
  </si>
  <si>
    <t>555-1260</t>
  </si>
  <si>
    <t>Property 1060</t>
  </si>
  <si>
    <t>555-7914</t>
  </si>
  <si>
    <t>Property 1061</t>
  </si>
  <si>
    <t>555-1407</t>
  </si>
  <si>
    <t>Pool|Gym|Fireplace|Elevator</t>
  </si>
  <si>
    <t>Property 1062</t>
  </si>
  <si>
    <t>555-6955</t>
  </si>
  <si>
    <t>Property 1063</t>
  </si>
  <si>
    <t>555-6348</t>
  </si>
  <si>
    <t>Barn|Fireplace|Garage|Garden</t>
  </si>
  <si>
    <t>Property 1064</t>
  </si>
  <si>
    <t>555-9060</t>
  </si>
  <si>
    <t>Fireplace|Gym|Pool|Sauna</t>
  </si>
  <si>
    <t>Property 1065</t>
  </si>
  <si>
    <t>555-4522</t>
  </si>
  <si>
    <t>Barn|Fireplace|Sauna|Garden</t>
  </si>
  <si>
    <t>Property 1066</t>
  </si>
  <si>
    <t>555-5731</t>
  </si>
  <si>
    <t>Garden|Elevator|Pool|Barn</t>
  </si>
  <si>
    <t>Property 1067</t>
  </si>
  <si>
    <t>555-4112</t>
  </si>
  <si>
    <t>Property 1068</t>
  </si>
  <si>
    <t>555-2626</t>
  </si>
  <si>
    <t>Barn|Pool|Gym|Sauna</t>
  </si>
  <si>
    <t>Property 1069</t>
  </si>
  <si>
    <t>555-9357</t>
  </si>
  <si>
    <t>Garden|Sauna</t>
  </si>
  <si>
    <t>Property 1070</t>
  </si>
  <si>
    <t>555-8491</t>
  </si>
  <si>
    <t>Elevator|Sauna|Gym|Garage</t>
  </si>
  <si>
    <t>Property 1071</t>
  </si>
  <si>
    <t>555-9688</t>
  </si>
  <si>
    <t>Gym|Garden</t>
  </si>
  <si>
    <t>Property 1072</t>
  </si>
  <si>
    <t>555-7465</t>
  </si>
  <si>
    <t>Property 1073</t>
  </si>
  <si>
    <t>555-1909</t>
  </si>
  <si>
    <t>Garden|Gym|Elevator</t>
  </si>
  <si>
    <t>Property 1074</t>
  </si>
  <si>
    <t>555-7208</t>
  </si>
  <si>
    <t>Property 1075</t>
  </si>
  <si>
    <t>555-4009</t>
  </si>
  <si>
    <t>Property 1076</t>
  </si>
  <si>
    <t>555-2303</t>
  </si>
  <si>
    <t>Property 1077</t>
  </si>
  <si>
    <t>555-7694</t>
  </si>
  <si>
    <t>Garage|Garden|Gym|Barn</t>
  </si>
  <si>
    <t>Property 1078</t>
  </si>
  <si>
    <t>555-4031</t>
  </si>
  <si>
    <t>Garage|Elevator</t>
  </si>
  <si>
    <t>Property 1079</t>
  </si>
  <si>
    <t>555-2741</t>
  </si>
  <si>
    <t>Garden|Pool</t>
  </si>
  <si>
    <t>Property 1080</t>
  </si>
  <si>
    <t>555-4820</t>
  </si>
  <si>
    <t>Pool|Barn|Garden</t>
  </si>
  <si>
    <t>Property 1081</t>
  </si>
  <si>
    <t>555-4794</t>
  </si>
  <si>
    <t>Gym|Sauna|Barn</t>
  </si>
  <si>
    <t>Property 1082</t>
  </si>
  <si>
    <t>555-7160</t>
  </si>
  <si>
    <t>Property 1083</t>
  </si>
  <si>
    <t>555-4249</t>
  </si>
  <si>
    <t>Gym|Sauna|Fireplace|Elevator</t>
  </si>
  <si>
    <t>Property 1084</t>
  </si>
  <si>
    <t>555-6806</t>
  </si>
  <si>
    <t>Barn|Garage|Garden|Gym</t>
  </si>
  <si>
    <t>Property 1085</t>
  </si>
  <si>
    <t>555-3484</t>
  </si>
  <si>
    <t>Property 1086</t>
  </si>
  <si>
    <t>555-3743</t>
  </si>
  <si>
    <t>Garage|Gym</t>
  </si>
  <si>
    <t>Property 1087</t>
  </si>
  <si>
    <t>555-8054</t>
  </si>
  <si>
    <t>Garage|Sauna|Fireplace</t>
  </si>
  <si>
    <t>Property 1088</t>
  </si>
  <si>
    <t>555-5704</t>
  </si>
  <si>
    <t>Pool|Fireplace|Gym|Sauna</t>
  </si>
  <si>
    <t>Property 1089</t>
  </si>
  <si>
    <t>555-5069</t>
  </si>
  <si>
    <t>Elevator|Fireplace</t>
  </si>
  <si>
    <t>Property 1090</t>
  </si>
  <si>
    <t>555-2507</t>
  </si>
  <si>
    <t>Barn|Gym</t>
  </si>
  <si>
    <t>Property 1091</t>
  </si>
  <si>
    <t>555-8682</t>
  </si>
  <si>
    <t>Property 1092</t>
  </si>
  <si>
    <t>555-1613</t>
  </si>
  <si>
    <t>Pool|Barn|Gym</t>
  </si>
  <si>
    <t>Property 1093</t>
  </si>
  <si>
    <t>555-5048</t>
  </si>
  <si>
    <t>Property 1094</t>
  </si>
  <si>
    <t>555-4756</t>
  </si>
  <si>
    <t>Property 1095</t>
  </si>
  <si>
    <t>555-2085</t>
  </si>
  <si>
    <t>Property 1096</t>
  </si>
  <si>
    <t>555-3934</t>
  </si>
  <si>
    <t>Garage|Garden|Pool|Barn</t>
  </si>
  <si>
    <t>Property 1097</t>
  </si>
  <si>
    <t>555-9053</t>
  </si>
  <si>
    <t>Garage|Fireplace|Gym</t>
  </si>
  <si>
    <t>Property 1098</t>
  </si>
  <si>
    <t>555-9662</t>
  </si>
  <si>
    <t>Property 1099</t>
  </si>
  <si>
    <t>555-9394</t>
  </si>
  <si>
    <t>Garden|Garage|Sauna</t>
  </si>
  <si>
    <t>Property 1100</t>
  </si>
  <si>
    <t>555-1345</t>
  </si>
  <si>
    <t>Sauna|Elevator|Garage</t>
  </si>
  <si>
    <t>Property 1101</t>
  </si>
  <si>
    <t>555-3780</t>
  </si>
  <si>
    <t>Garage|Barn|Sauna|Garden</t>
  </si>
  <si>
    <t>Property 1102</t>
  </si>
  <si>
    <t>555-4001</t>
  </si>
  <si>
    <t>Property 1103</t>
  </si>
  <si>
    <t>555-3059</t>
  </si>
  <si>
    <t>Pool|Garage|Elevator</t>
  </si>
  <si>
    <t>Property 1104</t>
  </si>
  <si>
    <t>555-3633</t>
  </si>
  <si>
    <t>Property 1105</t>
  </si>
  <si>
    <t>555-9639</t>
  </si>
  <si>
    <t>Barn|Elevator|Garden|Pool</t>
  </si>
  <si>
    <t>Property 1106</t>
  </si>
  <si>
    <t>555-9848</t>
  </si>
  <si>
    <t>Property 1107</t>
  </si>
  <si>
    <t>555-9982</t>
  </si>
  <si>
    <t>Fireplace|Barn|Sauna|Pool</t>
  </si>
  <si>
    <t>Property 1108</t>
  </si>
  <si>
    <t>555-8471</t>
  </si>
  <si>
    <t>Property 1109</t>
  </si>
  <si>
    <t>555-4353</t>
  </si>
  <si>
    <t>Garage|Elevator|Pool</t>
  </si>
  <si>
    <t>Property 1110</t>
  </si>
  <si>
    <t>555-4012</t>
  </si>
  <si>
    <t>Barn|Fireplace|Garden</t>
  </si>
  <si>
    <t>Property 1111</t>
  </si>
  <si>
    <t>555-9615</t>
  </si>
  <si>
    <t>Garden|Pool|Fireplace</t>
  </si>
  <si>
    <t>Property 1112</t>
  </si>
  <si>
    <t>555-6166</t>
  </si>
  <si>
    <t>Pool|Elevator|Fireplace</t>
  </si>
  <si>
    <t>Property 1113</t>
  </si>
  <si>
    <t>555-7855</t>
  </si>
  <si>
    <t>Property 1114</t>
  </si>
  <si>
    <t>555-2354</t>
  </si>
  <si>
    <t>Elevator|Fireplace|Garage</t>
  </si>
  <si>
    <t>Property 1115</t>
  </si>
  <si>
    <t>555-8690</t>
  </si>
  <si>
    <t>Fireplace|Garage|Garden|Sauna</t>
  </si>
  <si>
    <t>Property 1116</t>
  </si>
  <si>
    <t>555-6665</t>
  </si>
  <si>
    <t>Property 1117</t>
  </si>
  <si>
    <t>555-6610</t>
  </si>
  <si>
    <t>Fireplace|Gym|Sauna</t>
  </si>
  <si>
    <t>Property 1118</t>
  </si>
  <si>
    <t>555-8577</t>
  </si>
  <si>
    <t>Gym|Barn|Fireplace</t>
  </si>
  <si>
    <t>Property 1119</t>
  </si>
  <si>
    <t>555-8123</t>
  </si>
  <si>
    <t>Gym|Garden|Pool</t>
  </si>
  <si>
    <t>Property 1120</t>
  </si>
  <si>
    <t>555-7732</t>
  </si>
  <si>
    <t>Garage|Barn|Fireplace|Gym</t>
  </si>
  <si>
    <t>Property 1121</t>
  </si>
  <si>
    <t>555-3457</t>
  </si>
  <si>
    <t>Property 1122</t>
  </si>
  <si>
    <t>555-2475</t>
  </si>
  <si>
    <t>Property 1123</t>
  </si>
  <si>
    <t>Pool|Gym</t>
  </si>
  <si>
    <t>Property 1124</t>
  </si>
  <si>
    <t>555-7335</t>
  </si>
  <si>
    <t>Gym|Elevator|Garden</t>
  </si>
  <si>
    <t>Property 1125</t>
  </si>
  <si>
    <t>555-1224</t>
  </si>
  <si>
    <t>Fireplace|Garage|Garden|Pool</t>
  </si>
  <si>
    <t>Property 1126</t>
  </si>
  <si>
    <t>555-2871</t>
  </si>
  <si>
    <t>Property 1127</t>
  </si>
  <si>
    <t>555-5477</t>
  </si>
  <si>
    <t>Property 1128</t>
  </si>
  <si>
    <t>555-3222</t>
  </si>
  <si>
    <t>Pool|Barn|Sauna|Gym</t>
  </si>
  <si>
    <t>Property 1129</t>
  </si>
  <si>
    <t>555-2976</t>
  </si>
  <si>
    <t>Garage|Garden</t>
  </si>
  <si>
    <t>Property 1130</t>
  </si>
  <si>
    <t>555-5708</t>
  </si>
  <si>
    <t>Gym|Pool|Elevator|Fireplace</t>
  </si>
  <si>
    <t>Property 1131</t>
  </si>
  <si>
    <t>555-9076</t>
  </si>
  <si>
    <t>Fireplace|Barn|Pool|Sauna</t>
  </si>
  <si>
    <t>Property 1132</t>
  </si>
  <si>
    <t>555-1077</t>
  </si>
  <si>
    <t>Property 1133</t>
  </si>
  <si>
    <t>555-5079</t>
  </si>
  <si>
    <t>Pool|Barn|Garden|Elevator</t>
  </si>
  <si>
    <t>Property 1134</t>
  </si>
  <si>
    <t>555-6350</t>
  </si>
  <si>
    <t>Property 1135</t>
  </si>
  <si>
    <t>555-1048</t>
  </si>
  <si>
    <t>Garden|Barn|Fireplace|Garage</t>
  </si>
  <si>
    <t>Property 1136</t>
  </si>
  <si>
    <t>555-7737</t>
  </si>
  <si>
    <t>Sauna|Pool|Fireplace</t>
  </si>
  <si>
    <t>Property 1137</t>
  </si>
  <si>
    <t>555-7652</t>
  </si>
  <si>
    <t>Property 1138</t>
  </si>
  <si>
    <t>555-9869</t>
  </si>
  <si>
    <t>Pool|Gym|Sauna</t>
  </si>
  <si>
    <t>Property 1139</t>
  </si>
  <si>
    <t>555-1378</t>
  </si>
  <si>
    <t>Property 1140</t>
  </si>
  <si>
    <t>555-1959</t>
  </si>
  <si>
    <t>Sauna|Garden|Garage|Barn</t>
  </si>
  <si>
    <t>Property 1141</t>
  </si>
  <si>
    <t>555-3151</t>
  </si>
  <si>
    <t>Property 1142</t>
  </si>
  <si>
    <t>555-3584</t>
  </si>
  <si>
    <t>Property 1143</t>
  </si>
  <si>
    <t>555-9619</t>
  </si>
  <si>
    <t>Property 1144</t>
  </si>
  <si>
    <t>555-7441</t>
  </si>
  <si>
    <t>Gym|Pool</t>
  </si>
  <si>
    <t>Property 1145</t>
  </si>
  <si>
    <t>555-1390</t>
  </si>
  <si>
    <t>Property 1146</t>
  </si>
  <si>
    <t>555-6490</t>
  </si>
  <si>
    <t>Property 1147</t>
  </si>
  <si>
    <t>555-3374</t>
  </si>
  <si>
    <t>Pool|Garden|Garage</t>
  </si>
  <si>
    <t>Property 1148</t>
  </si>
  <si>
    <t>555-7212</t>
  </si>
  <si>
    <t>Property 1149</t>
  </si>
  <si>
    <t>555-3455</t>
  </si>
  <si>
    <t>Fireplace|Garden|Garage|Elevator</t>
  </si>
  <si>
    <t>Property 1150</t>
  </si>
  <si>
    <t>555-6505</t>
  </si>
  <si>
    <t>Fireplace|Elevator</t>
  </si>
  <si>
    <t>Property 1151</t>
  </si>
  <si>
    <t>555-3606</t>
  </si>
  <si>
    <t>Pool|Garage</t>
  </si>
  <si>
    <t>Property 1152</t>
  </si>
  <si>
    <t>555-4593</t>
  </si>
  <si>
    <t>Elevator|Sauna|Pool|Fireplace</t>
  </si>
  <si>
    <t>Property 1153</t>
  </si>
  <si>
    <t>555-3048</t>
  </si>
  <si>
    <t>Barn|Sauna|Garage|Garden</t>
  </si>
  <si>
    <t>Property 1154</t>
  </si>
  <si>
    <t>555-8011</t>
  </si>
  <si>
    <t>Garden|Garage|Pool</t>
  </si>
  <si>
    <t>Property 1155</t>
  </si>
  <si>
    <t>555-7830</t>
  </si>
  <si>
    <t>Property 1156</t>
  </si>
  <si>
    <t>555-7788</t>
  </si>
  <si>
    <t>Property 1157</t>
  </si>
  <si>
    <t>555-3739</t>
  </si>
  <si>
    <t>Fireplace|Garage</t>
  </si>
  <si>
    <t>Property 1158</t>
  </si>
  <si>
    <t>555-3251</t>
  </si>
  <si>
    <t>Sauna|Fireplace|Pool</t>
  </si>
  <si>
    <t>Property 1159</t>
  </si>
  <si>
    <t>555-2260</t>
  </si>
  <si>
    <t>Property 1160</t>
  </si>
  <si>
    <t>555-5567</t>
  </si>
  <si>
    <t>Property 1161</t>
  </si>
  <si>
    <t>555-2056</t>
  </si>
  <si>
    <t>Property 1162</t>
  </si>
  <si>
    <t>555-5041</t>
  </si>
  <si>
    <t>Pool|Sauna|Garage</t>
  </si>
  <si>
    <t>Property 1163</t>
  </si>
  <si>
    <t>555-1783</t>
  </si>
  <si>
    <t>Garage|Barn</t>
  </si>
  <si>
    <t>Property 1164</t>
  </si>
  <si>
    <t>555-3953</t>
  </si>
  <si>
    <t>Property 1165</t>
  </si>
  <si>
    <t>555-4978</t>
  </si>
  <si>
    <t>Garage|Barn|Gym</t>
  </si>
  <si>
    <t>Property 1166</t>
  </si>
  <si>
    <t>555-2875</t>
  </si>
  <si>
    <t>Property 1167</t>
  </si>
  <si>
    <t>555-1557</t>
  </si>
  <si>
    <t>Property 1168</t>
  </si>
  <si>
    <t>555-7116</t>
  </si>
  <si>
    <t>Property 1169</t>
  </si>
  <si>
    <t>555-4987</t>
  </si>
  <si>
    <t>Property 1170</t>
  </si>
  <si>
    <t>555-2718</t>
  </si>
  <si>
    <t>Property 1171</t>
  </si>
  <si>
    <t>555-1726</t>
  </si>
  <si>
    <t>Garden|Garage</t>
  </si>
  <si>
    <t>Property 1172</t>
  </si>
  <si>
    <t>Property 1173</t>
  </si>
  <si>
    <t>555-3933</t>
  </si>
  <si>
    <t>Gym|Pool|Garden|Elevator</t>
  </si>
  <si>
    <t>Property 1174</t>
  </si>
  <si>
    <t>555-2069</t>
  </si>
  <si>
    <t>Gym|Sauna</t>
  </si>
  <si>
    <t>Property 1175</t>
  </si>
  <si>
    <t>555-9936</t>
  </si>
  <si>
    <t>Elevator|Pool|Barn|Gym</t>
  </si>
  <si>
    <t>Property 1176</t>
  </si>
  <si>
    <t>555-3139</t>
  </si>
  <si>
    <t>Gym|Fireplace|Elevator</t>
  </si>
  <si>
    <t>Property 1177</t>
  </si>
  <si>
    <t>555-8138</t>
  </si>
  <si>
    <t>Garden|Sauna|Pool</t>
  </si>
  <si>
    <t>Property 1178</t>
  </si>
  <si>
    <t>555-3008</t>
  </si>
  <si>
    <t>Barn|Elevator|Sauna</t>
  </si>
  <si>
    <t>Property 1179</t>
  </si>
  <si>
    <t>555-7977</t>
  </si>
  <si>
    <t>Gym|Garage</t>
  </si>
  <si>
    <t>Property 1180</t>
  </si>
  <si>
    <t>555-8831</t>
  </si>
  <si>
    <t>Pool|Elevator|Gym</t>
  </si>
  <si>
    <t>Property 1181</t>
  </si>
  <si>
    <t>555-5480</t>
  </si>
  <si>
    <t>Property 1182</t>
  </si>
  <si>
    <t>555-4082</t>
  </si>
  <si>
    <t>Property 1183</t>
  </si>
  <si>
    <t>555-8119</t>
  </si>
  <si>
    <t>Elevator|Barn|Gym|Pool</t>
  </si>
  <si>
    <t>Property 1184</t>
  </si>
  <si>
    <t>555-6583</t>
  </si>
  <si>
    <t>Property 1185</t>
  </si>
  <si>
    <t>555-5085</t>
  </si>
  <si>
    <t>Property 1186</t>
  </si>
  <si>
    <t>555-8332</t>
  </si>
  <si>
    <t>Barn|Garage|Fireplace</t>
  </si>
  <si>
    <t>Property 1187</t>
  </si>
  <si>
    <t>555-8719</t>
  </si>
  <si>
    <t>Property 1188</t>
  </si>
  <si>
    <t>555-4142</t>
  </si>
  <si>
    <t>Gym|Garage|Garden</t>
  </si>
  <si>
    <t>Property 1189</t>
  </si>
  <si>
    <t>555-6786</t>
  </si>
  <si>
    <t>Fireplace|Barn|Pool</t>
  </si>
  <si>
    <t>Property 1190</t>
  </si>
  <si>
    <t>555-7818</t>
  </si>
  <si>
    <t>Garage|Pool|Gym</t>
  </si>
  <si>
    <t>Property 1191</t>
  </si>
  <si>
    <t>555-7301</t>
  </si>
  <si>
    <t>Property 1192</t>
  </si>
  <si>
    <t>555-3090</t>
  </si>
  <si>
    <t>Property 1193</t>
  </si>
  <si>
    <t>555-8590</t>
  </si>
  <si>
    <t>Fireplace|Garden</t>
  </si>
  <si>
    <t>Property 1194</t>
  </si>
  <si>
    <t>555-1796</t>
  </si>
  <si>
    <t>Property 1195</t>
  </si>
  <si>
    <t>555-8866</t>
  </si>
  <si>
    <t>Property 1196</t>
  </si>
  <si>
    <t>555-1698</t>
  </si>
  <si>
    <t>Garage|Garden|Elevator</t>
  </si>
  <si>
    <t>Property 1197</t>
  </si>
  <si>
    <t>555-7141</t>
  </si>
  <si>
    <t>Sauna|Garage|Elevator</t>
  </si>
  <si>
    <t>Property 1198</t>
  </si>
  <si>
    <t>555-1375</t>
  </si>
  <si>
    <t>Property 1199</t>
  </si>
  <si>
    <t>555-8169</t>
  </si>
  <si>
    <t>Gym|Pool|Garage</t>
  </si>
  <si>
    <t>Property 1200</t>
  </si>
  <si>
    <t>555-5847</t>
  </si>
  <si>
    <t>Property 1201</t>
  </si>
  <si>
    <t>555-1535</t>
  </si>
  <si>
    <t>Sauna|Garage|Garden</t>
  </si>
  <si>
    <t>Property 1202</t>
  </si>
  <si>
    <t>555-3141</t>
  </si>
  <si>
    <t>Property 1203</t>
  </si>
  <si>
    <t>555-4413</t>
  </si>
  <si>
    <t>Barn|Pool|Elevator|Garage</t>
  </si>
  <si>
    <t>Property 1204</t>
  </si>
  <si>
    <t>555-7693</t>
  </si>
  <si>
    <t>Fireplace|Sauna|Gym|Pool</t>
  </si>
  <si>
    <t>Property 1205</t>
  </si>
  <si>
    <t>555-8292</t>
  </si>
  <si>
    <t>Gym|Barn</t>
  </si>
  <si>
    <t>Property 1206</t>
  </si>
  <si>
    <t>555-6685</t>
  </si>
  <si>
    <t>Gym|Barn|Garage</t>
  </si>
  <si>
    <t>Property 1207</t>
  </si>
  <si>
    <t>555-2208</t>
  </si>
  <si>
    <t>Gym|Sauna|Fireplace</t>
  </si>
  <si>
    <t>Property 1208</t>
  </si>
  <si>
    <t>555-1415</t>
  </si>
  <si>
    <t>Property 1209</t>
  </si>
  <si>
    <t>555-5310</t>
  </si>
  <si>
    <t>Sauna|Garden</t>
  </si>
  <si>
    <t>Property 1210</t>
  </si>
  <si>
    <t>555-3656</t>
  </si>
  <si>
    <t>Elevator|Garden</t>
  </si>
  <si>
    <t>Property 1211</t>
  </si>
  <si>
    <t>555-4453</t>
  </si>
  <si>
    <t>Property 1212</t>
  </si>
  <si>
    <t>555-3775</t>
  </si>
  <si>
    <t>Garden|Barn|Fireplace|Elevator</t>
  </si>
  <si>
    <t>Property 1213</t>
  </si>
  <si>
    <t>555-5510</t>
  </si>
  <si>
    <t>Elevator|Gym</t>
  </si>
  <si>
    <t>Property 1214</t>
  </si>
  <si>
    <t>555-4968</t>
  </si>
  <si>
    <t>Property 1215</t>
  </si>
  <si>
    <t>555-7408</t>
  </si>
  <si>
    <t>Property 1216</t>
  </si>
  <si>
    <t>555-7414</t>
  </si>
  <si>
    <t>Property 1217</t>
  </si>
  <si>
    <t>555-1078</t>
  </si>
  <si>
    <t>Garden|Pool|Barn|Gym</t>
  </si>
  <si>
    <t>Property 1218</t>
  </si>
  <si>
    <t>555-5300</t>
  </si>
  <si>
    <t>Barn|Elevator|Garage</t>
  </si>
  <si>
    <t>Property 1219</t>
  </si>
  <si>
    <t>555-7478</t>
  </si>
  <si>
    <t>Fireplace|Garden|Sauna</t>
  </si>
  <si>
    <t>Property 1220</t>
  </si>
  <si>
    <t>555-9764</t>
  </si>
  <si>
    <t>Garage|Garden|Barn|Elevator</t>
  </si>
  <si>
    <t>Property 1221</t>
  </si>
  <si>
    <t>555-9443</t>
  </si>
  <si>
    <t>Garage|Elevator|Pool|Gym</t>
  </si>
  <si>
    <t>Property 1222</t>
  </si>
  <si>
    <t>555-3187</t>
  </si>
  <si>
    <t>Garden|Gym|Garage</t>
  </si>
  <si>
    <t>Property 1223</t>
  </si>
  <si>
    <t>555-5803</t>
  </si>
  <si>
    <t>Property 1224</t>
  </si>
  <si>
    <t>555-5479</t>
  </si>
  <si>
    <t>Gym|Garage|Barn</t>
  </si>
  <si>
    <t>Property 1225</t>
  </si>
  <si>
    <t>555-8276</t>
  </si>
  <si>
    <t>Pool|Gym|Elevator|Barn</t>
  </si>
  <si>
    <t>Property 1226</t>
  </si>
  <si>
    <t>Pool|Fireplace|Garden|Barn</t>
  </si>
  <si>
    <t>Property 1227</t>
  </si>
  <si>
    <t>555-3264</t>
  </si>
  <si>
    <t>Sauna|Elevator|Pool</t>
  </si>
  <si>
    <t>Property 1228</t>
  </si>
  <si>
    <t>555-1732</t>
  </si>
  <si>
    <t>Garage|Elevator|Gym|Pool</t>
  </si>
  <si>
    <t>Property 1229</t>
  </si>
  <si>
    <t>555-1856</t>
  </si>
  <si>
    <t>Property 1230</t>
  </si>
  <si>
    <t>555-5151</t>
  </si>
  <si>
    <t>Elevator|Barn|Garden</t>
  </si>
  <si>
    <t>Property 1231</t>
  </si>
  <si>
    <t>555-1941</t>
  </si>
  <si>
    <t>Garden|Fireplace|Pool|Gym</t>
  </si>
  <si>
    <t>Property 1232</t>
  </si>
  <si>
    <t>555-7320</t>
  </si>
  <si>
    <t>Property 1233</t>
  </si>
  <si>
    <t>555-6232</t>
  </si>
  <si>
    <t>Pool|Sauna|Gym</t>
  </si>
  <si>
    <t>Property 1234</t>
  </si>
  <si>
    <t>555-9314</t>
  </si>
  <si>
    <t>Property 1235</t>
  </si>
  <si>
    <t>555-6703</t>
  </si>
  <si>
    <t>Property 1236</t>
  </si>
  <si>
    <t>555-2582</t>
  </si>
  <si>
    <t>Property 1237</t>
  </si>
  <si>
    <t>555-6544</t>
  </si>
  <si>
    <t>Garden|Fireplace</t>
  </si>
  <si>
    <t>Property 1238</t>
  </si>
  <si>
    <t>555-1731</t>
  </si>
  <si>
    <t>Fireplace|Sauna</t>
  </si>
  <si>
    <t>Property 1239</t>
  </si>
  <si>
    <t>555-2100</t>
  </si>
  <si>
    <t>Garage|Fireplace</t>
  </si>
  <si>
    <t>Property 1240</t>
  </si>
  <si>
    <t>555-3815</t>
  </si>
  <si>
    <t>Garage|Barn|Sauna</t>
  </si>
  <si>
    <t>Property 1241</t>
  </si>
  <si>
    <t>555-3643</t>
  </si>
  <si>
    <t>Property 1242</t>
  </si>
  <si>
    <t>555-4717</t>
  </si>
  <si>
    <t>Property 1243</t>
  </si>
  <si>
    <t>555-8929</t>
  </si>
  <si>
    <t>Barn|Garden|Fireplace|Gym</t>
  </si>
  <si>
    <t>Property 1244</t>
  </si>
  <si>
    <t>555-7136</t>
  </si>
  <si>
    <t>Garden|Elevator|Sauna|Pool</t>
  </si>
  <si>
    <t>Property 1245</t>
  </si>
  <si>
    <t>555-8368</t>
  </si>
  <si>
    <t>Gym|Elevator|Garage|Fireplace</t>
  </si>
  <si>
    <t>Property 1246</t>
  </si>
  <si>
    <t>555-7011</t>
  </si>
  <si>
    <t>Property 1247</t>
  </si>
  <si>
    <t>555-7067</t>
  </si>
  <si>
    <t>Fireplace|Gym|Garage|Garden</t>
  </si>
  <si>
    <t>Property 1248</t>
  </si>
  <si>
    <t>555-6561</t>
  </si>
  <si>
    <t>Pool|Sauna|Elevator</t>
  </si>
  <si>
    <t>Property 1249</t>
  </si>
  <si>
    <t>555-5965</t>
  </si>
  <si>
    <t>Garage|Pool|Sauna|Elevator</t>
  </si>
  <si>
    <t>Property 1250</t>
  </si>
  <si>
    <t>555-1806</t>
  </si>
  <si>
    <t>Pool|Elevator|Barn</t>
  </si>
  <si>
    <t>Property 1251</t>
  </si>
  <si>
    <t>555-3205</t>
  </si>
  <si>
    <t>Gym|Elevator|Fireplace</t>
  </si>
  <si>
    <t>Property 1252</t>
  </si>
  <si>
    <t>555-1542</t>
  </si>
  <si>
    <t>Property 1253</t>
  </si>
  <si>
    <t>555-1816</t>
  </si>
  <si>
    <t>Property 1254</t>
  </si>
  <si>
    <t>555-1568</t>
  </si>
  <si>
    <t>Property 1255</t>
  </si>
  <si>
    <t>555-6617</t>
  </si>
  <si>
    <t>Property 1256</t>
  </si>
  <si>
    <t>555-2478</t>
  </si>
  <si>
    <t>Property 1257</t>
  </si>
  <si>
    <t>Property 1258</t>
  </si>
  <si>
    <t>555-7969</t>
  </si>
  <si>
    <t>Garden|Garage|Pool|Elevator</t>
  </si>
  <si>
    <t>Property 1259</t>
  </si>
  <si>
    <t>555-9432</t>
  </si>
  <si>
    <t>Property 1260</t>
  </si>
  <si>
    <t>555-4181</t>
  </si>
  <si>
    <t>Elevator|Barn|Gym</t>
  </si>
  <si>
    <t>Property 1261</t>
  </si>
  <si>
    <t>555-7711</t>
  </si>
  <si>
    <t>Elevator|Gym|Sauna</t>
  </si>
  <si>
    <t>Property 1262</t>
  </si>
  <si>
    <t>555-3075</t>
  </si>
  <si>
    <t>Property 1263</t>
  </si>
  <si>
    <t>555-6857</t>
  </si>
  <si>
    <t>Property 1264</t>
  </si>
  <si>
    <t>555-1905</t>
  </si>
  <si>
    <t>Property 1265</t>
  </si>
  <si>
    <t>555-8664</t>
  </si>
  <si>
    <t>Garage|Elevator|Gym|Garden</t>
  </si>
  <si>
    <t>Property 1266</t>
  </si>
  <si>
    <t>555-1004</t>
  </si>
  <si>
    <t>Property 1267</t>
  </si>
  <si>
    <t>555-8730</t>
  </si>
  <si>
    <t>Property 1268</t>
  </si>
  <si>
    <t>555-9268</t>
  </si>
  <si>
    <t>Property 1269</t>
  </si>
  <si>
    <t>555-1980</t>
  </si>
  <si>
    <t>Gym|Barn|Pool|Garden</t>
  </si>
  <si>
    <t>Property 1270</t>
  </si>
  <si>
    <t>555-9372</t>
  </si>
  <si>
    <t>Sauna|Barn|Garage|Garden</t>
  </si>
  <si>
    <t>Property 1271</t>
  </si>
  <si>
    <t>555-4061</t>
  </si>
  <si>
    <t>Property 1272</t>
  </si>
  <si>
    <t>555-9684</t>
  </si>
  <si>
    <t>Elevator|Garden|Barn</t>
  </si>
  <si>
    <t>Property 1273</t>
  </si>
  <si>
    <t>555-2625</t>
  </si>
  <si>
    <t>Property 1274</t>
  </si>
  <si>
    <t>555-3867</t>
  </si>
  <si>
    <t>Gym|Garden|Garage</t>
  </si>
  <si>
    <t>Property 1275</t>
  </si>
  <si>
    <t>555-3235</t>
  </si>
  <si>
    <t>Property 1276</t>
  </si>
  <si>
    <t>555-6877</t>
  </si>
  <si>
    <t>Property 1277</t>
  </si>
  <si>
    <t>555-1862</t>
  </si>
  <si>
    <t>Garden|Barn|Garage|Gym</t>
  </si>
  <si>
    <t>Property 1278</t>
  </si>
  <si>
    <t>555-2552</t>
  </si>
  <si>
    <t>Property 1279</t>
  </si>
  <si>
    <t>555-7186</t>
  </si>
  <si>
    <t>Property 1280</t>
  </si>
  <si>
    <t>555-5203</t>
  </si>
  <si>
    <t>Property 1281</t>
  </si>
  <si>
    <t>555-7258</t>
  </si>
  <si>
    <t>Property 1282</t>
  </si>
  <si>
    <t>555-1035</t>
  </si>
  <si>
    <t>Property 1283</t>
  </si>
  <si>
    <t>555-7571</t>
  </si>
  <si>
    <t>Property 1284</t>
  </si>
  <si>
    <t>555-1194</t>
  </si>
  <si>
    <t>Fireplace|Elevator|Gym|Pool</t>
  </si>
  <si>
    <t>Property 1285</t>
  </si>
  <si>
    <t>555-2497</t>
  </si>
  <si>
    <t>Property 1286</t>
  </si>
  <si>
    <t>555-2456</t>
  </si>
  <si>
    <t>Garage|Garden|Pool|Elevator</t>
  </si>
  <si>
    <t>Property 1287</t>
  </si>
  <si>
    <t>555-6522</t>
  </si>
  <si>
    <t>Property 1288</t>
  </si>
  <si>
    <t>555-3111</t>
  </si>
  <si>
    <t>Property 1289</t>
  </si>
  <si>
    <t>555-2150</t>
  </si>
  <si>
    <t>Property 1290</t>
  </si>
  <si>
    <t>555-5836</t>
  </si>
  <si>
    <t>Pool|Sauna|Barn|Garage</t>
  </si>
  <si>
    <t>Property 1291</t>
  </si>
  <si>
    <t>555-4161</t>
  </si>
  <si>
    <t>Property 1292</t>
  </si>
  <si>
    <t>555-8214</t>
  </si>
  <si>
    <t>Property 1293</t>
  </si>
  <si>
    <t>555-5900</t>
  </si>
  <si>
    <t>Property 1294</t>
  </si>
  <si>
    <t>555-8733</t>
  </si>
  <si>
    <t>Property 1295</t>
  </si>
  <si>
    <t>555-8287</t>
  </si>
  <si>
    <t>Property 1296</t>
  </si>
  <si>
    <t>Pool|Elevator|Garage|Garden</t>
  </si>
  <si>
    <t>Property 1297</t>
  </si>
  <si>
    <t>555-4568</t>
  </si>
  <si>
    <t>Sauna|Gym|Garden</t>
  </si>
  <si>
    <t>Property 1298</t>
  </si>
  <si>
    <t>555-5207</t>
  </si>
  <si>
    <t>Property 1299</t>
  </si>
  <si>
    <t>555-8405</t>
  </si>
  <si>
    <t>Property 1300</t>
  </si>
  <si>
    <t>555-5544</t>
  </si>
  <si>
    <t>Property 1301</t>
  </si>
  <si>
    <t>555-4087</t>
  </si>
  <si>
    <t>Gym|Elevator|Pool</t>
  </si>
  <si>
    <t>Property 1302</t>
  </si>
  <si>
    <t>555-2694</t>
  </si>
  <si>
    <t>Property 1303</t>
  </si>
  <si>
    <t>555-7387</t>
  </si>
  <si>
    <t>Garage|Pool</t>
  </si>
  <si>
    <t>Property 1304</t>
  </si>
  <si>
    <t>555-4020</t>
  </si>
  <si>
    <t>Garage|Pool|Fireplace|Sauna</t>
  </si>
  <si>
    <t>Property 1305</t>
  </si>
  <si>
    <t>555-6502</t>
  </si>
  <si>
    <t>Property 1306</t>
  </si>
  <si>
    <t>555-2776</t>
  </si>
  <si>
    <t>Barn|Garden</t>
  </si>
  <si>
    <t>Property 1307</t>
  </si>
  <si>
    <t>555-1846</t>
  </si>
  <si>
    <t>Gym|Pool|Elevator</t>
  </si>
  <si>
    <t>Property 1308</t>
  </si>
  <si>
    <t>555-8901</t>
  </si>
  <si>
    <t>Gym|Pool|Garden|Sauna</t>
  </si>
  <si>
    <t>Property 1309</t>
  </si>
  <si>
    <t>555-2461</t>
  </si>
  <si>
    <t>Garage|Fireplace|Sauna</t>
  </si>
  <si>
    <t>Property 1310</t>
  </si>
  <si>
    <t>555-2254</t>
  </si>
  <si>
    <t>Barn|Gym|Sauna|Garden</t>
  </si>
  <si>
    <t>Property 1311</t>
  </si>
  <si>
    <t>555-1523</t>
  </si>
  <si>
    <t>Garden|Gym|Pool</t>
  </si>
  <si>
    <t>Property 1312</t>
  </si>
  <si>
    <t>555-8386</t>
  </si>
  <si>
    <t>Property 1313</t>
  </si>
  <si>
    <t>555-9878</t>
  </si>
  <si>
    <t>Property 1314</t>
  </si>
  <si>
    <t>555-2416</t>
  </si>
  <si>
    <t>Property 1315</t>
  </si>
  <si>
    <t>555-2516</t>
  </si>
  <si>
    <t>Garage|Sauna|Elevator|Gym</t>
  </si>
  <si>
    <t>Property 1316</t>
  </si>
  <si>
    <t>555-1170</t>
  </si>
  <si>
    <t>Property 1317</t>
  </si>
  <si>
    <t>555-8654</t>
  </si>
  <si>
    <t>Pool|Garden|Sauna|Barn</t>
  </si>
  <si>
    <t>Property 1318</t>
  </si>
  <si>
    <t>555-2925</t>
  </si>
  <si>
    <t>Property 1319</t>
  </si>
  <si>
    <t>555-7973</t>
  </si>
  <si>
    <t>Property 1320</t>
  </si>
  <si>
    <t>555-7265</t>
  </si>
  <si>
    <t>Fireplace|Barn|Sauna</t>
  </si>
  <si>
    <t>Property 1321</t>
  </si>
  <si>
    <t>555-6902</t>
  </si>
  <si>
    <t>Property 1322</t>
  </si>
  <si>
    <t>555-2946</t>
  </si>
  <si>
    <t>Property 1323</t>
  </si>
  <si>
    <t>555-4517</t>
  </si>
  <si>
    <t>Pool|Garage|Sauna|Barn</t>
  </si>
  <si>
    <t>Property 1324</t>
  </si>
  <si>
    <t>555-9098</t>
  </si>
  <si>
    <t>Property 1325</t>
  </si>
  <si>
    <t>555-2675</t>
  </si>
  <si>
    <t>Fireplace|Garage|Gym</t>
  </si>
  <si>
    <t>Property 1326</t>
  </si>
  <si>
    <t>555-2049</t>
  </si>
  <si>
    <t>Garden|Elevator</t>
  </si>
  <si>
    <t>Property 1327</t>
  </si>
  <si>
    <t>555-6472</t>
  </si>
  <si>
    <t>Property 1328</t>
  </si>
  <si>
    <t>555-6233</t>
  </si>
  <si>
    <t>Property 1329</t>
  </si>
  <si>
    <t>555-8662</t>
  </si>
  <si>
    <t>Garage|Pool|Fireplace|Garden</t>
  </si>
  <si>
    <t>Property 1330</t>
  </si>
  <si>
    <t>555-7991</t>
  </si>
  <si>
    <t>Sauna|Garage|Fireplace|Garden</t>
  </si>
  <si>
    <t>Property 1331</t>
  </si>
  <si>
    <t>555-8663</t>
  </si>
  <si>
    <t>Property 1332</t>
  </si>
  <si>
    <t>555-8151</t>
  </si>
  <si>
    <t>Pool|Elevator|Garden|Barn</t>
  </si>
  <si>
    <t>Property 1333</t>
  </si>
  <si>
    <t>555-6915</t>
  </si>
  <si>
    <t>Property 1334</t>
  </si>
  <si>
    <t>555-9442</t>
  </si>
  <si>
    <t>Barn|Pool|Sauna|Garden</t>
  </si>
  <si>
    <t>Property 1335</t>
  </si>
  <si>
    <t>555-6695</t>
  </si>
  <si>
    <t>Sauna|Pool|Garage</t>
  </si>
  <si>
    <t>Property 1336</t>
  </si>
  <si>
    <t>555-7774</t>
  </si>
  <si>
    <t>Garage|Fireplace|Garden</t>
  </si>
  <si>
    <t>Property 1337</t>
  </si>
  <si>
    <t>555-2192</t>
  </si>
  <si>
    <t>Property 1338</t>
  </si>
  <si>
    <t>555-6658</t>
  </si>
  <si>
    <t>Sauna|Elevator|Fireplace|Gym</t>
  </si>
  <si>
    <t>Property 1339</t>
  </si>
  <si>
    <t>555-8639</t>
  </si>
  <si>
    <t>Garage|Fireplace|Barn|Sauna</t>
  </si>
  <si>
    <t>Property 1340</t>
  </si>
  <si>
    <t>555-1813</t>
  </si>
  <si>
    <t>Property 1341</t>
  </si>
  <si>
    <t>555-9178</t>
  </si>
  <si>
    <t>Property 1342</t>
  </si>
  <si>
    <t>555-2201</t>
  </si>
  <si>
    <t>Barn|Garage|Sauna|Fireplace</t>
  </si>
  <si>
    <t>Property 1343</t>
  </si>
  <si>
    <t>555-1339</t>
  </si>
  <si>
    <t>Pool|Elevator</t>
  </si>
  <si>
    <t>Property 1344</t>
  </si>
  <si>
    <t>555-9041</t>
  </si>
  <si>
    <t>Gym|Pool|Sauna</t>
  </si>
  <si>
    <t>Property 1345</t>
  </si>
  <si>
    <t>555-6213</t>
  </si>
  <si>
    <t>Sauna|Fireplace|Barn</t>
  </si>
  <si>
    <t>Property 1346</t>
  </si>
  <si>
    <t>555-8444</t>
  </si>
  <si>
    <t>Gym|Fireplace|Garage</t>
  </si>
  <si>
    <t>Property 1347</t>
  </si>
  <si>
    <t>555-5973</t>
  </si>
  <si>
    <t>Property 1348</t>
  </si>
  <si>
    <t>555-9794</t>
  </si>
  <si>
    <t>Pool|Fireplace|Gym</t>
  </si>
  <si>
    <t>Property 1349</t>
  </si>
  <si>
    <t>555-7232</t>
  </si>
  <si>
    <t>Property 1350</t>
  </si>
  <si>
    <t>Pool|Garden|Sauna|Garage</t>
  </si>
  <si>
    <t>Property 1351</t>
  </si>
  <si>
    <t>555-3037</t>
  </si>
  <si>
    <t>Garage|Elevator|Gym</t>
  </si>
  <si>
    <t>Property 1352</t>
  </si>
  <si>
    <t>Property 1353</t>
  </si>
  <si>
    <t>555-5728</t>
  </si>
  <si>
    <t>Barn|Sauna|Garage</t>
  </si>
  <si>
    <t>Property 1354</t>
  </si>
  <si>
    <t>555-4424</t>
  </si>
  <si>
    <t>Property 1355</t>
  </si>
  <si>
    <t>555-9200</t>
  </si>
  <si>
    <t>Elevator|Pool</t>
  </si>
  <si>
    <t>Property 1356</t>
  </si>
  <si>
    <t>555-6861</t>
  </si>
  <si>
    <t>Property 1357</t>
  </si>
  <si>
    <t>555-7785</t>
  </si>
  <si>
    <t>Property 1358</t>
  </si>
  <si>
    <t>555-3858</t>
  </si>
  <si>
    <t>Property 1359</t>
  </si>
  <si>
    <t>555-7291</t>
  </si>
  <si>
    <t>Sauna|Elevator</t>
  </si>
  <si>
    <t>Property 1360</t>
  </si>
  <si>
    <t>555-7791</t>
  </si>
  <si>
    <t>Pool|Gym|Garden|Elevator</t>
  </si>
  <si>
    <t>Property 1361</t>
  </si>
  <si>
    <t>555-4613</t>
  </si>
  <si>
    <t>Sauna|Gym|Elevator|Fireplace</t>
  </si>
  <si>
    <t>Property 1362</t>
  </si>
  <si>
    <t>Pool|Barn|Gym|Garage</t>
  </si>
  <si>
    <t>Property 1363</t>
  </si>
  <si>
    <t>555-6828</t>
  </si>
  <si>
    <t>Property 1364</t>
  </si>
  <si>
    <t>555-9028</t>
  </si>
  <si>
    <t>Property 1365</t>
  </si>
  <si>
    <t>555-6829</t>
  </si>
  <si>
    <t>Property 1366</t>
  </si>
  <si>
    <t>555-2956</t>
  </si>
  <si>
    <t>Property 1367</t>
  </si>
  <si>
    <t>555-5976</t>
  </si>
  <si>
    <t>Pool|Sauna|Garden|Gym</t>
  </si>
  <si>
    <t>Property 1368</t>
  </si>
  <si>
    <t>555-2704</t>
  </si>
  <si>
    <t>Sauna|Barn|Gym|Fireplace</t>
  </si>
  <si>
    <t>Property 1369</t>
  </si>
  <si>
    <t>555-7961</t>
  </si>
  <si>
    <t>Barn|Garden|Gym|Pool</t>
  </si>
  <si>
    <t>Property 1370</t>
  </si>
  <si>
    <t>555-1199</t>
  </si>
  <si>
    <t>Property 1371</t>
  </si>
  <si>
    <t>Elevator|Garage|Garden|Fireplace</t>
  </si>
  <si>
    <t>Property 1372</t>
  </si>
  <si>
    <t>555-6960</t>
  </si>
  <si>
    <t>Property 1373</t>
  </si>
  <si>
    <t>555-1795</t>
  </si>
  <si>
    <t>Sauna|Barn</t>
  </si>
  <si>
    <t>Property 1374</t>
  </si>
  <si>
    <t>555-4765</t>
  </si>
  <si>
    <t>Property 1375</t>
  </si>
  <si>
    <t>555-8998</t>
  </si>
  <si>
    <t>Elevator|Garage|Fireplace|Pool</t>
  </si>
  <si>
    <t>Property 1376</t>
  </si>
  <si>
    <t>Property 1377</t>
  </si>
  <si>
    <t>555-5710</t>
  </si>
  <si>
    <t>Property 1378</t>
  </si>
  <si>
    <t>555-8389</t>
  </si>
  <si>
    <t>Property 1379</t>
  </si>
  <si>
    <t>555-4048</t>
  </si>
  <si>
    <t>Property 1380</t>
  </si>
  <si>
    <t>555-5780</t>
  </si>
  <si>
    <t>Property 1381</t>
  </si>
  <si>
    <t>555-3395</t>
  </si>
  <si>
    <t>Garage|Gym|Elevator</t>
  </si>
  <si>
    <t>Property 1382</t>
  </si>
  <si>
    <t>555-5257</t>
  </si>
  <si>
    <t>Property 1383</t>
  </si>
  <si>
    <t>555-3635</t>
  </si>
  <si>
    <t>Sauna|Gym|Barn</t>
  </si>
  <si>
    <t>Property 1384</t>
  </si>
  <si>
    <t>555-9251</t>
  </si>
  <si>
    <t>Property 1385</t>
  </si>
  <si>
    <t>555-1140</t>
  </si>
  <si>
    <t>Sauna|Garage|Pool|Gym</t>
  </si>
  <si>
    <t>Property 1386</t>
  </si>
  <si>
    <t>555-2537</t>
  </si>
  <si>
    <t>Property 1387</t>
  </si>
  <si>
    <t>555-8301</t>
  </si>
  <si>
    <t>Property 1388</t>
  </si>
  <si>
    <t>555-7845</t>
  </si>
  <si>
    <t>Garage|Gym|Pool</t>
  </si>
  <si>
    <t>Property 1389</t>
  </si>
  <si>
    <t>555-3379</t>
  </si>
  <si>
    <t>Property 1390</t>
  </si>
  <si>
    <t>555-5092</t>
  </si>
  <si>
    <t>Pool|Garden|Barn|Gym</t>
  </si>
  <si>
    <t>Property 1391</t>
  </si>
  <si>
    <t>555-1094</t>
  </si>
  <si>
    <t>Property 1392</t>
  </si>
  <si>
    <t>Garage|Sauna|Gym|Garden</t>
  </si>
  <si>
    <t>Property 1393</t>
  </si>
  <si>
    <t>555-6418</t>
  </si>
  <si>
    <t>Pool|Garden|Fireplace</t>
  </si>
  <si>
    <t>Property 1394</t>
  </si>
  <si>
    <t>555-5268</t>
  </si>
  <si>
    <t>Garden|Garage|Elevator</t>
  </si>
  <si>
    <t>Property 1395</t>
  </si>
  <si>
    <t>555-6008</t>
  </si>
  <si>
    <t>Fireplace|Pool|Garden|Barn</t>
  </si>
  <si>
    <t>Property 1396</t>
  </si>
  <si>
    <t>555-5687</t>
  </si>
  <si>
    <t>Sauna|Fireplace|Pool|Garden</t>
  </si>
  <si>
    <t>Property 1397</t>
  </si>
  <si>
    <t>555-4557</t>
  </si>
  <si>
    <t>Sauna|Gym|Elevator</t>
  </si>
  <si>
    <t>Property 1398</t>
  </si>
  <si>
    <t>555-8006</t>
  </si>
  <si>
    <t>Garage|Garden|Elevator|Pool</t>
  </si>
  <si>
    <t>Property 1399</t>
  </si>
  <si>
    <t>555-3646</t>
  </si>
  <si>
    <t>Barn|Elevator</t>
  </si>
  <si>
    <t>Property 1400</t>
  </si>
  <si>
    <t>555-2088</t>
  </si>
  <si>
    <t>Property 1401</t>
  </si>
  <si>
    <t>555-4862</t>
  </si>
  <si>
    <t>Property 1402</t>
  </si>
  <si>
    <t>555-5253</t>
  </si>
  <si>
    <t>Property 1403</t>
  </si>
  <si>
    <t>555-5620</t>
  </si>
  <si>
    <t>Gym|Fireplace|Barn</t>
  </si>
  <si>
    <t>Property 1404</t>
  </si>
  <si>
    <t>555-2953</t>
  </si>
  <si>
    <t>Property 1405</t>
  </si>
  <si>
    <t>555-9102</t>
  </si>
  <si>
    <t>Property 1406</t>
  </si>
  <si>
    <t>555-5392</t>
  </si>
  <si>
    <t>Pool|Fireplace|Barn</t>
  </si>
  <si>
    <t>Property 1407</t>
  </si>
  <si>
    <t>555-2696</t>
  </si>
  <si>
    <t>Property 1408</t>
  </si>
  <si>
    <t>555-8856</t>
  </si>
  <si>
    <t>Property 1409</t>
  </si>
  <si>
    <t>555-4258</t>
  </si>
  <si>
    <t>Pool|Fireplace|Gym|Garden</t>
  </si>
  <si>
    <t>Property 1410</t>
  </si>
  <si>
    <t>555-2910</t>
  </si>
  <si>
    <t>Property 1411</t>
  </si>
  <si>
    <t>555-7248</t>
  </si>
  <si>
    <t>Elevator|Fireplace|Barn</t>
  </si>
  <si>
    <t>Property 1412</t>
  </si>
  <si>
    <t>555-4923</t>
  </si>
  <si>
    <t>Property 1413</t>
  </si>
  <si>
    <t>555-5224</t>
  </si>
  <si>
    <t>Barn|Garden|Sauna</t>
  </si>
  <si>
    <t>Property 1414</t>
  </si>
  <si>
    <t>555-4961</t>
  </si>
  <si>
    <t>Barn|Sauna|Garden</t>
  </si>
  <si>
    <t>Property 1415</t>
  </si>
  <si>
    <t>555-6816</t>
  </si>
  <si>
    <t>Property 1416</t>
  </si>
  <si>
    <t>555-7052</t>
  </si>
  <si>
    <t>Elevator|Pool|Fireplace</t>
  </si>
  <si>
    <t>Property 1417</t>
  </si>
  <si>
    <t>555-7227</t>
  </si>
  <si>
    <t>Gym|Elevator|Barn</t>
  </si>
  <si>
    <t>Property 1418</t>
  </si>
  <si>
    <t>555-1315</t>
  </si>
  <si>
    <t>Sauna|Pool|Garden|Elevator</t>
  </si>
  <si>
    <t>Property 1419</t>
  </si>
  <si>
    <t>555-1669</t>
  </si>
  <si>
    <t>Property 1420</t>
  </si>
  <si>
    <t>555-4463</t>
  </si>
  <si>
    <t>Property 1421</t>
  </si>
  <si>
    <t>555-4678</t>
  </si>
  <si>
    <t>Fireplace|Pool|Garden|Gym</t>
  </si>
  <si>
    <t>Property 1422</t>
  </si>
  <si>
    <t>555-6160</t>
  </si>
  <si>
    <t>Property 1423</t>
  </si>
  <si>
    <t>555-2003</t>
  </si>
  <si>
    <t>Property 1424</t>
  </si>
  <si>
    <t>555-4909</t>
  </si>
  <si>
    <t>Elevator|Fireplace|Pool</t>
  </si>
  <si>
    <t>Property 1425</t>
  </si>
  <si>
    <t>555-5027</t>
  </si>
  <si>
    <t>Pool|Elevator|Garden</t>
  </si>
  <si>
    <t>Property 1426</t>
  </si>
  <si>
    <t>555-1589</t>
  </si>
  <si>
    <t>Sauna|Garden|Gym|Pool</t>
  </si>
  <si>
    <t>Property 1427</t>
  </si>
  <si>
    <t>555-1241</t>
  </si>
  <si>
    <t>Sauna|Elevator|Garage|Fireplace</t>
  </si>
  <si>
    <t>Property 1428</t>
  </si>
  <si>
    <t>555-1300</t>
  </si>
  <si>
    <t>Property 1429</t>
  </si>
  <si>
    <t>555-4654</t>
  </si>
  <si>
    <t>Property 1430</t>
  </si>
  <si>
    <t>555-6364</t>
  </si>
  <si>
    <t>Pool|Gym|Barn|Sauna</t>
  </si>
  <si>
    <t>Property 1431</t>
  </si>
  <si>
    <t>Elevator|Garden|Garage</t>
  </si>
  <si>
    <t>Property 1432</t>
  </si>
  <si>
    <t>555-8967</t>
  </si>
  <si>
    <t>Garden|Garage|Barn|Sauna</t>
  </si>
  <si>
    <t>Property 1433</t>
  </si>
  <si>
    <t>555-5179</t>
  </si>
  <si>
    <t>Property 1434</t>
  </si>
  <si>
    <t>555-6196</t>
  </si>
  <si>
    <t>Garden|Fireplace|Elevator|Pool</t>
  </si>
  <si>
    <t>Property 1435</t>
  </si>
  <si>
    <t>555-3336</t>
  </si>
  <si>
    <t>Barn|Gym|Sauna|Garage</t>
  </si>
  <si>
    <t>Property 1436</t>
  </si>
  <si>
    <t>555-3488</t>
  </si>
  <si>
    <t>Property 1437</t>
  </si>
  <si>
    <t>555-5294</t>
  </si>
  <si>
    <t>Barn|Garden|Gym|Garage</t>
  </si>
  <si>
    <t>Property 1438</t>
  </si>
  <si>
    <t>555-6071</t>
  </si>
  <si>
    <t>Property 1439</t>
  </si>
  <si>
    <t>555-6475</t>
  </si>
  <si>
    <t>Garage|Sauna|Barn|Pool</t>
  </si>
  <si>
    <t>Property 1440</t>
  </si>
  <si>
    <t>555-3201</t>
  </si>
  <si>
    <t>Property 1441</t>
  </si>
  <si>
    <t>555-5193</t>
  </si>
  <si>
    <t>Property 1442</t>
  </si>
  <si>
    <t>555-2922</t>
  </si>
  <si>
    <t>Property 1443</t>
  </si>
  <si>
    <t>555-2859</t>
  </si>
  <si>
    <t>Property 1444</t>
  </si>
  <si>
    <t>555-6987</t>
  </si>
  <si>
    <t>Elevator|Gym|Barn|Garden</t>
  </si>
  <si>
    <t>Property 1445</t>
  </si>
  <si>
    <t>555-8615</t>
  </si>
  <si>
    <t>Property 1446</t>
  </si>
  <si>
    <t>555-2020</t>
  </si>
  <si>
    <t>Pool|Elevator|Garage|Fireplace</t>
  </si>
  <si>
    <t>Property 1447</t>
  </si>
  <si>
    <t>555-7804</t>
  </si>
  <si>
    <t>Sauna|Barn|Gym|Pool</t>
  </si>
  <si>
    <t>Property 1448</t>
  </si>
  <si>
    <t>555-4094</t>
  </si>
  <si>
    <t>Property 1449</t>
  </si>
  <si>
    <t>555-3112</t>
  </si>
  <si>
    <t>Property 1450</t>
  </si>
  <si>
    <t>555-8162</t>
  </si>
  <si>
    <t>Property 1451</t>
  </si>
  <si>
    <t>555-7901</t>
  </si>
  <si>
    <t>Property 1452</t>
  </si>
  <si>
    <t>555-7085</t>
  </si>
  <si>
    <t>Barn|Elevator|Garage|Fireplace</t>
  </si>
  <si>
    <t>Property 1453</t>
  </si>
  <si>
    <t>555-2517</t>
  </si>
  <si>
    <t>Sauna|Fireplace|Garden|Pool</t>
  </si>
  <si>
    <t>Property 1454</t>
  </si>
  <si>
    <t>555-5630</t>
  </si>
  <si>
    <t>Property 1455</t>
  </si>
  <si>
    <t>555-6965</t>
  </si>
  <si>
    <t>Property 1456</t>
  </si>
  <si>
    <t>555-8700</t>
  </si>
  <si>
    <t>Property 1457</t>
  </si>
  <si>
    <t>555-5063</t>
  </si>
  <si>
    <t>Elevator|Garage|Fireplace</t>
  </si>
  <si>
    <t>Property 1458</t>
  </si>
  <si>
    <t>555-4844</t>
  </si>
  <si>
    <t>Property 1459</t>
  </si>
  <si>
    <t>Property 1460</t>
  </si>
  <si>
    <t>555-1421</t>
  </si>
  <si>
    <t>Property 1461</t>
  </si>
  <si>
    <t>555-1010</t>
  </si>
  <si>
    <t>Barn|Garage|Gym|Sauna</t>
  </si>
  <si>
    <t>Property 1462</t>
  </si>
  <si>
    <t>555-5039</t>
  </si>
  <si>
    <t>Fireplace|Elevator|Barn|Garage</t>
  </si>
  <si>
    <t>Property 1463</t>
  </si>
  <si>
    <t>555-3396</t>
  </si>
  <si>
    <t>Property 1464</t>
  </si>
  <si>
    <t>555-3016</t>
  </si>
  <si>
    <t>Barn|Elevator|Garden</t>
  </si>
  <si>
    <t>Property 1465</t>
  </si>
  <si>
    <t>555-9130</t>
  </si>
  <si>
    <t>Fireplace|Gym</t>
  </si>
  <si>
    <t>Property 1466</t>
  </si>
  <si>
    <t>555-9881</t>
  </si>
  <si>
    <t>Fireplace|Garden|Pool|Barn</t>
  </si>
  <si>
    <t>Property 1467</t>
  </si>
  <si>
    <t>555-5233</t>
  </si>
  <si>
    <t>Sauna|Gym|Garage|Elevator</t>
  </si>
  <si>
    <t>Property 1468</t>
  </si>
  <si>
    <t>555-2167</t>
  </si>
  <si>
    <t>Property 1469</t>
  </si>
  <si>
    <t>555-6305</t>
  </si>
  <si>
    <t>Elevator|Garage|Sauna|Fireplace</t>
  </si>
  <si>
    <t>Property 1470</t>
  </si>
  <si>
    <t>555-2340</t>
  </si>
  <si>
    <t>Property 1471</t>
  </si>
  <si>
    <t>555-8699</t>
  </si>
  <si>
    <t>Gym|Pool|Garden</t>
  </si>
  <si>
    <t>Property 1472</t>
  </si>
  <si>
    <t>555-2451</t>
  </si>
  <si>
    <t>Pool|Garden</t>
  </si>
  <si>
    <t>Property 1473</t>
  </si>
  <si>
    <t>555-9828</t>
  </si>
  <si>
    <t>Pool|Barn</t>
  </si>
  <si>
    <t>Property 1474</t>
  </si>
  <si>
    <t>555-2746</t>
  </si>
  <si>
    <t>Pool|Fireplace|Sauna|Garage</t>
  </si>
  <si>
    <t>Property 1475</t>
  </si>
  <si>
    <t>555-2293</t>
  </si>
  <si>
    <t>Property 1476</t>
  </si>
  <si>
    <t>555-2646</t>
  </si>
  <si>
    <t>Garden|Sauna|Elevator|Pool</t>
  </si>
  <si>
    <t>Property 1477</t>
  </si>
  <si>
    <t>555-1647</t>
  </si>
  <si>
    <t>Pool|Barn|Elevator</t>
  </si>
  <si>
    <t>Property 1478</t>
  </si>
  <si>
    <t>555-4531</t>
  </si>
  <si>
    <t>Property 1479</t>
  </si>
  <si>
    <t>555-5849</t>
  </si>
  <si>
    <t>Property 1480</t>
  </si>
  <si>
    <t>555-1773</t>
  </si>
  <si>
    <t>Garage|Elevator|Sauna|Pool</t>
  </si>
  <si>
    <t>Property 1481</t>
  </si>
  <si>
    <t>555-4966</t>
  </si>
  <si>
    <t>Barn|Gym|Fireplace|Garden</t>
  </si>
  <si>
    <t>Property 1482</t>
  </si>
  <si>
    <t>555-2644</t>
  </si>
  <si>
    <t>Property 1483</t>
  </si>
  <si>
    <t>555-5494</t>
  </si>
  <si>
    <t>Property 1484</t>
  </si>
  <si>
    <t>555-6038</t>
  </si>
  <si>
    <t>Sauna|Pool</t>
  </si>
  <si>
    <t>Property 1485</t>
  </si>
  <si>
    <t>555-6537</t>
  </si>
  <si>
    <t>Garage|Gym|Pool|Garden</t>
  </si>
  <si>
    <t>Property 1486</t>
  </si>
  <si>
    <t>555-7443</t>
  </si>
  <si>
    <t>Elevator|Gym|Fireplace</t>
  </si>
  <si>
    <t>Property 1487</t>
  </si>
  <si>
    <t>555-9627</t>
  </si>
  <si>
    <t>Property 1488</t>
  </si>
  <si>
    <t>555-7539</t>
  </si>
  <si>
    <t>Property 1489</t>
  </si>
  <si>
    <t>555-4937</t>
  </si>
  <si>
    <t>Gym|Fireplace</t>
  </si>
  <si>
    <t>Property 1490</t>
  </si>
  <si>
    <t>555-7510</t>
  </si>
  <si>
    <t>Property 1491</t>
  </si>
  <si>
    <t>555-4307</t>
  </si>
  <si>
    <t>Property 1492</t>
  </si>
  <si>
    <t>555-3529</t>
  </si>
  <si>
    <t>Property 1493</t>
  </si>
  <si>
    <t>555-1236</t>
  </si>
  <si>
    <t>Property 1494</t>
  </si>
  <si>
    <t>555-8127</t>
  </si>
  <si>
    <t>Barn|Gym|Sauna|Fireplace</t>
  </si>
  <si>
    <t>Property 1495</t>
  </si>
  <si>
    <t>555-5645</t>
  </si>
  <si>
    <t>Property 1496</t>
  </si>
  <si>
    <t>555-8075</t>
  </si>
  <si>
    <t>Property 1497</t>
  </si>
  <si>
    <t>555-6075</t>
  </si>
  <si>
    <t>Property 1498</t>
  </si>
  <si>
    <t>555-6059</t>
  </si>
  <si>
    <t>Property 1499</t>
  </si>
  <si>
    <t>555-6759</t>
  </si>
  <si>
    <t>Property 1500</t>
  </si>
  <si>
    <t>555-1173</t>
  </si>
  <si>
    <t>Property 1501</t>
  </si>
  <si>
    <t>555-7887</t>
  </si>
  <si>
    <t>Property 1502</t>
  </si>
  <si>
    <t>555-7647</t>
  </si>
  <si>
    <t>Elevator|Fireplace|Garden</t>
  </si>
  <si>
    <t>Property 1503</t>
  </si>
  <si>
    <t>555-5890</t>
  </si>
  <si>
    <t>Property 1504</t>
  </si>
  <si>
    <t>555-1904</t>
  </si>
  <si>
    <t>Sauna|Garage|Fireplace</t>
  </si>
  <si>
    <t>Property 1505</t>
  </si>
  <si>
    <t>Sauna|Pool|Fireplace|Garden</t>
  </si>
  <si>
    <t>Property 1506</t>
  </si>
  <si>
    <t>555-9742</t>
  </si>
  <si>
    <t>Property 1507</t>
  </si>
  <si>
    <t>555-7481</t>
  </si>
  <si>
    <t>Property 1508</t>
  </si>
  <si>
    <t>555-6834</t>
  </si>
  <si>
    <t>Property 1509</t>
  </si>
  <si>
    <t>555-8806</t>
  </si>
  <si>
    <t>Gym|Pool|Garden|Garage</t>
  </si>
  <si>
    <t>Property 1510</t>
  </si>
  <si>
    <t>555-8462</t>
  </si>
  <si>
    <t>Garden|Gym|Elevator|Fireplace</t>
  </si>
  <si>
    <t>Property 1511</t>
  </si>
  <si>
    <t>555-4339</t>
  </si>
  <si>
    <t>Property 1512</t>
  </si>
  <si>
    <t>555-4469</t>
  </si>
  <si>
    <t>Property 1513</t>
  </si>
  <si>
    <t>555-9485</t>
  </si>
  <si>
    <t>Barn|Gym|Garden</t>
  </si>
  <si>
    <t>Property 1514</t>
  </si>
  <si>
    <t>555-8697</t>
  </si>
  <si>
    <t>Gym|Sauna|Garden</t>
  </si>
  <si>
    <t>Property 1515</t>
  </si>
  <si>
    <t>555-4824</t>
  </si>
  <si>
    <t>Property 1516</t>
  </si>
  <si>
    <t>555-6689</t>
  </si>
  <si>
    <t>Property 1517</t>
  </si>
  <si>
    <t>555-3967</t>
  </si>
  <si>
    <t>Property 1518</t>
  </si>
  <si>
    <t>555-5946</t>
  </si>
  <si>
    <t>Property 1519</t>
  </si>
  <si>
    <t>555-9720</t>
  </si>
  <si>
    <t>Property 1520</t>
  </si>
  <si>
    <t>555-7032</t>
  </si>
  <si>
    <t>Property 1521</t>
  </si>
  <si>
    <t>555-2186</t>
  </si>
  <si>
    <t>Fireplace|Barn|Elevator</t>
  </si>
  <si>
    <t>Property 1522</t>
  </si>
  <si>
    <t>555-4379</t>
  </si>
  <si>
    <t>Barn|Elevator|Gym</t>
  </si>
  <si>
    <t>Property 1523</t>
  </si>
  <si>
    <t>555-6953</t>
  </si>
  <si>
    <t>Sauna|Elevator|Fireplace|Garage</t>
  </si>
  <si>
    <t>Property 1524</t>
  </si>
  <si>
    <t>555-3821</t>
  </si>
  <si>
    <t>Property 1525</t>
  </si>
  <si>
    <t>555-1468</t>
  </si>
  <si>
    <t>Barn|Garage|Pool|Garden</t>
  </si>
  <si>
    <t>Property 1526</t>
  </si>
  <si>
    <t>555-8640</t>
  </si>
  <si>
    <t>Property 1527</t>
  </si>
  <si>
    <t>555-5162</t>
  </si>
  <si>
    <t>Barn|Elevator|Pool</t>
  </si>
  <si>
    <t>Property 1528</t>
  </si>
  <si>
    <t>555-1329</t>
  </si>
  <si>
    <t>Property 1529</t>
  </si>
  <si>
    <t>Garden|Sauna|Fireplace</t>
  </si>
  <si>
    <t>Property 1530</t>
  </si>
  <si>
    <t>555-6864</t>
  </si>
  <si>
    <t>Garden|Fireplace|Gym</t>
  </si>
  <si>
    <t>Property 1531</t>
  </si>
  <si>
    <t>555-3763</t>
  </si>
  <si>
    <t>Property 1532</t>
  </si>
  <si>
    <t>555-8307</t>
  </si>
  <si>
    <t>Sauna|Fireplace|Barn|Garage</t>
  </si>
  <si>
    <t>Property 1533</t>
  </si>
  <si>
    <t>555-3676</t>
  </si>
  <si>
    <t>Property 1534</t>
  </si>
  <si>
    <t>555-5663</t>
  </si>
  <si>
    <t>Barn|Pool</t>
  </si>
  <si>
    <t>Property 1535</t>
  </si>
  <si>
    <t>555-2524</t>
  </si>
  <si>
    <t>Elevator|Sauna</t>
  </si>
  <si>
    <t>Property 1536</t>
  </si>
  <si>
    <t>555-3972</t>
  </si>
  <si>
    <t>Property 1537</t>
  </si>
  <si>
    <t>555-5040</t>
  </si>
  <si>
    <t>Property 1538</t>
  </si>
  <si>
    <t>555-8202</t>
  </si>
  <si>
    <t>Property 1539</t>
  </si>
  <si>
    <t>555-1111</t>
  </si>
  <si>
    <t>Property 1540</t>
  </si>
  <si>
    <t>555-5980</t>
  </si>
  <si>
    <t>Garden|Barn|Gym|Elevator</t>
  </si>
  <si>
    <t>Property 1541</t>
  </si>
  <si>
    <t>555-3027</t>
  </si>
  <si>
    <t>Sauna|Gym|Garage|Barn</t>
  </si>
  <si>
    <t>Property 1542</t>
  </si>
  <si>
    <t>555-4055</t>
  </si>
  <si>
    <t>Property 1543</t>
  </si>
  <si>
    <t>Pool|Sauna</t>
  </si>
  <si>
    <t>Property 1544</t>
  </si>
  <si>
    <t>555-7152</t>
  </si>
  <si>
    <t>Pool|Gym|Barn</t>
  </si>
  <si>
    <t>Property 1545</t>
  </si>
  <si>
    <t>555-7548</t>
  </si>
  <si>
    <t>Property 1546</t>
  </si>
  <si>
    <t>555-6368</t>
  </si>
  <si>
    <t>Property 1547</t>
  </si>
  <si>
    <t>555-7267</t>
  </si>
  <si>
    <t>Property 1548</t>
  </si>
  <si>
    <t>555-4927</t>
  </si>
  <si>
    <t>Property 1549</t>
  </si>
  <si>
    <t>555-1364</t>
  </si>
  <si>
    <t>Barn|Sauna|Gym|Elevator</t>
  </si>
  <si>
    <t>Property 1550</t>
  </si>
  <si>
    <t>555-9277</t>
  </si>
  <si>
    <t>Property 1551</t>
  </si>
  <si>
    <t>555-5327</t>
  </si>
  <si>
    <t>Sauna|Pool|Garage|Gym</t>
  </si>
  <si>
    <t>Property 1552</t>
  </si>
  <si>
    <t>555-8225</t>
  </si>
  <si>
    <t>Property 1553</t>
  </si>
  <si>
    <t>555-2389</t>
  </si>
  <si>
    <t>Pool|Sauna|Elevator|Gym</t>
  </si>
  <si>
    <t>Property 1554</t>
  </si>
  <si>
    <t>555-2133</t>
  </si>
  <si>
    <t>Property 1555</t>
  </si>
  <si>
    <t>555-4509</t>
  </si>
  <si>
    <t>Elevator|Garden|Pool</t>
  </si>
  <si>
    <t>Property 1556</t>
  </si>
  <si>
    <t>555-8159</t>
  </si>
  <si>
    <t>Sauna|Garden|Elevator</t>
  </si>
  <si>
    <t>Property 1557</t>
  </si>
  <si>
    <t>555-9754</t>
  </si>
  <si>
    <t>Property 1558</t>
  </si>
  <si>
    <t>555-5404</t>
  </si>
  <si>
    <t>Barn|Fireplace|Garage</t>
  </si>
  <si>
    <t>Property 1559</t>
  </si>
  <si>
    <t>555-2469</t>
  </si>
  <si>
    <t>Property 1560</t>
  </si>
  <si>
    <t>555-7672</t>
  </si>
  <si>
    <t>Elevator|Fireplace|Sauna|Garden</t>
  </si>
  <si>
    <t>Property 1561</t>
  </si>
  <si>
    <t>555-4402</t>
  </si>
  <si>
    <t>Property 1562</t>
  </si>
  <si>
    <t>555-1354</t>
  </si>
  <si>
    <t>Property 1563</t>
  </si>
  <si>
    <t>555-5623</t>
  </si>
  <si>
    <t>Pool|Gym|Elevator|Fireplace</t>
  </si>
  <si>
    <t>Property 1564</t>
  </si>
  <si>
    <t>555-3800</t>
  </si>
  <si>
    <t>Property 1565</t>
  </si>
  <si>
    <t>555-2906</t>
  </si>
  <si>
    <t>Property 1566</t>
  </si>
  <si>
    <t>555-8232</t>
  </si>
  <si>
    <t>Property 1567</t>
  </si>
  <si>
    <t>555-1435</t>
  </si>
  <si>
    <t>Property 1568</t>
  </si>
  <si>
    <t>555-4363</t>
  </si>
  <si>
    <t>Property 1569</t>
  </si>
  <si>
    <t>555-7704</t>
  </si>
  <si>
    <t>Sauna|Barn|Elevator|Pool</t>
  </si>
  <si>
    <t>Property 1570</t>
  </si>
  <si>
    <t>555-5453</t>
  </si>
  <si>
    <t>Garage|Gym|Sauna</t>
  </si>
  <si>
    <t>Property 1571</t>
  </si>
  <si>
    <t>555-5256</t>
  </si>
  <si>
    <t>Property 1572</t>
  </si>
  <si>
    <t>555-9040</t>
  </si>
  <si>
    <t>Property 1573</t>
  </si>
  <si>
    <t>555-7998</t>
  </si>
  <si>
    <t>Elevator|Garden|Gym|Garage</t>
  </si>
  <si>
    <t>Property 1574</t>
  </si>
  <si>
    <t>555-4410</t>
  </si>
  <si>
    <t>Elevator|Gym|Garage</t>
  </si>
  <si>
    <t>Property 1575</t>
  </si>
  <si>
    <t>Pool|Fireplace|Garage</t>
  </si>
  <si>
    <t>Property 1576</t>
  </si>
  <si>
    <t>555-2008</t>
  </si>
  <si>
    <t>Barn|Fireplace|Garden|Garage</t>
  </si>
  <si>
    <t>Property 1577</t>
  </si>
  <si>
    <t>555-4553</t>
  </si>
  <si>
    <t>Property 1578</t>
  </si>
  <si>
    <t>555-2666</t>
  </si>
  <si>
    <t>Property 1579</t>
  </si>
  <si>
    <t>555-2036</t>
  </si>
  <si>
    <t>Property 1580</t>
  </si>
  <si>
    <t>555-3362</t>
  </si>
  <si>
    <t>Property 1581</t>
  </si>
  <si>
    <t>555-6888</t>
  </si>
  <si>
    <t>Property 1582</t>
  </si>
  <si>
    <t>Fireplace|Sauna|Gym</t>
  </si>
  <si>
    <t>Property 1583</t>
  </si>
  <si>
    <t>555-9735</t>
  </si>
  <si>
    <t>Barn|Pool|Elevator|Sauna</t>
  </si>
  <si>
    <t>Property 1584</t>
  </si>
  <si>
    <t>555-3583</t>
  </si>
  <si>
    <t>Sauna|Garden|Gym|Fireplace</t>
  </si>
  <si>
    <t>Property 1585</t>
  </si>
  <si>
    <t>555-8445</t>
  </si>
  <si>
    <t>Fireplace|Elevator|Garden|Barn</t>
  </si>
  <si>
    <t>Property 1586</t>
  </si>
  <si>
    <t>555-8823</t>
  </si>
  <si>
    <t>Barn|Elevator|Gym|Fireplace</t>
  </si>
  <si>
    <t>Property 1587</t>
  </si>
  <si>
    <t>555-9293</t>
  </si>
  <si>
    <t>Property 1588</t>
  </si>
  <si>
    <t>555-5883</t>
  </si>
  <si>
    <t>Property 1589</t>
  </si>
  <si>
    <t>555-6507</t>
  </si>
  <si>
    <t>Property 1590</t>
  </si>
  <si>
    <t>555-3805</t>
  </si>
  <si>
    <t>Property 1591</t>
  </si>
  <si>
    <t>555-7793</t>
  </si>
  <si>
    <t>Garden|Barn</t>
  </si>
  <si>
    <t>Property 1592</t>
  </si>
  <si>
    <t>555-2302</t>
  </si>
  <si>
    <t>Property 1593</t>
  </si>
  <si>
    <t>555-6115</t>
  </si>
  <si>
    <t>Property 1594</t>
  </si>
  <si>
    <t>Property 1595</t>
  </si>
  <si>
    <t>555-9511</t>
  </si>
  <si>
    <t>Fireplace|Garden|Elevator|Barn</t>
  </si>
  <si>
    <t>Property 1596</t>
  </si>
  <si>
    <t>555-7070</t>
  </si>
  <si>
    <t>Elevator|Pool|Barn</t>
  </si>
  <si>
    <t>Property 1597</t>
  </si>
  <si>
    <t>555-3842</t>
  </si>
  <si>
    <t>Garage|Gym|Barn|Sauna</t>
  </si>
  <si>
    <t>Property 1598</t>
  </si>
  <si>
    <t>555-7115</t>
  </si>
  <si>
    <t>Fireplace|Barn</t>
  </si>
  <si>
    <t>Property 1599</t>
  </si>
  <si>
    <t>555-6137</t>
  </si>
  <si>
    <t>Property 1600</t>
  </si>
  <si>
    <t>555-9335</t>
  </si>
  <si>
    <t>Sauna|Elevator|Garden|Barn</t>
  </si>
  <si>
    <t>Property 1601</t>
  </si>
  <si>
    <t>555-6547</t>
  </si>
  <si>
    <t>Property 1602</t>
  </si>
  <si>
    <t>555-4197</t>
  </si>
  <si>
    <t>Property 1603</t>
  </si>
  <si>
    <t>555-1510</t>
  </si>
  <si>
    <t>Gym|Garage|Fireplace</t>
  </si>
  <si>
    <t>Property 1604</t>
  </si>
  <si>
    <t>555-6839</t>
  </si>
  <si>
    <t>Property 1605</t>
  </si>
  <si>
    <t>555-1488</t>
  </si>
  <si>
    <t>Property 1606</t>
  </si>
  <si>
    <t>Property 1607</t>
  </si>
  <si>
    <t>555-4786</t>
  </si>
  <si>
    <t>Property 1608</t>
  </si>
  <si>
    <t>555-1276</t>
  </si>
  <si>
    <t>Property 1609</t>
  </si>
  <si>
    <t>555-1274</t>
  </si>
  <si>
    <t>Gym|Garage|Elevator|Fireplace</t>
  </si>
  <si>
    <t>Property 1610</t>
  </si>
  <si>
    <t>555-7084</t>
  </si>
  <si>
    <t>Property 1611</t>
  </si>
  <si>
    <t>555-9661</t>
  </si>
  <si>
    <t>Garden|Pool|Elevator</t>
  </si>
  <si>
    <t>Property 1612</t>
  </si>
  <si>
    <t>555-3062</t>
  </si>
  <si>
    <t>Pool|Garage|Barn</t>
  </si>
  <si>
    <t>Property 1613</t>
  </si>
  <si>
    <t>555-3517</t>
  </si>
  <si>
    <t>Garden|Pool|Fireplace|Garage</t>
  </si>
  <si>
    <t>Property 1614</t>
  </si>
  <si>
    <t>555-8266</t>
  </si>
  <si>
    <t>Sauna|Fireplace|Gym|Elevator</t>
  </si>
  <si>
    <t>Property 1615</t>
  </si>
  <si>
    <t>555-3458</t>
  </si>
  <si>
    <t>Property 1616</t>
  </si>
  <si>
    <t>555-1109</t>
  </si>
  <si>
    <t>Fireplace|Sauna|Garage</t>
  </si>
  <si>
    <t>Property 1617</t>
  </si>
  <si>
    <t>555-1638</t>
  </si>
  <si>
    <t>Fireplace|Sauna|Elevator</t>
  </si>
  <si>
    <t>Property 1618</t>
  </si>
  <si>
    <t>555-4475</t>
  </si>
  <si>
    <t>Sauna|Pool|Elevator</t>
  </si>
  <si>
    <t>Property 1619</t>
  </si>
  <si>
    <t>555-4359</t>
  </si>
  <si>
    <t>Garage|Pool|Sauna|Fireplace</t>
  </si>
  <si>
    <t>Property 1620</t>
  </si>
  <si>
    <t>555-8580</t>
  </si>
  <si>
    <t>Garage|Elevator|Garden|Sauna</t>
  </si>
  <si>
    <t>Property 1621</t>
  </si>
  <si>
    <t>555-4900</t>
  </si>
  <si>
    <t>Barn|Elevator|Gym|Garden</t>
  </si>
  <si>
    <t>Property 1622</t>
  </si>
  <si>
    <t>555-3149</t>
  </si>
  <si>
    <t>Property 1623</t>
  </si>
  <si>
    <t>555-8991</t>
  </si>
  <si>
    <t>Property 1624</t>
  </si>
  <si>
    <t>555-1397</t>
  </si>
  <si>
    <t>Property 1625</t>
  </si>
  <si>
    <t>555-5748</t>
  </si>
  <si>
    <t>Property 1626</t>
  </si>
  <si>
    <t>555-5166</t>
  </si>
  <si>
    <t>Garage|Garden|Elevator|Fireplace</t>
  </si>
  <si>
    <t>Property 1627</t>
  </si>
  <si>
    <t>555-3944</t>
  </si>
  <si>
    <t>Barn|Fireplace|Gym|Garage</t>
  </si>
  <si>
    <t>Property 1628</t>
  </si>
  <si>
    <t>555-9535</t>
  </si>
  <si>
    <t>Elevator|Fireplace|Sauna|Pool</t>
  </si>
  <si>
    <t>Property 1629</t>
  </si>
  <si>
    <t>555-9938</t>
  </si>
  <si>
    <t>Property 1630</t>
  </si>
  <si>
    <t>555-3347</t>
  </si>
  <si>
    <t>Sauna|Garden|Pool|Fireplace</t>
  </si>
  <si>
    <t>Property 1631</t>
  </si>
  <si>
    <t>555-6677</t>
  </si>
  <si>
    <t>Property 1632</t>
  </si>
  <si>
    <t>555-8303</t>
  </si>
  <si>
    <t>Property 1633</t>
  </si>
  <si>
    <t>555-3491</t>
  </si>
  <si>
    <t>Fireplace|Pool|Elevator|Garden</t>
  </si>
  <si>
    <t>Property 1634</t>
  </si>
  <si>
    <t>555-3902</t>
  </si>
  <si>
    <t>Garage|Sauna|Barn</t>
  </si>
  <si>
    <t>Property 1635</t>
  </si>
  <si>
    <t>555-1100</t>
  </si>
  <si>
    <t>Property 1636</t>
  </si>
  <si>
    <t>555-1099</t>
  </si>
  <si>
    <t>Fireplace|Garden|Garage|Pool</t>
  </si>
  <si>
    <t>Property 1637</t>
  </si>
  <si>
    <t>555-8015</t>
  </si>
  <si>
    <t>Elevator|Sauna|Pool</t>
  </si>
  <si>
    <t>Property 1638</t>
  </si>
  <si>
    <t>555-5840</t>
  </si>
  <si>
    <t>Property 1639</t>
  </si>
  <si>
    <t>555-9152</t>
  </si>
  <si>
    <t>Pool|Gym|Fireplace|Barn</t>
  </si>
  <si>
    <t>Property 1640</t>
  </si>
  <si>
    <t>555-2379</t>
  </si>
  <si>
    <t>Property 1641</t>
  </si>
  <si>
    <t>555-5156</t>
  </si>
  <si>
    <t>Property 1642</t>
  </si>
  <si>
    <t>555-9550</t>
  </si>
  <si>
    <t>Property 1643</t>
  </si>
  <si>
    <t>555-1800</t>
  </si>
  <si>
    <t>Property 1644</t>
  </si>
  <si>
    <t>555-1052</t>
  </si>
  <si>
    <t>Barn|Sauna</t>
  </si>
  <si>
    <t>Property 1645</t>
  </si>
  <si>
    <t>555-6268</t>
  </si>
  <si>
    <t>Gym|Fireplace|Barn|Pool</t>
  </si>
  <si>
    <t>Property 1646</t>
  </si>
  <si>
    <t>555-2335</t>
  </si>
  <si>
    <t>Property 1647</t>
  </si>
  <si>
    <t>555-9944</t>
  </si>
  <si>
    <t>Property 1648</t>
  </si>
  <si>
    <t>555-8243</t>
  </si>
  <si>
    <t>Pool|Barn|Sauna|Garage</t>
  </si>
  <si>
    <t>Property 1649</t>
  </si>
  <si>
    <t>Property 1650</t>
  </si>
  <si>
    <t>555-5879</t>
  </si>
  <si>
    <t>Elevator|Fireplace|Barn|Garden</t>
  </si>
  <si>
    <t>Property 1651</t>
  </si>
  <si>
    <t>555-1090</t>
  </si>
  <si>
    <t>Garden|Garage|Fireplace</t>
  </si>
  <si>
    <t>Property 1652</t>
  </si>
  <si>
    <t>555-3437</t>
  </si>
  <si>
    <t>Property 1653</t>
  </si>
  <si>
    <t>555-5612</t>
  </si>
  <si>
    <t>Barn|Gym|Elevator</t>
  </si>
  <si>
    <t>Property 1654</t>
  </si>
  <si>
    <t>555-7350</t>
  </si>
  <si>
    <t>Property 1655</t>
  </si>
  <si>
    <t>555-7862</t>
  </si>
  <si>
    <t>Property 1656</t>
  </si>
  <si>
    <t>555-9138</t>
  </si>
  <si>
    <t>Property 1657</t>
  </si>
  <si>
    <t>555-9267</t>
  </si>
  <si>
    <t>Garden|Sauna|Barn|Gym</t>
  </si>
  <si>
    <t>Property 1658</t>
  </si>
  <si>
    <t>555-6830</t>
  </si>
  <si>
    <t>Property 1659</t>
  </si>
  <si>
    <t>Property 1660</t>
  </si>
  <si>
    <t>555-7054</t>
  </si>
  <si>
    <t>Elevator|Garage|Garden</t>
  </si>
  <si>
    <t>Property 1661</t>
  </si>
  <si>
    <t>555-6592</t>
  </si>
  <si>
    <t>Property 1662</t>
  </si>
  <si>
    <t>Property 1663</t>
  </si>
  <si>
    <t>555-6878</t>
  </si>
  <si>
    <t>Property 1664</t>
  </si>
  <si>
    <t>555-7854</t>
  </si>
  <si>
    <t>Property 1665</t>
  </si>
  <si>
    <t>555-4851</t>
  </si>
  <si>
    <t>Barn|Gym|Garden|Elevator</t>
  </si>
  <si>
    <t>Property 1666</t>
  </si>
  <si>
    <t>555-5829</t>
  </si>
  <si>
    <t>Property 1667</t>
  </si>
  <si>
    <t>555-2612</t>
  </si>
  <si>
    <t>Property 1668</t>
  </si>
  <si>
    <t>555-1810</t>
  </si>
  <si>
    <t>Barn|Elevator|Fireplace</t>
  </si>
  <si>
    <t>Property 1669</t>
  </si>
  <si>
    <t>555-8069</t>
  </si>
  <si>
    <t>Fireplace|Elevator|Pool|Barn</t>
  </si>
  <si>
    <t>Property 1670</t>
  </si>
  <si>
    <t>555-1255</t>
  </si>
  <si>
    <t>Property 1671</t>
  </si>
  <si>
    <t>555-3612</t>
  </si>
  <si>
    <t>Pool|Elevator|Sauna|Garage</t>
  </si>
  <si>
    <t>Property 1672</t>
  </si>
  <si>
    <t>555-7310</t>
  </si>
  <si>
    <t>Property 1673</t>
  </si>
  <si>
    <t>555-3419</t>
  </si>
  <si>
    <t>Property 1674</t>
  </si>
  <si>
    <t>555-9219</t>
  </si>
  <si>
    <t>Property 1675</t>
  </si>
  <si>
    <t>Property 1676</t>
  </si>
  <si>
    <t>555-5502</t>
  </si>
  <si>
    <t>Barn|Garage|Gym</t>
  </si>
  <si>
    <t>Property 1677</t>
  </si>
  <si>
    <t>555-8384</t>
  </si>
  <si>
    <t>Property 1678</t>
  </si>
  <si>
    <t>555-7040</t>
  </si>
  <si>
    <t>Property 1679</t>
  </si>
  <si>
    <t>555-8484</t>
  </si>
  <si>
    <t>Barn|Fireplace|Elevator|Sauna</t>
  </si>
  <si>
    <t>Property 1680</t>
  </si>
  <si>
    <t>555-5165</t>
  </si>
  <si>
    <t>Garden|Fireplace|Sauna</t>
  </si>
  <si>
    <t>Property 1681</t>
  </si>
  <si>
    <t>555-7218</t>
  </si>
  <si>
    <t>Property 1682</t>
  </si>
  <si>
    <t>555-6388</t>
  </si>
  <si>
    <t>Pool|Fireplace|Sauna</t>
  </si>
  <si>
    <t>Property 1683</t>
  </si>
  <si>
    <t>555-3904</t>
  </si>
  <si>
    <t>Barn|Pool|Elevator|Fireplace</t>
  </si>
  <si>
    <t>Property 1684</t>
  </si>
  <si>
    <t>555-5243</t>
  </si>
  <si>
    <t>Property 1685</t>
  </si>
  <si>
    <t>555-5775</t>
  </si>
  <si>
    <t>Property 1686</t>
  </si>
  <si>
    <t>555-8874</t>
  </si>
  <si>
    <t>Property 1687</t>
  </si>
  <si>
    <t>555-7017</t>
  </si>
  <si>
    <t>Fireplace|Elevator|Garage|Pool</t>
  </si>
  <si>
    <t>Property 1688</t>
  </si>
  <si>
    <t>555-2993</t>
  </si>
  <si>
    <t>Garden|Sauna|Pool|Elevator</t>
  </si>
  <si>
    <t>Property 1689</t>
  </si>
  <si>
    <t>555-6178</t>
  </si>
  <si>
    <t>Property 1690</t>
  </si>
  <si>
    <t>Property 1691</t>
  </si>
  <si>
    <t>555-3637</t>
  </si>
  <si>
    <t>Property 1692</t>
  </si>
  <si>
    <t>555-7484</t>
  </si>
  <si>
    <t>Property 1693</t>
  </si>
  <si>
    <t>555-9689</t>
  </si>
  <si>
    <t>Property 1694</t>
  </si>
  <si>
    <t>555-8448</t>
  </si>
  <si>
    <t>Property 1695</t>
  </si>
  <si>
    <t>555-2445</t>
  </si>
  <si>
    <t>Sauna|Garage|Barn|Elevator</t>
  </si>
  <si>
    <t>Property 1696</t>
  </si>
  <si>
    <t>555-1942</t>
  </si>
  <si>
    <t>Barn|Gym|Pool|Elevator</t>
  </si>
  <si>
    <t>Property 1697</t>
  </si>
  <si>
    <t>555-7649</t>
  </si>
  <si>
    <t>Garden|Sauna|Elevator|Gym</t>
  </si>
  <si>
    <t>Property 1698</t>
  </si>
  <si>
    <t>555-5810</t>
  </si>
  <si>
    <t>Garage|Garden|Pool</t>
  </si>
  <si>
    <t>Property 1699</t>
  </si>
  <si>
    <t>555-1283</t>
  </si>
  <si>
    <t>Property 1700</t>
  </si>
  <si>
    <t>Property 1701</t>
  </si>
  <si>
    <t>555-7758</t>
  </si>
  <si>
    <t>Sauna|Gym|Garden|Fireplace</t>
  </si>
  <si>
    <t>Property 1702</t>
  </si>
  <si>
    <t>555-3318</t>
  </si>
  <si>
    <t>Elevator|Pool|Gym</t>
  </si>
  <si>
    <t>Property 1703</t>
  </si>
  <si>
    <t>555-8956</t>
  </si>
  <si>
    <t>Property 1704</t>
  </si>
  <si>
    <t>555-3617</t>
  </si>
  <si>
    <t>Property 1705</t>
  </si>
  <si>
    <t>555-1952</t>
  </si>
  <si>
    <t>Property 1706</t>
  </si>
  <si>
    <t>555-8160</t>
  </si>
  <si>
    <t>Fireplace|Elevator|Gym|Garden</t>
  </si>
  <si>
    <t>Property 1707</t>
  </si>
  <si>
    <t>555-8007</t>
  </si>
  <si>
    <t>Garden|Elevator|Barn|Sauna</t>
  </si>
  <si>
    <t>Property 1708</t>
  </si>
  <si>
    <t>555-6343</t>
  </si>
  <si>
    <t>Property 1709</t>
  </si>
  <si>
    <t>Property 1710</t>
  </si>
  <si>
    <t>555-3125</t>
  </si>
  <si>
    <t>Elevator|Fireplace|Garden|Sauna</t>
  </si>
  <si>
    <t>Property 1711</t>
  </si>
  <si>
    <t>555-2717</t>
  </si>
  <si>
    <t>Property 1712</t>
  </si>
  <si>
    <t>555-2439</t>
  </si>
  <si>
    <t>Property 1713</t>
  </si>
  <si>
    <t>555-4562</t>
  </si>
  <si>
    <t>Property 1714</t>
  </si>
  <si>
    <t>555-2358</t>
  </si>
  <si>
    <t>Property 1715</t>
  </si>
  <si>
    <t>555-7290</t>
  </si>
  <si>
    <t>Property 1716</t>
  </si>
  <si>
    <t>555-3772</t>
  </si>
  <si>
    <t>Property 1717</t>
  </si>
  <si>
    <t>555-8505</t>
  </si>
  <si>
    <t>Barn|Pool|Garden|Garage</t>
  </si>
  <si>
    <t>Property 1718</t>
  </si>
  <si>
    <t>555-4897</t>
  </si>
  <si>
    <t>Fireplace|Gym|Garden</t>
  </si>
  <si>
    <t>Property 1719</t>
  </si>
  <si>
    <t>555-2138</t>
  </si>
  <si>
    <t>Barn|Gym|Elevator|Fireplace</t>
  </si>
  <si>
    <t>Property 1720</t>
  </si>
  <si>
    <t>555-8963</t>
  </si>
  <si>
    <t>Property 1721</t>
  </si>
  <si>
    <t>555-6453</t>
  </si>
  <si>
    <t>Property 1722</t>
  </si>
  <si>
    <t>555-8022</t>
  </si>
  <si>
    <t>Property 1723</t>
  </si>
  <si>
    <t>555-3071</t>
  </si>
  <si>
    <t>Garage|Sauna|Pool|Gym</t>
  </si>
  <si>
    <t>Property 1724</t>
  </si>
  <si>
    <t>555-5643</t>
  </si>
  <si>
    <t>Property 1725</t>
  </si>
  <si>
    <t>Property 1726</t>
  </si>
  <si>
    <t>555-6422</t>
  </si>
  <si>
    <t>Pool|Elevator|Garden|Garage</t>
  </si>
  <si>
    <t>Property 1727</t>
  </si>
  <si>
    <t>555-1917</t>
  </si>
  <si>
    <t>Property 1728</t>
  </si>
  <si>
    <t>555-7368</t>
  </si>
  <si>
    <t>Property 1729</t>
  </si>
  <si>
    <t>555-3459</t>
  </si>
  <si>
    <t>Property 1730</t>
  </si>
  <si>
    <t>555-1850</t>
  </si>
  <si>
    <t>Garage|Gym|Garden|Pool</t>
  </si>
  <si>
    <t>Property 1731</t>
  </si>
  <si>
    <t>555-5655</t>
  </si>
  <si>
    <t>Sauna|Pool|Garden</t>
  </si>
  <si>
    <t>Property 1732</t>
  </si>
  <si>
    <t>555-3681</t>
  </si>
  <si>
    <t>Garden|Garage|Barn</t>
  </si>
  <si>
    <t>Property 1733</t>
  </si>
  <si>
    <t>555-1314</t>
  </si>
  <si>
    <t>Garage|Garden|Gym|Elevator</t>
  </si>
  <si>
    <t>Property 1734</t>
  </si>
  <si>
    <t>555-6727</t>
  </si>
  <si>
    <t>Property 1735</t>
  </si>
  <si>
    <t>555-8261</t>
  </si>
  <si>
    <t>Property 1736</t>
  </si>
  <si>
    <t>555-7332</t>
  </si>
  <si>
    <t>Property 1737</t>
  </si>
  <si>
    <t>555-9044</t>
  </si>
  <si>
    <t>Fireplace|Pool|Garage|Sauna</t>
  </si>
  <si>
    <t>Property 1738</t>
  </si>
  <si>
    <t>555-5446</t>
  </si>
  <si>
    <t>Pool|Elevator|Barn|Gym</t>
  </si>
  <si>
    <t>Property 1739</t>
  </si>
  <si>
    <t>555-8394</t>
  </si>
  <si>
    <t>Garden|Barn|Fireplace|Pool</t>
  </si>
  <si>
    <t>Property 1740</t>
  </si>
  <si>
    <t>555-3773</t>
  </si>
  <si>
    <t>Barn|Garage</t>
  </si>
  <si>
    <t>Property 1741</t>
  </si>
  <si>
    <t>555-9146</t>
  </si>
  <si>
    <t>Property 1742</t>
  </si>
  <si>
    <t>555-6644</t>
  </si>
  <si>
    <t>Gym|Elevator|Pool|Garage</t>
  </si>
  <si>
    <t>Property 1743</t>
  </si>
  <si>
    <t>555-3193</t>
  </si>
  <si>
    <t>Property 1744</t>
  </si>
  <si>
    <t>555-7252</t>
  </si>
  <si>
    <t>Property 1745</t>
  </si>
  <si>
    <t>555-3451</t>
  </si>
  <si>
    <t>Gym|Garden|Elevator|Garage</t>
  </si>
  <si>
    <t>Property 1746</t>
  </si>
  <si>
    <t>555-9238</t>
  </si>
  <si>
    <t>Property 1747</t>
  </si>
  <si>
    <t>555-1464</t>
  </si>
  <si>
    <t>Property 1748</t>
  </si>
  <si>
    <t>555-8800</t>
  </si>
  <si>
    <t>Property 1749</t>
  </si>
  <si>
    <t>555-8103</t>
  </si>
  <si>
    <t>Property 1750</t>
  </si>
  <si>
    <t>555-1227</t>
  </si>
  <si>
    <t>Property 1751</t>
  </si>
  <si>
    <t>555-5610</t>
  </si>
  <si>
    <t>Sauna|Fireplace|Garage|Elevator</t>
  </si>
  <si>
    <t>Property 1752</t>
  </si>
  <si>
    <t>555-1675</t>
  </si>
  <si>
    <t>Property 1753</t>
  </si>
  <si>
    <t>555-5181</t>
  </si>
  <si>
    <t>Barn|Gym|Garage</t>
  </si>
  <si>
    <t>Property 1754</t>
  </si>
  <si>
    <t>555-7131</t>
  </si>
  <si>
    <t>Barn|Sauna|Elevator|Fireplace</t>
  </si>
  <si>
    <t>Property 1755</t>
  </si>
  <si>
    <t>555-5135</t>
  </si>
  <si>
    <t>Property 1756</t>
  </si>
  <si>
    <t>Property 1757</t>
  </si>
  <si>
    <t>555-1367</t>
  </si>
  <si>
    <t>Property 1758</t>
  </si>
  <si>
    <t>Garden|Elevator|Fireplace</t>
  </si>
  <si>
    <t>Property 1759</t>
  </si>
  <si>
    <t>555-6090</t>
  </si>
  <si>
    <t>Property 1760</t>
  </si>
  <si>
    <t>555-3333</t>
  </si>
  <si>
    <t>Property 1761</t>
  </si>
  <si>
    <t>555-6540</t>
  </si>
  <si>
    <t>Property 1762</t>
  </si>
  <si>
    <t>555-3939</t>
  </si>
  <si>
    <t>Sauna|Pool|Elevator|Fireplace</t>
  </si>
  <si>
    <t>Property 1763</t>
  </si>
  <si>
    <t>555-7604</t>
  </si>
  <si>
    <t>Property 1764</t>
  </si>
  <si>
    <t>Fireplace|Barn|Sauna|Gym</t>
  </si>
  <si>
    <t>Property 1765</t>
  </si>
  <si>
    <t>555-4442</t>
  </si>
  <si>
    <t>Property 1766</t>
  </si>
  <si>
    <t>555-5416</t>
  </si>
  <si>
    <t>Property 1767</t>
  </si>
  <si>
    <t>555-7409</t>
  </si>
  <si>
    <t>Property 1768</t>
  </si>
  <si>
    <t>555-1235</t>
  </si>
  <si>
    <t>Property 1769</t>
  </si>
  <si>
    <t>555-9563</t>
  </si>
  <si>
    <t>Pool|Elevator|Sauna|Barn</t>
  </si>
  <si>
    <t>Property 1770</t>
  </si>
  <si>
    <t>555-7030</t>
  </si>
  <si>
    <t>Property 1771</t>
  </si>
  <si>
    <t>555-2281</t>
  </si>
  <si>
    <t>Property 1772</t>
  </si>
  <si>
    <t>555-2009</t>
  </si>
  <si>
    <t>Fireplace|Garden|Gym</t>
  </si>
  <si>
    <t>Property 1773</t>
  </si>
  <si>
    <t>555-5669</t>
  </si>
  <si>
    <t>Property 1774</t>
  </si>
  <si>
    <t>555-5385</t>
  </si>
  <si>
    <t>Property 1775</t>
  </si>
  <si>
    <t>555-5745</t>
  </si>
  <si>
    <t>Property 1776</t>
  </si>
  <si>
    <t>555-9286</t>
  </si>
  <si>
    <t>Pool|Garden|Gym</t>
  </si>
  <si>
    <t>Property 1777</t>
  </si>
  <si>
    <t>555-8133</t>
  </si>
  <si>
    <t>Property 1778</t>
  </si>
  <si>
    <t>555-6280</t>
  </si>
  <si>
    <t>Fireplace|Elevator|Sauna|Garage</t>
  </si>
  <si>
    <t>Property 1779</t>
  </si>
  <si>
    <t>555-5952</t>
  </si>
  <si>
    <t>Elevator|Gym|Garden|Sauna</t>
  </si>
  <si>
    <t>Property 1780</t>
  </si>
  <si>
    <t>555-5251</t>
  </si>
  <si>
    <t>Property 1781</t>
  </si>
  <si>
    <t>555-3825</t>
  </si>
  <si>
    <t>Property 1782</t>
  </si>
  <si>
    <t>555-1634</t>
  </si>
  <si>
    <t>Garage|Sauna|Pool|Elevator</t>
  </si>
  <si>
    <t>Property 1783</t>
  </si>
  <si>
    <t>555-2724</t>
  </si>
  <si>
    <t>Garden|Gym|Sauna|Pool</t>
  </si>
  <si>
    <t>Property 1784</t>
  </si>
  <si>
    <t>555-4976</t>
  </si>
  <si>
    <t>Garden|Sauna|Elevator</t>
  </si>
  <si>
    <t>Property 1785</t>
  </si>
  <si>
    <t>555-5896</t>
  </si>
  <si>
    <t>Property 1786</t>
  </si>
  <si>
    <t>555-8628</t>
  </si>
  <si>
    <t>Property 1787</t>
  </si>
  <si>
    <t>555-5180</t>
  </si>
  <si>
    <t>Property 1788</t>
  </si>
  <si>
    <t>555-3873</t>
  </si>
  <si>
    <t>Property 1789</t>
  </si>
  <si>
    <t>555-4842</t>
  </si>
  <si>
    <t>Property 1790</t>
  </si>
  <si>
    <t>555-1272</t>
  </si>
  <si>
    <t>Property 1791</t>
  </si>
  <si>
    <t>555-1185</t>
  </si>
  <si>
    <t>Gym|Garden|Garage|Barn</t>
  </si>
  <si>
    <t>Property 1792</t>
  </si>
  <si>
    <t>555-1865</t>
  </si>
  <si>
    <t>Property 1793</t>
  </si>
  <si>
    <t>555-2116</t>
  </si>
  <si>
    <t>Garage|Garden|Barn</t>
  </si>
  <si>
    <t>Property 1794</t>
  </si>
  <si>
    <t>555-3549</t>
  </si>
  <si>
    <t>Property 1795</t>
  </si>
  <si>
    <t>555-7885</t>
  </si>
  <si>
    <t>Garden|Garage|Elevator|Sauna</t>
  </si>
  <si>
    <t>Property 1796</t>
  </si>
  <si>
    <t>555-6707</t>
  </si>
  <si>
    <t>Gym|Garden|Sauna|Barn</t>
  </si>
  <si>
    <t>Property 1797</t>
  </si>
  <si>
    <t>555-5991</t>
  </si>
  <si>
    <t>Property 1798</t>
  </si>
  <si>
    <t>555-7107</t>
  </si>
  <si>
    <t>Gym|Sauna|Fireplace|Barn</t>
  </si>
  <si>
    <t>Property 1799</t>
  </si>
  <si>
    <t>555-8968</t>
  </si>
  <si>
    <t>Property 1800</t>
  </si>
  <si>
    <t>Property 1801</t>
  </si>
  <si>
    <t>555-7943</t>
  </si>
  <si>
    <t>Property 1802</t>
  </si>
  <si>
    <t>555-7247</t>
  </si>
  <si>
    <t>Gym|Sauna|Elevator|Garage</t>
  </si>
  <si>
    <t>Property 1803</t>
  </si>
  <si>
    <t>555-1002</t>
  </si>
  <si>
    <t>Fireplace|Sauna|Barn|Gym</t>
  </si>
  <si>
    <t>Property 1804</t>
  </si>
  <si>
    <t>555-5099</t>
  </si>
  <si>
    <t>Property 1805</t>
  </si>
  <si>
    <t>555-4281</t>
  </si>
  <si>
    <t>Property 1806</t>
  </si>
  <si>
    <t>555-8039</t>
  </si>
  <si>
    <t>Property 1807</t>
  </si>
  <si>
    <t>555-9892</t>
  </si>
  <si>
    <t>Property 1808</t>
  </si>
  <si>
    <t>555-2111</t>
  </si>
  <si>
    <t>Property 1809</t>
  </si>
  <si>
    <t>555-7884</t>
  </si>
  <si>
    <t>Barn|Fireplace|Sauna</t>
  </si>
  <si>
    <t>Property 1810</t>
  </si>
  <si>
    <t>555-2663</t>
  </si>
  <si>
    <t>Property 1811</t>
  </si>
  <si>
    <t>555-3875</t>
  </si>
  <si>
    <t>Property 1812</t>
  </si>
  <si>
    <t>555-9510</t>
  </si>
  <si>
    <t>Property 1813</t>
  </si>
  <si>
    <t>555-7760</t>
  </si>
  <si>
    <t>Barn|Garden|Gym</t>
  </si>
  <si>
    <t>Property 1814</t>
  </si>
  <si>
    <t>555-5164</t>
  </si>
  <si>
    <t>Property 1815</t>
  </si>
  <si>
    <t>Garden|Elevator|Barn|Fireplace</t>
  </si>
  <si>
    <t>Property 1816</t>
  </si>
  <si>
    <t>555-6642</t>
  </si>
  <si>
    <t>Gym|Fireplace|Pool|Sauna</t>
  </si>
  <si>
    <t>Property 1817</t>
  </si>
  <si>
    <t>555-6498</t>
  </si>
  <si>
    <t>Garden|Fireplace|Gym|Barn</t>
  </si>
  <si>
    <t>Property 1818</t>
  </si>
  <si>
    <t>555-1456</t>
  </si>
  <si>
    <t>Elevator|Pool|Sauna|Barn</t>
  </si>
  <si>
    <t>Property 1819</t>
  </si>
  <si>
    <t>555-6089</t>
  </si>
  <si>
    <t>Property 1820</t>
  </si>
  <si>
    <t>555-9304</t>
  </si>
  <si>
    <t>Fireplace|Gym|Garage|Sauna</t>
  </si>
  <si>
    <t>Property 1821</t>
  </si>
  <si>
    <t>555-5209</t>
  </si>
  <si>
    <t>Fireplace|Gym|Elevator</t>
  </si>
  <si>
    <t>Property 1822</t>
  </si>
  <si>
    <t>555-7725</t>
  </si>
  <si>
    <t>Fireplace|Gym|Garden|Sauna</t>
  </si>
  <si>
    <t>Property 1823</t>
  </si>
  <si>
    <t>555-1438</t>
  </si>
  <si>
    <t>Property 1824</t>
  </si>
  <si>
    <t>555-8566</t>
  </si>
  <si>
    <t>Property 1825</t>
  </si>
  <si>
    <t>555-5417</t>
  </si>
  <si>
    <t>Elevator|Barn|Sauna|Pool</t>
  </si>
  <si>
    <t>Property 1826</t>
  </si>
  <si>
    <t>555-2314</t>
  </si>
  <si>
    <t>Property 1827</t>
  </si>
  <si>
    <t>555-9077</t>
  </si>
  <si>
    <t>Property 1828</t>
  </si>
  <si>
    <t>555-9169</t>
  </si>
  <si>
    <t>Garden|Pool|Fireplace|Sauna</t>
  </si>
  <si>
    <t>Property 1829</t>
  </si>
  <si>
    <t>555-5646</t>
  </si>
  <si>
    <t>Property 1830</t>
  </si>
  <si>
    <t>555-5505</t>
  </si>
  <si>
    <t>Property 1831</t>
  </si>
  <si>
    <t>555-6067</t>
  </si>
  <si>
    <t>Elevator|Fireplace|Gym|Sauna</t>
  </si>
  <si>
    <t>Property 1832</t>
  </si>
  <si>
    <t>555-7975</t>
  </si>
  <si>
    <t>Property 1833</t>
  </si>
  <si>
    <t>555-3951</t>
  </si>
  <si>
    <t>Barn|Elevator|Gym|Pool</t>
  </si>
  <si>
    <t>Property 1834</t>
  </si>
  <si>
    <t>555-9766</t>
  </si>
  <si>
    <t>Elevator|Barn|Garden|Gym</t>
  </si>
  <si>
    <t>Property 1835</t>
  </si>
  <si>
    <t>555-1835</t>
  </si>
  <si>
    <t>Property 1836</t>
  </si>
  <si>
    <t>555-3783</t>
  </si>
  <si>
    <t>Property 1837</t>
  </si>
  <si>
    <t>555-5917</t>
  </si>
  <si>
    <t>Fireplace|Barn|Garage</t>
  </si>
  <si>
    <t>Property 1838</t>
  </si>
  <si>
    <t>555-9186</t>
  </si>
  <si>
    <t>Property 1839</t>
  </si>
  <si>
    <t>555-5536</t>
  </si>
  <si>
    <t>Garage|Gym|Garden</t>
  </si>
  <si>
    <t>Property 1840</t>
  </si>
  <si>
    <t>555-9347</t>
  </si>
  <si>
    <t>Property 1841</t>
  </si>
  <si>
    <t>555-6400</t>
  </si>
  <si>
    <t>Pool|Gym|Garage|Garden</t>
  </si>
  <si>
    <t>Property 1842</t>
  </si>
  <si>
    <t>555-1688</t>
  </si>
  <si>
    <t>Property 1843</t>
  </si>
  <si>
    <t>Property 1844</t>
  </si>
  <si>
    <t>555-1053</t>
  </si>
  <si>
    <t>Property 1845</t>
  </si>
  <si>
    <t>555-9974</t>
  </si>
  <si>
    <t>Property 1846</t>
  </si>
  <si>
    <t>555-1981</t>
  </si>
  <si>
    <t>Gym|Garage|Pool|Barn</t>
  </si>
  <si>
    <t>Property 1847</t>
  </si>
  <si>
    <t>555-6805</t>
  </si>
  <si>
    <t>Fireplace|Barn|Garden</t>
  </si>
  <si>
    <t>Property 1848</t>
  </si>
  <si>
    <t>555-8669</t>
  </si>
  <si>
    <t>Property 1849</t>
  </si>
  <si>
    <t>555-1601</t>
  </si>
  <si>
    <t>Property 1850</t>
  </si>
  <si>
    <t>555-9605</t>
  </si>
  <si>
    <t>Pool|Garden|Fireplace|Garage</t>
  </si>
  <si>
    <t>Property 1851</t>
  </si>
  <si>
    <t>Property 1852</t>
  </si>
  <si>
    <t>555-9373</t>
  </si>
  <si>
    <t>Property 1853</t>
  </si>
  <si>
    <t>555-3029</t>
  </si>
  <si>
    <t>Property 1854</t>
  </si>
  <si>
    <t>555-2905</t>
  </si>
  <si>
    <t>Property 1855</t>
  </si>
  <si>
    <t>555-8826</t>
  </si>
  <si>
    <t>Gym|Fireplace|Barn|Garden</t>
  </si>
  <si>
    <t>Property 1856</t>
  </si>
  <si>
    <t>555-1907</t>
  </si>
  <si>
    <t>Garden|Barn|Garage|Pool</t>
  </si>
  <si>
    <t>Property 1857</t>
  </si>
  <si>
    <t>555-5343</t>
  </si>
  <si>
    <t>Property 1858</t>
  </si>
  <si>
    <t>555-9718</t>
  </si>
  <si>
    <t>Property 1859</t>
  </si>
  <si>
    <t>555-6494</t>
  </si>
  <si>
    <t>Fireplace|Elevator|Barn|Pool</t>
  </si>
  <si>
    <t>Property 1860</t>
  </si>
  <si>
    <t>555-9149</t>
  </si>
  <si>
    <t>Property 1861</t>
  </si>
  <si>
    <t>555-2587</t>
  </si>
  <si>
    <t>Property 1862</t>
  </si>
  <si>
    <t>555-8915</t>
  </si>
  <si>
    <t>Property 1863</t>
  </si>
  <si>
    <t>555-2242</t>
  </si>
  <si>
    <t>Property 1864</t>
  </si>
  <si>
    <t>555-1012</t>
  </si>
  <si>
    <t>Property 1865</t>
  </si>
  <si>
    <t>555-4502</t>
  </si>
  <si>
    <t>Property 1866</t>
  </si>
  <si>
    <t>Property 1867</t>
  </si>
  <si>
    <t>555-1782</t>
  </si>
  <si>
    <t>Pool|Garden|Barn|Fireplace</t>
  </si>
  <si>
    <t>Property 1868</t>
  </si>
  <si>
    <t>555-6295</t>
  </si>
  <si>
    <t>Property 1869</t>
  </si>
  <si>
    <t>555-4800</t>
  </si>
  <si>
    <t>Sauna|Gym|Garden|Elevator</t>
  </si>
  <si>
    <t>Property 1870</t>
  </si>
  <si>
    <t>555-4364</t>
  </si>
  <si>
    <t>Property 1871</t>
  </si>
  <si>
    <t>Property 1872</t>
  </si>
  <si>
    <t>555-8419</t>
  </si>
  <si>
    <t>Property 1873</t>
  </si>
  <si>
    <t>555-2368</t>
  </si>
  <si>
    <t>Property 1874</t>
  </si>
  <si>
    <t>555-8038</t>
  </si>
  <si>
    <t>Fireplace|Elevator|Barn|Garden</t>
  </si>
  <si>
    <t>Property 1875</t>
  </si>
  <si>
    <t>555-4683</t>
  </si>
  <si>
    <t>Property 1876</t>
  </si>
  <si>
    <t>555-3054</t>
  </si>
  <si>
    <t>Sauna|Fireplace|Gym</t>
  </si>
  <si>
    <t>Property 1877</t>
  </si>
  <si>
    <t>555-1071</t>
  </si>
  <si>
    <t>Property 1878</t>
  </si>
  <si>
    <t>555-3319</t>
  </si>
  <si>
    <t>Property 1879</t>
  </si>
  <si>
    <t>555-2532</t>
  </si>
  <si>
    <t>Property 1880</t>
  </si>
  <si>
    <t>555-2548</t>
  </si>
  <si>
    <t>Sauna|Garden|Garage|Pool</t>
  </si>
  <si>
    <t>Property 1881</t>
  </si>
  <si>
    <t>555-1483</t>
  </si>
  <si>
    <t>Property 1882</t>
  </si>
  <si>
    <t>555-8970</t>
  </si>
  <si>
    <t>Property 1883</t>
  </si>
  <si>
    <t>555-4179</t>
  </si>
  <si>
    <t>Property 1884</t>
  </si>
  <si>
    <t>555-2382</t>
  </si>
  <si>
    <t>Elevator|Pool|Garden|Barn</t>
  </si>
  <si>
    <t>Property 1885</t>
  </si>
  <si>
    <t>555-5968</t>
  </si>
  <si>
    <t>Property 1886</t>
  </si>
  <si>
    <t>555-2932</t>
  </si>
  <si>
    <t>Gym|Garden|Pool|Elevator</t>
  </si>
  <si>
    <t>Property 1887</t>
  </si>
  <si>
    <t>555-8318</t>
  </si>
  <si>
    <t>Gym|Garage|Pool</t>
  </si>
  <si>
    <t>Property 1888</t>
  </si>
  <si>
    <t>555-8604</t>
  </si>
  <si>
    <t>Property 1889</t>
  </si>
  <si>
    <t>555-1738</t>
  </si>
  <si>
    <t>Property 1890</t>
  </si>
  <si>
    <t>555-6092</t>
  </si>
  <si>
    <t>Gym|Sauna|Garage|Elevator</t>
  </si>
  <si>
    <t>Property 1891</t>
  </si>
  <si>
    <t>555-1240</t>
  </si>
  <si>
    <t>Property 1892</t>
  </si>
  <si>
    <t>Property 1893</t>
  </si>
  <si>
    <t>555-7985</t>
  </si>
  <si>
    <t>Gym|Pool|Sauna|Elevator</t>
  </si>
  <si>
    <t>Property 1894</t>
  </si>
  <si>
    <t>555-2914</t>
  </si>
  <si>
    <t>Property 1895</t>
  </si>
  <si>
    <t>555-5595</t>
  </si>
  <si>
    <t>Property 1896</t>
  </si>
  <si>
    <t>555-1073</t>
  </si>
  <si>
    <t>Property 1897</t>
  </si>
  <si>
    <t>555-5956</t>
  </si>
  <si>
    <t>Property 1898</t>
  </si>
  <si>
    <t>555-1537</t>
  </si>
  <si>
    <t>Property 1899</t>
  </si>
  <si>
    <t>555-8548</t>
  </si>
  <si>
    <t>Garage|Fireplace|Pool|Sauna</t>
  </si>
  <si>
    <t>Property 1900</t>
  </si>
  <si>
    <t>Barn|Fireplace|Elevator</t>
  </si>
  <si>
    <t>Property 1901</t>
  </si>
  <si>
    <t>Property 1902</t>
  </si>
  <si>
    <t>555-7526</t>
  </si>
  <si>
    <t>Property 1903</t>
  </si>
  <si>
    <t>555-1156</t>
  </si>
  <si>
    <t>Property 1904</t>
  </si>
  <si>
    <t>555-4126</t>
  </si>
  <si>
    <t>Property 1905</t>
  </si>
  <si>
    <t>555-6430</t>
  </si>
  <si>
    <t>Elevator|Fireplace|Garden|Pool</t>
  </si>
  <si>
    <t>Property 1906</t>
  </si>
  <si>
    <t>Property 1907</t>
  </si>
  <si>
    <t>555-1114</t>
  </si>
  <si>
    <t>Sauna|Gym</t>
  </si>
  <si>
    <t>Property 1908</t>
  </si>
  <si>
    <t>555-2296</t>
  </si>
  <si>
    <t>Property 1909</t>
  </si>
  <si>
    <t>555-9227</t>
  </si>
  <si>
    <t>Property 1910</t>
  </si>
  <si>
    <t>555-7388</t>
  </si>
  <si>
    <t>Property 1911</t>
  </si>
  <si>
    <t>555-1548</t>
  </si>
  <si>
    <t>Property 1912</t>
  </si>
  <si>
    <t>555-7957</t>
  </si>
  <si>
    <t>Elevator|Sauna|Garage|Gym</t>
  </si>
  <si>
    <t>Property 1913</t>
  </si>
  <si>
    <t>555-1065</t>
  </si>
  <si>
    <t>Fireplace|Barn|Pool|Elevator</t>
  </si>
  <si>
    <t>Property 1914</t>
  </si>
  <si>
    <t>555-4967</t>
  </si>
  <si>
    <t>Property 1915</t>
  </si>
  <si>
    <t>555-8698</t>
  </si>
  <si>
    <t>Property 1916</t>
  </si>
  <si>
    <t>555-1704</t>
  </si>
  <si>
    <t>Property 1917</t>
  </si>
  <si>
    <t>Property 1918</t>
  </si>
  <si>
    <t>555-9464</t>
  </si>
  <si>
    <t>Property 1919</t>
  </si>
  <si>
    <t>555-2209</t>
  </si>
  <si>
    <t>Barn|Garden|Pool|Gym</t>
  </si>
  <si>
    <t>Property 1920</t>
  </si>
  <si>
    <t>555-2639</t>
  </si>
  <si>
    <t>Property 1921</t>
  </si>
  <si>
    <t>555-5787</t>
  </si>
  <si>
    <t>Property 1922</t>
  </si>
  <si>
    <t>555-3154</t>
  </si>
  <si>
    <t>Property 1923</t>
  </si>
  <si>
    <t>555-6345</t>
  </si>
  <si>
    <t>Barn|Garage|Pool|Fireplace</t>
  </si>
  <si>
    <t>Property 1924</t>
  </si>
  <si>
    <t>Property 1925</t>
  </si>
  <si>
    <t>555-8707</t>
  </si>
  <si>
    <t>Garden|Pool|Barn</t>
  </si>
  <si>
    <t>Property 1926</t>
  </si>
  <si>
    <t>555-9123</t>
  </si>
  <si>
    <t>Fireplace|Gym|Elevator|Sauna</t>
  </si>
  <si>
    <t>Property 1927</t>
  </si>
  <si>
    <t>555-1089</t>
  </si>
  <si>
    <t>Property 1928</t>
  </si>
  <si>
    <t>555-4319</t>
  </si>
  <si>
    <t>Garage|Sauna|Fireplace|Pool</t>
  </si>
  <si>
    <t>Property 1929</t>
  </si>
  <si>
    <t>555-5464</t>
  </si>
  <si>
    <t>Property 1930</t>
  </si>
  <si>
    <t>555-7997</t>
  </si>
  <si>
    <t>Gym|Sauna|Garage|Pool</t>
  </si>
  <si>
    <t>Property 1931</t>
  </si>
  <si>
    <t>555-1701</t>
  </si>
  <si>
    <t>Property 1932</t>
  </si>
  <si>
    <t>555-3254</t>
  </si>
  <si>
    <t>Property 1933</t>
  </si>
  <si>
    <t>555-1118</t>
  </si>
  <si>
    <t>Property 1934</t>
  </si>
  <si>
    <t>555-8810</t>
  </si>
  <si>
    <t>Property 1935</t>
  </si>
  <si>
    <t>555-5488</t>
  </si>
  <si>
    <t>Property 1936</t>
  </si>
  <si>
    <t>555-6799</t>
  </si>
  <si>
    <t>Sauna|Fireplace|Garage|Pool</t>
  </si>
  <si>
    <t>Property 1937</t>
  </si>
  <si>
    <t>555-2204</t>
  </si>
  <si>
    <t>Gym|Elevator|Garage|Sauna</t>
  </si>
  <si>
    <t>Property 1938</t>
  </si>
  <si>
    <t>555-4561</t>
  </si>
  <si>
    <t>Property 1939</t>
  </si>
  <si>
    <t>555-2735</t>
  </si>
  <si>
    <t>Sauna|Barn|Elevator</t>
  </si>
  <si>
    <t>Property 1940</t>
  </si>
  <si>
    <t>555-5752</t>
  </si>
  <si>
    <t>Sauna|Fireplace|Gym|Garage</t>
  </si>
  <si>
    <t>Property 1941</t>
  </si>
  <si>
    <t>555-1331</t>
  </si>
  <si>
    <t>Fireplace|Gym|Garage</t>
  </si>
  <si>
    <t>Property 1942</t>
  </si>
  <si>
    <t>555-2782</t>
  </si>
  <si>
    <t>Property 1943</t>
  </si>
  <si>
    <t>555-1182</t>
  </si>
  <si>
    <t>Barn|Gym|Sauna|Elevator</t>
  </si>
  <si>
    <t>Property 1944</t>
  </si>
  <si>
    <t>555-3450</t>
  </si>
  <si>
    <t>Property 1945</t>
  </si>
  <si>
    <t>555-9164</t>
  </si>
  <si>
    <t>Property 1946</t>
  </si>
  <si>
    <t>555-8850</t>
  </si>
  <si>
    <t>Garden|Gym|Pool|Barn</t>
  </si>
  <si>
    <t>Property 1947</t>
  </si>
  <si>
    <t>555-5410</t>
  </si>
  <si>
    <t>Property 1948</t>
  </si>
  <si>
    <t>555-4808</t>
  </si>
  <si>
    <t>Property 1949</t>
  </si>
  <si>
    <t>555-8609</t>
  </si>
  <si>
    <t>Sauna|Barn|Pool</t>
  </si>
  <si>
    <t>Property 1950</t>
  </si>
  <si>
    <t>Property 1951</t>
  </si>
  <si>
    <t>555-3464</t>
  </si>
  <si>
    <t>Property 1952</t>
  </si>
  <si>
    <t>555-2892</t>
  </si>
  <si>
    <t>Property 1953</t>
  </si>
  <si>
    <t>555-1683</t>
  </si>
  <si>
    <t>Property 1954</t>
  </si>
  <si>
    <t>Property 1955</t>
  </si>
  <si>
    <t>555-4676</t>
  </si>
  <si>
    <t>Pool|Gym|Garage</t>
  </si>
  <si>
    <t>Property 1956</t>
  </si>
  <si>
    <t>555-9202</t>
  </si>
  <si>
    <t>Property 1957</t>
  </si>
  <si>
    <t>555-8691</t>
  </si>
  <si>
    <t>Property 1958</t>
  </si>
  <si>
    <t>555-4959</t>
  </si>
  <si>
    <t>Property 1959</t>
  </si>
  <si>
    <t>555-1958</t>
  </si>
  <si>
    <t>Property 1960</t>
  </si>
  <si>
    <t>555-6173</t>
  </si>
  <si>
    <t>Property 1961</t>
  </si>
  <si>
    <t>555-4710</t>
  </si>
  <si>
    <t>Property 1962</t>
  </si>
  <si>
    <t>555-2737</t>
  </si>
  <si>
    <t>Property 1963</t>
  </si>
  <si>
    <t>555-7826</t>
  </si>
  <si>
    <t>Property 1964</t>
  </si>
  <si>
    <t>555-8712</t>
  </si>
  <si>
    <t>Property 1965</t>
  </si>
  <si>
    <t>555-5402</t>
  </si>
  <si>
    <t>Property 1966</t>
  </si>
  <si>
    <t>Pool|Gym|Elevator</t>
  </si>
  <si>
    <t>Property 1967</t>
  </si>
  <si>
    <t>555-2602</t>
  </si>
  <si>
    <t>Property 1968</t>
  </si>
  <si>
    <t>555-5993</t>
  </si>
  <si>
    <t>Fireplace|Gym|Pool</t>
  </si>
  <si>
    <t>Property 1969</t>
  </si>
  <si>
    <t>555-1938</t>
  </si>
  <si>
    <t>Property 1970</t>
  </si>
  <si>
    <t>Fireplace|Garage|Gym|Garden</t>
  </si>
  <si>
    <t>Property 1971</t>
  </si>
  <si>
    <t>Property 1972</t>
  </si>
  <si>
    <t>555-8660</t>
  </si>
  <si>
    <t>Property 1973</t>
  </si>
  <si>
    <t>Property 1974</t>
  </si>
  <si>
    <t>555-4018</t>
  </si>
  <si>
    <t>Property 1975</t>
  </si>
  <si>
    <t>555-6631</t>
  </si>
  <si>
    <t>Pool|Barn|Sauna|Fireplace</t>
  </si>
  <si>
    <t>Property 1976</t>
  </si>
  <si>
    <t>555-6341</t>
  </si>
  <si>
    <t>Pool|Gym|Garage|Sauna</t>
  </si>
  <si>
    <t>Property 1977</t>
  </si>
  <si>
    <t>Property 1978</t>
  </si>
  <si>
    <t>555-6889</t>
  </si>
  <si>
    <t>Barn|Garden|Garage|Gym</t>
  </si>
  <si>
    <t>Property 1979</t>
  </si>
  <si>
    <t>Property 1980</t>
  </si>
  <si>
    <t>555-5776</t>
  </si>
  <si>
    <t>Property 1981</t>
  </si>
  <si>
    <t>555-5184</t>
  </si>
  <si>
    <t>Property 1982</t>
  </si>
  <si>
    <t>555-9598</t>
  </si>
  <si>
    <t>Elevator|Sauna|Gym|Pool</t>
  </si>
  <si>
    <t>Property 1983</t>
  </si>
  <si>
    <t>555-8361</t>
  </si>
  <si>
    <t>Property 1984</t>
  </si>
  <si>
    <t>555-8424</t>
  </si>
  <si>
    <t>Fireplace|Garden|Gym|Garage</t>
  </si>
  <si>
    <t>Property 1985</t>
  </si>
  <si>
    <t>555-2197</t>
  </si>
  <si>
    <t>Garage|Elevator|Sauna|Fireplace</t>
  </si>
  <si>
    <t>Property 1986</t>
  </si>
  <si>
    <t>555-8392</t>
  </si>
  <si>
    <t>Property 1987</t>
  </si>
  <si>
    <t>Property 1988</t>
  </si>
  <si>
    <t>555-3501</t>
  </si>
  <si>
    <t>Property 1989</t>
  </si>
  <si>
    <t>555-9392</t>
  </si>
  <si>
    <t>Property 1990</t>
  </si>
  <si>
    <t>555-5500</t>
  </si>
  <si>
    <t>Property 1991</t>
  </si>
  <si>
    <t>555-9951</t>
  </si>
  <si>
    <t>Property 1992</t>
  </si>
  <si>
    <t>555-7454</t>
  </si>
  <si>
    <t>Elevator|Sauna|Gym|Garden</t>
  </si>
  <si>
    <t>Property 1993</t>
  </si>
  <si>
    <t>555-7346</t>
  </si>
  <si>
    <t>Property 1994</t>
  </si>
  <si>
    <t>555-2189</t>
  </si>
  <si>
    <t>Property 1995</t>
  </si>
  <si>
    <t>555-6265</t>
  </si>
  <si>
    <t>Property 1996</t>
  </si>
  <si>
    <t>Property 1997</t>
  </si>
  <si>
    <t>555-2817</t>
  </si>
  <si>
    <t>Pool|Garage|Sauna|Elevator</t>
  </si>
  <si>
    <t>Property 1998</t>
  </si>
  <si>
    <t>555-1547</t>
  </si>
  <si>
    <t>Gym|Pool|Barn</t>
  </si>
  <si>
    <t>Property 1999</t>
  </si>
  <si>
    <t>555-9333</t>
  </si>
  <si>
    <t>Pool|Garage|Sauna|Gym</t>
  </si>
  <si>
    <t>Property 2000</t>
  </si>
  <si>
    <t>555-2929</t>
  </si>
  <si>
    <t>Property 2001</t>
  </si>
  <si>
    <t>555-3086</t>
  </si>
  <si>
    <t>Property 2002</t>
  </si>
  <si>
    <t>555-2185</t>
  </si>
  <si>
    <t>Fireplace|Garage|Elevator</t>
  </si>
  <si>
    <t>Property 2003</t>
  </si>
  <si>
    <t>Property 2004</t>
  </si>
  <si>
    <t>Barn|Gym|Pool</t>
  </si>
  <si>
    <t>Property 2005</t>
  </si>
  <si>
    <t>555-1141</t>
  </si>
  <si>
    <t>Property 2006</t>
  </si>
  <si>
    <t>555-9254</t>
  </si>
  <si>
    <t>Property 2007</t>
  </si>
  <si>
    <t>555-3110</t>
  </si>
  <si>
    <t>Property 2008</t>
  </si>
  <si>
    <t>555-7923</t>
  </si>
  <si>
    <t>Property 2009</t>
  </si>
  <si>
    <t>555-4383</t>
  </si>
  <si>
    <t>Property 2010</t>
  </si>
  <si>
    <t>555-7423</t>
  </si>
  <si>
    <t>Property 2011</t>
  </si>
  <si>
    <t>555-3605</t>
  </si>
  <si>
    <t>Property 2012</t>
  </si>
  <si>
    <t>Property 2013</t>
  </si>
  <si>
    <t>555-5590</t>
  </si>
  <si>
    <t>Property 2014</t>
  </si>
  <si>
    <t>555-6750</t>
  </si>
  <si>
    <t>Barn|Pool|Sauna</t>
  </si>
  <si>
    <t>Property 2015</t>
  </si>
  <si>
    <t>555-1472</t>
  </si>
  <si>
    <t>Sauna|Elevator|Garage|Garden</t>
  </si>
  <si>
    <t>Property 2016</t>
  </si>
  <si>
    <t>555-9027</t>
  </si>
  <si>
    <t>Property 2017</t>
  </si>
  <si>
    <t>555-8200</t>
  </si>
  <si>
    <t>Property 2018</t>
  </si>
  <si>
    <t>555-6100</t>
  </si>
  <si>
    <t>Property 2019</t>
  </si>
  <si>
    <t>555-8176</t>
  </si>
  <si>
    <t>Property 2020</t>
  </si>
  <si>
    <t>555-2500</t>
  </si>
  <si>
    <t>Property 2021</t>
  </si>
  <si>
    <t>555-3268</t>
  </si>
  <si>
    <t>Property 2022</t>
  </si>
  <si>
    <t>555-1320</t>
  </si>
  <si>
    <t>Pool|Garden|Elevator</t>
  </si>
  <si>
    <t>Property 2023</t>
  </si>
  <si>
    <t>555-3703</t>
  </si>
  <si>
    <t>Property 2024</t>
  </si>
  <si>
    <t>555-1573</t>
  </si>
  <si>
    <t>Property 2025</t>
  </si>
  <si>
    <t>Elevator|Garden|Fireplace</t>
  </si>
  <si>
    <t>Property 2026</t>
  </si>
  <si>
    <t>555-7071</t>
  </si>
  <si>
    <t>Property 2027</t>
  </si>
  <si>
    <t>555-8429</t>
  </si>
  <si>
    <t>Property 2028</t>
  </si>
  <si>
    <t>555-9184</t>
  </si>
  <si>
    <t>Property 2029</t>
  </si>
  <si>
    <t>555-5584</t>
  </si>
  <si>
    <t>Property 2030</t>
  </si>
  <si>
    <t>555-8447</t>
  </si>
  <si>
    <t>Property 2031</t>
  </si>
  <si>
    <t>555-6493</t>
  </si>
  <si>
    <t>Sauna|Garage|Barn|Fireplace</t>
  </si>
  <si>
    <t>Property 2032</t>
  </si>
  <si>
    <t>555-1376</t>
  </si>
  <si>
    <t>Garage|Pool|Barn</t>
  </si>
  <si>
    <t>Property 2033</t>
  </si>
  <si>
    <t>555-2152</t>
  </si>
  <si>
    <t>Property 2034</t>
  </si>
  <si>
    <t>555-1842</t>
  </si>
  <si>
    <t>Property 2035</t>
  </si>
  <si>
    <t>Property 2036</t>
  </si>
  <si>
    <t>555-3273</t>
  </si>
  <si>
    <t>Fireplace|Garage|Pool|Barn</t>
  </si>
  <si>
    <t>Property 2037</t>
  </si>
  <si>
    <t>555-9957</t>
  </si>
  <si>
    <t>Property 2038</t>
  </si>
  <si>
    <t>555-9224</t>
  </si>
  <si>
    <t>Property 2039</t>
  </si>
  <si>
    <t>555-6148</t>
  </si>
  <si>
    <t>Property 2040</t>
  </si>
  <si>
    <t>555-6760</t>
  </si>
  <si>
    <t>Property 2041</t>
  </si>
  <si>
    <t>555-9398</t>
  </si>
  <si>
    <t>Property 2042</t>
  </si>
  <si>
    <t>555-5749</t>
  </si>
  <si>
    <t>Property 2043</t>
  </si>
  <si>
    <t>555-8987</t>
  </si>
  <si>
    <t>Property 2044</t>
  </si>
  <si>
    <t>555-1492</t>
  </si>
  <si>
    <t>Property 2045</t>
  </si>
  <si>
    <t>555-9329</t>
  </si>
  <si>
    <t>Property 2046</t>
  </si>
  <si>
    <t>555-4535</t>
  </si>
  <si>
    <t>Property 2047</t>
  </si>
  <si>
    <t>555-3127</t>
  </si>
  <si>
    <t>Property 2048</t>
  </si>
  <si>
    <t>555-3113</t>
  </si>
  <si>
    <t>Garage|Gym|Elevator|Barn</t>
  </si>
  <si>
    <t>Property 2049</t>
  </si>
  <si>
    <t>555-1825</t>
  </si>
  <si>
    <t>Property 2050</t>
  </si>
  <si>
    <t>555-6893</t>
  </si>
  <si>
    <t>Property 2051</t>
  </si>
  <si>
    <t>555-3851</t>
  </si>
  <si>
    <t>Property 2052</t>
  </si>
  <si>
    <t>555-4950</t>
  </si>
  <si>
    <t>Property 2053</t>
  </si>
  <si>
    <t>555-6017</t>
  </si>
  <si>
    <t>Property 2054</t>
  </si>
  <si>
    <t>555-4627</t>
  </si>
  <si>
    <t>Property 2055</t>
  </si>
  <si>
    <t>555-7951</t>
  </si>
  <si>
    <t>Property 2056</t>
  </si>
  <si>
    <t>555-8298</t>
  </si>
  <si>
    <t>Garage|Fireplace|Gym|Elevator</t>
  </si>
  <si>
    <t>Property 2057</t>
  </si>
  <si>
    <t>555-1207</t>
  </si>
  <si>
    <t>Garden|Fireplace|Elevator|Gym</t>
  </si>
  <si>
    <t>Property 2058</t>
  </si>
  <si>
    <t>555-8908</t>
  </si>
  <si>
    <t>Gym|Garage|Barn|Pool</t>
  </si>
  <si>
    <t>Property 2059</t>
  </si>
  <si>
    <t>555-4035</t>
  </si>
  <si>
    <t>Property 2060</t>
  </si>
  <si>
    <t>555-1694</t>
  </si>
  <si>
    <t>Property 2061</t>
  </si>
  <si>
    <t>555-6551</t>
  </si>
  <si>
    <t>Property 2062</t>
  </si>
  <si>
    <t>555-8671</t>
  </si>
  <si>
    <t>Property 2063</t>
  </si>
  <si>
    <t>555-2141</t>
  </si>
  <si>
    <t>Property 2064</t>
  </si>
  <si>
    <t>555-1088</t>
  </si>
  <si>
    <t>Property 2065</t>
  </si>
  <si>
    <t>555-6436</t>
  </si>
  <si>
    <t>Property 2066</t>
  </si>
  <si>
    <t>555-1595</t>
  </si>
  <si>
    <t>Property 2067</t>
  </si>
  <si>
    <t>555-3936</t>
  </si>
  <si>
    <t>Fireplace|Garden|Garage</t>
  </si>
  <si>
    <t>Property 2068</t>
  </si>
  <si>
    <t>Property 2069</t>
  </si>
  <si>
    <t>555-4539</t>
  </si>
  <si>
    <t>Property 2070</t>
  </si>
  <si>
    <t>555-1636</t>
  </si>
  <si>
    <t>Garage|Pool|Gym|Sauna</t>
  </si>
  <si>
    <t>Property 2071</t>
  </si>
  <si>
    <t>555-8357</t>
  </si>
  <si>
    <t>Property 2072</t>
  </si>
  <si>
    <t>555-4945</t>
  </si>
  <si>
    <t>Gym|Elevator|Fireplace|Pool</t>
  </si>
  <si>
    <t>Property 2073</t>
  </si>
  <si>
    <t>Sauna|Elevator|Gym|Garden</t>
  </si>
  <si>
    <t>Property 2074</t>
  </si>
  <si>
    <t>555-6379</t>
  </si>
  <si>
    <t>Garage|Fireplace|Barn</t>
  </si>
  <si>
    <t>Property 2075</t>
  </si>
  <si>
    <t>555-3514</t>
  </si>
  <si>
    <t>Property 2076</t>
  </si>
  <si>
    <t>555-9930</t>
  </si>
  <si>
    <t>Property 2077</t>
  </si>
  <si>
    <t>555-3234</t>
  </si>
  <si>
    <t>Property 2078</t>
  </si>
  <si>
    <t>555-4698</t>
  </si>
  <si>
    <t>Property 2079</t>
  </si>
  <si>
    <t>555-1740</t>
  </si>
  <si>
    <t>Property 2080</t>
  </si>
  <si>
    <t>555-5123</t>
  </si>
  <si>
    <t>Garden|Pool|Barn|Sauna</t>
  </si>
  <si>
    <t>Property 2081</t>
  </si>
  <si>
    <t>555-7362</t>
  </si>
  <si>
    <t>Fireplace|Pool|Sauna|Garage</t>
  </si>
  <si>
    <t>Property 2082</t>
  </si>
  <si>
    <t>555-8761</t>
  </si>
  <si>
    <t>Property 2083</t>
  </si>
  <si>
    <t>555-6226</t>
  </si>
  <si>
    <t>Barn|Fireplace|Garden|Pool</t>
  </si>
  <si>
    <t>Property 2084</t>
  </si>
  <si>
    <t>555-9390</t>
  </si>
  <si>
    <t>Property 2085</t>
  </si>
  <si>
    <t>555-7904</t>
  </si>
  <si>
    <t>Property 2086</t>
  </si>
  <si>
    <t>555-3886</t>
  </si>
  <si>
    <t>Property 2087</t>
  </si>
  <si>
    <t>555-1434</t>
  </si>
  <si>
    <t>Property 2088</t>
  </si>
  <si>
    <t>555-4865</t>
  </si>
  <si>
    <t>Property 2089</t>
  </si>
  <si>
    <t>555-5442</t>
  </si>
  <si>
    <t>Property 2090</t>
  </si>
  <si>
    <t>555-7340</t>
  </si>
  <si>
    <t>Garden|Garage|Elevator|Pool</t>
  </si>
  <si>
    <t>Property 2091</t>
  </si>
  <si>
    <t>555-5191</t>
  </si>
  <si>
    <t>Sauna|Elevator|Garage|Pool</t>
  </si>
  <si>
    <t>Property 2092</t>
  </si>
  <si>
    <t>555-1743</t>
  </si>
  <si>
    <t>Property 2093</t>
  </si>
  <si>
    <t>555-7230</t>
  </si>
  <si>
    <t>Elevator|Gym|Pool|Garage</t>
  </si>
  <si>
    <t>Property 2094</t>
  </si>
  <si>
    <t>555-5276</t>
  </si>
  <si>
    <t>Property 2095</t>
  </si>
  <si>
    <t>555-4123</t>
  </si>
  <si>
    <t>Garden|Barn|Sauna</t>
  </si>
  <si>
    <t>Property 2096</t>
  </si>
  <si>
    <t>Property 2097</t>
  </si>
  <si>
    <t>555-9929</t>
  </si>
  <si>
    <t>Property 2098</t>
  </si>
  <si>
    <t>555-8496</t>
  </si>
  <si>
    <t>Property 2099</t>
  </si>
  <si>
    <t>555-7895</t>
  </si>
  <si>
    <t>Fireplace|Pool|Garage|Barn</t>
  </si>
  <si>
    <t>Property 2100</t>
  </si>
  <si>
    <t>555-4203</t>
  </si>
  <si>
    <t>Garden|Pool|Fireplace|Gym</t>
  </si>
  <si>
    <t>Property 2101</t>
  </si>
  <si>
    <t>Property 2102</t>
  </si>
  <si>
    <t>555-7193</t>
  </si>
  <si>
    <t>Property 2103</t>
  </si>
  <si>
    <t>Property 2104</t>
  </si>
  <si>
    <t>555-4640</t>
  </si>
  <si>
    <t>Property 2105</t>
  </si>
  <si>
    <t>555-3475</t>
  </si>
  <si>
    <t>Property 2106</t>
  </si>
  <si>
    <t>555-2984</t>
  </si>
  <si>
    <t>Elevator|Gym|Pool|Fireplace</t>
  </si>
  <si>
    <t>Property 2107</t>
  </si>
  <si>
    <t>555-4462</t>
  </si>
  <si>
    <t>Elevator|Gym|Garden</t>
  </si>
  <si>
    <t>Property 2108</t>
  </si>
  <si>
    <t>555-4167</t>
  </si>
  <si>
    <t>Barn|Pool|Gym</t>
  </si>
  <si>
    <t>Property 2109</t>
  </si>
  <si>
    <t>555-6581</t>
  </si>
  <si>
    <t>Elevator|Fireplace|Sauna|Barn</t>
  </si>
  <si>
    <t>Property 2110</t>
  </si>
  <si>
    <t>555-5516</t>
  </si>
  <si>
    <t>Property 2111</t>
  </si>
  <si>
    <t>555-4497</t>
  </si>
  <si>
    <t>Property 2112</t>
  </si>
  <si>
    <t>555-6329</t>
  </si>
  <si>
    <t>Property 2113</t>
  </si>
  <si>
    <t>Gym|Fireplace|Pool</t>
  </si>
  <si>
    <t>Property 2114</t>
  </si>
  <si>
    <t>555-8427</t>
  </si>
  <si>
    <t>Property 2115</t>
  </si>
  <si>
    <t>555-1373</t>
  </si>
  <si>
    <t>Property 2116</t>
  </si>
  <si>
    <t>555-7656</t>
  </si>
  <si>
    <t>Garden|Pool|Gym|Elevator</t>
  </si>
  <si>
    <t>Property 2117</t>
  </si>
  <si>
    <t>Property 2118</t>
  </si>
  <si>
    <t>555-4520</t>
  </si>
  <si>
    <t>Garage|Barn|Fireplace</t>
  </si>
  <si>
    <t>Property 2119</t>
  </si>
  <si>
    <t>555-1801</t>
  </si>
  <si>
    <t>Property 2120</t>
  </si>
  <si>
    <t>Garage|Sauna|Gym|Barn</t>
  </si>
  <si>
    <t>Property 2121</t>
  </si>
  <si>
    <t>Gym|Garage|Sauna|Garden</t>
  </si>
  <si>
    <t>Property 2122</t>
  </si>
  <si>
    <t>555-3924</t>
  </si>
  <si>
    <t>Property 2123</t>
  </si>
  <si>
    <t>555-7920</t>
  </si>
  <si>
    <t>Property 2124</t>
  </si>
  <si>
    <t>555-3659</t>
  </si>
  <si>
    <t>Property 2125</t>
  </si>
  <si>
    <t>555-7952</t>
  </si>
  <si>
    <t>Barn|Garage|Elevator|Pool</t>
  </si>
  <si>
    <t>Property 2126</t>
  </si>
  <si>
    <t>555-5995</t>
  </si>
  <si>
    <t>Garage|Garden|Fireplace</t>
  </si>
  <si>
    <t>Property 2127</t>
  </si>
  <si>
    <t>555-4667</t>
  </si>
  <si>
    <t>Garden|Garage|Gym|Elevator</t>
  </si>
  <si>
    <t>Property 2128</t>
  </si>
  <si>
    <t>555-7639</t>
  </si>
  <si>
    <t>Gym|Barn|Sauna|Elevator</t>
  </si>
  <si>
    <t>Property 2129</t>
  </si>
  <si>
    <t>555-3474</t>
  </si>
  <si>
    <t>Property 2130</t>
  </si>
  <si>
    <t>555-8797</t>
  </si>
  <si>
    <t>Property 2131</t>
  </si>
  <si>
    <t>555-7283</t>
  </si>
  <si>
    <t>Garden|Barn|Garage|Sauna</t>
  </si>
  <si>
    <t>Property 2132</t>
  </si>
  <si>
    <t>555-7298</t>
  </si>
  <si>
    <t>Property 2133</t>
  </si>
  <si>
    <t>555-5564</t>
  </si>
  <si>
    <t>Property 2134</t>
  </si>
  <si>
    <t>555-4320</t>
  </si>
  <si>
    <t>Property 2135</t>
  </si>
  <si>
    <t>555-9409</t>
  </si>
  <si>
    <t>Fireplace|Elevator|Garage</t>
  </si>
  <si>
    <t>Property 2136</t>
  </si>
  <si>
    <t>555-7913</t>
  </si>
  <si>
    <t>Garden|Elevator|Garage|Sauna</t>
  </si>
  <si>
    <t>Property 2137</t>
  </si>
  <si>
    <t>555-3467</t>
  </si>
  <si>
    <t>Property 2138</t>
  </si>
  <si>
    <t>555-2155</t>
  </si>
  <si>
    <t>Property 2139</t>
  </si>
  <si>
    <t>555-9863</t>
  </si>
  <si>
    <t>Property 2140</t>
  </si>
  <si>
    <t>555-3667</t>
  </si>
  <si>
    <t>Sauna|Pool|Garden|Fireplace</t>
  </si>
  <si>
    <t>Property 2141</t>
  </si>
  <si>
    <t>555-5532</t>
  </si>
  <si>
    <t>Property 2142</t>
  </si>
  <si>
    <t>555-2945</t>
  </si>
  <si>
    <t>Property 2143</t>
  </si>
  <si>
    <t>555-8892</t>
  </si>
  <si>
    <t>Property 2144</t>
  </si>
  <si>
    <t>555-3311</t>
  </si>
  <si>
    <t>Property 2145</t>
  </si>
  <si>
    <t>555-4330</t>
  </si>
  <si>
    <t>Property 2146</t>
  </si>
  <si>
    <t>555-4960</t>
  </si>
  <si>
    <t>Property 2147</t>
  </si>
  <si>
    <t>Property 2148</t>
  </si>
  <si>
    <t>555-5557</t>
  </si>
  <si>
    <t>Property 2149</t>
  </si>
  <si>
    <t>555-3215</t>
  </si>
  <si>
    <t>Property 2150</t>
  </si>
  <si>
    <t>555-5176</t>
  </si>
  <si>
    <t>Property 2151</t>
  </si>
  <si>
    <t>555-3508</t>
  </si>
  <si>
    <t>Property 2152</t>
  </si>
  <si>
    <t>555-4375</t>
  </si>
  <si>
    <t>Elevator|Pool|Garden|Gym</t>
  </si>
  <si>
    <t>Property 2153</t>
  </si>
  <si>
    <t>Property 2154</t>
  </si>
  <si>
    <t>555-9339</t>
  </si>
  <si>
    <t>Fireplace|Garden|Pool</t>
  </si>
  <si>
    <t>Property 2155</t>
  </si>
  <si>
    <t>555-7178</t>
  </si>
  <si>
    <t>Property 2156</t>
  </si>
  <si>
    <t>555-7206</t>
  </si>
  <si>
    <t>Property 2157</t>
  </si>
  <si>
    <t>555-8255</t>
  </si>
  <si>
    <t>Property 2158</t>
  </si>
  <si>
    <t>555-3827</t>
  </si>
  <si>
    <t>Property 2159</t>
  </si>
  <si>
    <t>555-3279</t>
  </si>
  <si>
    <t>Property 2160</t>
  </si>
  <si>
    <t>555-3219</t>
  </si>
  <si>
    <t>Property 2161</t>
  </si>
  <si>
    <t>555-8220</t>
  </si>
  <si>
    <t>Garden|Fireplace|Garage|Gym</t>
  </si>
  <si>
    <t>Property 2162</t>
  </si>
  <si>
    <t>555-5036</t>
  </si>
  <si>
    <t>Elevator|Garden|Garage|Pool</t>
  </si>
  <si>
    <t>Property 2163</t>
  </si>
  <si>
    <t>555-6635</t>
  </si>
  <si>
    <t>Property 2164</t>
  </si>
  <si>
    <t>555-3668</t>
  </si>
  <si>
    <t>Barn|Garden|Pool</t>
  </si>
  <si>
    <t>Property 2165</t>
  </si>
  <si>
    <t>555-8647</t>
  </si>
  <si>
    <t>Garage|Garden|Fireplace|Sauna</t>
  </si>
  <si>
    <t>Property 2166</t>
  </si>
  <si>
    <t>555-6608</t>
  </si>
  <si>
    <t>Property 2167</t>
  </si>
  <si>
    <t>555-3828</t>
  </si>
  <si>
    <t>Sauna|Elevator|Fireplace|Pool</t>
  </si>
  <si>
    <t>Property 2168</t>
  </si>
  <si>
    <t>Property 2169</t>
  </si>
  <si>
    <t>555-8667</t>
  </si>
  <si>
    <t>Property 2170</t>
  </si>
  <si>
    <t>555-2130</t>
  </si>
  <si>
    <t>Property 2171</t>
  </si>
  <si>
    <t>555-4703</t>
  </si>
  <si>
    <t>Property 2172</t>
  </si>
  <si>
    <t>Property 2173</t>
  </si>
  <si>
    <t>555-5943</t>
  </si>
  <si>
    <t>Property 2174</t>
  </si>
  <si>
    <t>555-9784</t>
  </si>
  <si>
    <t>Property 2175</t>
  </si>
  <si>
    <t>555-2769</t>
  </si>
  <si>
    <t>Property 2176</t>
  </si>
  <si>
    <t>555-2534</t>
  </si>
  <si>
    <t>Property 2177</t>
  </si>
  <si>
    <t>555-8544</t>
  </si>
  <si>
    <t>Barn|Pool|Garage|Gym</t>
  </si>
  <si>
    <t>Property 2178</t>
  </si>
  <si>
    <t>555-7297</t>
  </si>
  <si>
    <t>Elevator|Sauna|Fireplace|Gym</t>
  </si>
  <si>
    <t>Property 2179</t>
  </si>
  <si>
    <t>555-9235</t>
  </si>
  <si>
    <t>Fireplace|Pool|Elevator</t>
  </si>
  <si>
    <t>Property 2180</t>
  </si>
  <si>
    <t>555-3865</t>
  </si>
  <si>
    <t>Pool|Sauna|Barn|Fireplace</t>
  </si>
  <si>
    <t>Property 2181</t>
  </si>
  <si>
    <t>555-1600</t>
  </si>
  <si>
    <t>Property 2182</t>
  </si>
  <si>
    <t>555-5025</t>
  </si>
  <si>
    <t>Property 2183</t>
  </si>
  <si>
    <t>555-4321</t>
  </si>
  <si>
    <t>Pool|Garage|Garden|Fireplace</t>
  </si>
  <si>
    <t>Property 2184</t>
  </si>
  <si>
    <t>Property 2185</t>
  </si>
  <si>
    <t>555-6051</t>
  </si>
  <si>
    <t>Property 2186</t>
  </si>
  <si>
    <t>555-5649</t>
  </si>
  <si>
    <t>Property 2187</t>
  </si>
  <si>
    <t>555-1727</t>
  </si>
  <si>
    <t>Property 2188</t>
  </si>
  <si>
    <t>555-8803</t>
  </si>
  <si>
    <t>Property 2189</t>
  </si>
  <si>
    <t>555-3165</t>
  </si>
  <si>
    <t>Property 2190</t>
  </si>
  <si>
    <t>555-1545</t>
  </si>
  <si>
    <t>Property 2191</t>
  </si>
  <si>
    <t>555-8940</t>
  </si>
  <si>
    <t>Property 2192</t>
  </si>
  <si>
    <t>555-9524</t>
  </si>
  <si>
    <t>Property 2193</t>
  </si>
  <si>
    <t>Property 2194</t>
  </si>
  <si>
    <t>Property 2195</t>
  </si>
  <si>
    <t>555-8585</t>
  </si>
  <si>
    <t>Barn|Sauna|Gym|Pool</t>
  </si>
  <si>
    <t>Property 2196</t>
  </si>
  <si>
    <t>555-2624</t>
  </si>
  <si>
    <t>Property 2197</t>
  </si>
  <si>
    <t>555-9942</t>
  </si>
  <si>
    <t>Pool|Sauna|Garden|Fireplace</t>
  </si>
  <si>
    <t>Property 2198</t>
  </si>
  <si>
    <t>Property 2199</t>
  </si>
  <si>
    <t>555-2304</t>
  </si>
  <si>
    <t>Elevator|Gym|Pool</t>
  </si>
  <si>
    <t>Property 2200</t>
  </si>
  <si>
    <t>555-4397</t>
  </si>
  <si>
    <t>Gym|Fireplace|Garage|Barn</t>
  </si>
  <si>
    <t>Property 2201</t>
  </si>
  <si>
    <t>555-6525</t>
  </si>
  <si>
    <t>Property 2202</t>
  </si>
  <si>
    <t>555-9489</t>
  </si>
  <si>
    <t>Garden|Gym|Pool|Fireplace</t>
  </si>
  <si>
    <t>Property 2203</t>
  </si>
  <si>
    <t>555-3880</t>
  </si>
  <si>
    <t>Property 2204</t>
  </si>
  <si>
    <t>555-3297</t>
  </si>
  <si>
    <t>Property 2205</t>
  </si>
  <si>
    <t>555-2376</t>
  </si>
  <si>
    <t>Property 2206</t>
  </si>
  <si>
    <t>555-9637</t>
  </si>
  <si>
    <t>Property 2207</t>
  </si>
  <si>
    <t>555-7504</t>
  </si>
  <si>
    <t>Property 2208</t>
  </si>
  <si>
    <t>555-7327</t>
  </si>
  <si>
    <t>Property 2209</t>
  </si>
  <si>
    <t>Barn|Sauna|Fireplace|Garden</t>
  </si>
  <si>
    <t>Property 2210</t>
  </si>
  <si>
    <t>555-4767</t>
  </si>
  <si>
    <t>Sauna|Garden|Fireplace</t>
  </si>
  <si>
    <t>Property 2211</t>
  </si>
  <si>
    <t>555-3392</t>
  </si>
  <si>
    <t>Sauna|Garden|Garage</t>
  </si>
  <si>
    <t>Property 2212</t>
  </si>
  <si>
    <t>555-3670</t>
  </si>
  <si>
    <t>Elevator|Garden|Garage|Sauna</t>
  </si>
  <si>
    <t>Property 2213</t>
  </si>
  <si>
    <t>555-2977</t>
  </si>
  <si>
    <t>Property 2214</t>
  </si>
  <si>
    <t>555-1443</t>
  </si>
  <si>
    <t>Property 2215</t>
  </si>
  <si>
    <t>555-2862</t>
  </si>
  <si>
    <t>Property 2216</t>
  </si>
  <si>
    <t>555-4276</t>
  </si>
  <si>
    <t>Property 2217</t>
  </si>
  <si>
    <t>555-6716</t>
  </si>
  <si>
    <t>Fireplace|Elevator|Sauna</t>
  </si>
  <si>
    <t>Property 2218</t>
  </si>
  <si>
    <t>555-6444</t>
  </si>
  <si>
    <t>Pool|Barn|Fireplace|Sauna</t>
  </si>
  <si>
    <t>Property 2219</t>
  </si>
  <si>
    <t>555-5374</t>
  </si>
  <si>
    <t>Property 2220</t>
  </si>
  <si>
    <t>Property 2221</t>
  </si>
  <si>
    <t>555-9422</t>
  </si>
  <si>
    <t>Property 2222</t>
  </si>
  <si>
    <t>555-7924</t>
  </si>
  <si>
    <t>Property 2223</t>
  </si>
  <si>
    <t>555-2151</t>
  </si>
  <si>
    <t>Garage|Fireplace|Gym|Garden</t>
  </si>
  <si>
    <t>Property 2224</t>
  </si>
  <si>
    <t>555-8930</t>
  </si>
  <si>
    <t>Barn|Pool|Fireplace</t>
  </si>
  <si>
    <t>Property 2225</t>
  </si>
  <si>
    <t>555-8421</t>
  </si>
  <si>
    <t>Elevator|Barn|Gym|Garden</t>
  </si>
  <si>
    <t>Property 2226</t>
  </si>
  <si>
    <t>555-1525</t>
  </si>
  <si>
    <t>Property 2227</t>
  </si>
  <si>
    <t>555-8425</t>
  </si>
  <si>
    <t>Property 2228</t>
  </si>
  <si>
    <t>Pool|Garage|Barn|Fireplace</t>
  </si>
  <si>
    <t>Property 2229</t>
  </si>
  <si>
    <t>555-2038</t>
  </si>
  <si>
    <t>Property 2230</t>
  </si>
  <si>
    <t>Pool|Garden|Fireplace|Elevator</t>
  </si>
  <si>
    <t>Property 2231</t>
  </si>
  <si>
    <t>555-6831</t>
  </si>
  <si>
    <t>Property 2232</t>
  </si>
  <si>
    <t>555-2407</t>
  </si>
  <si>
    <t>Property 2233</t>
  </si>
  <si>
    <t>555-4301</t>
  </si>
  <si>
    <t>Property 2234</t>
  </si>
  <si>
    <t>555-1655</t>
  </si>
  <si>
    <t>Property 2235</t>
  </si>
  <si>
    <t>555-6037</t>
  </si>
  <si>
    <t>Property 2236</t>
  </si>
  <si>
    <t>555-1204</t>
  </si>
  <si>
    <t>Garage|Garden|Barn|Fireplace</t>
  </si>
  <si>
    <t>Property 2237</t>
  </si>
  <si>
    <t>555-7333</t>
  </si>
  <si>
    <t>Elevator|Barn|Fireplace|Sauna</t>
  </si>
  <si>
    <t>Property 2238</t>
  </si>
  <si>
    <t>555-1148</t>
  </si>
  <si>
    <t>Garden|Elevator|Sauna|Garage</t>
  </si>
  <si>
    <t>Property 2239</t>
  </si>
  <si>
    <t>555-3010</t>
  </si>
  <si>
    <t>Fireplace|Gym|Garden|Pool</t>
  </si>
  <si>
    <t>Property 2240</t>
  </si>
  <si>
    <t>555-8984</t>
  </si>
  <si>
    <t>Property 2241</t>
  </si>
  <si>
    <t>555-3448</t>
  </si>
  <si>
    <t>Property 2242</t>
  </si>
  <si>
    <t>555-5212</t>
  </si>
  <si>
    <t>Gym|Garden|Sauna</t>
  </si>
  <si>
    <t>Property 2243</t>
  </si>
  <si>
    <t>555-4429</t>
  </si>
  <si>
    <t>Property 2244</t>
  </si>
  <si>
    <t>555-8899</t>
  </si>
  <si>
    <t>Property 2245</t>
  </si>
  <si>
    <t>555-6630</t>
  </si>
  <si>
    <t>Property 2246</t>
  </si>
  <si>
    <t>Property 2247</t>
  </si>
  <si>
    <t>555-6407</t>
  </si>
  <si>
    <t>Property 2248</t>
  </si>
  <si>
    <t>555-1834</t>
  </si>
  <si>
    <t>Property 2249</t>
  </si>
  <si>
    <t>555-9587</t>
  </si>
  <si>
    <t>Property 2250</t>
  </si>
  <si>
    <t>555-8252</t>
  </si>
  <si>
    <t>Elevator|Garage|Pool|Garden</t>
  </si>
  <si>
    <t>Property 2251</t>
  </si>
  <si>
    <t>555-7712</t>
  </si>
  <si>
    <t>Property 2252</t>
  </si>
  <si>
    <t>555-1538</t>
  </si>
  <si>
    <t>Property 2253</t>
  </si>
  <si>
    <t>555-2889</t>
  </si>
  <si>
    <t>Property 2254</t>
  </si>
  <si>
    <t>555-8215</t>
  </si>
  <si>
    <t>Property 2255</t>
  </si>
  <si>
    <t>555-9017</t>
  </si>
  <si>
    <t>Property 2256</t>
  </si>
  <si>
    <t>555-6553</t>
  </si>
  <si>
    <t>Pool|Garden|Barn</t>
  </si>
  <si>
    <t>Property 2257</t>
  </si>
  <si>
    <t>555-2830</t>
  </si>
  <si>
    <t>Gym|Sauna|Barn|Garden</t>
  </si>
  <si>
    <t>Property 2258</t>
  </si>
  <si>
    <t>Fireplace|Barn|Garden|Gym</t>
  </si>
  <si>
    <t>Property 2259</t>
  </si>
  <si>
    <t>555-2780</t>
  </si>
  <si>
    <t>Property 2260</t>
  </si>
  <si>
    <t>555-7339</t>
  </si>
  <si>
    <t>Property 2261</t>
  </si>
  <si>
    <t>555-8189</t>
  </si>
  <si>
    <t>Property 2262</t>
  </si>
  <si>
    <t>555-7637</t>
  </si>
  <si>
    <t>Property 2263</t>
  </si>
  <si>
    <t>555-6765</t>
  </si>
  <si>
    <t>Pool|Garden|Sauna|Gym</t>
  </si>
  <si>
    <t>Property 2264</t>
  </si>
  <si>
    <t>555-9603</t>
  </si>
  <si>
    <t>Pool|Garage|Barn|Sauna</t>
  </si>
  <si>
    <t>Property 2265</t>
  </si>
  <si>
    <t>555-7675</t>
  </si>
  <si>
    <t>Property 2266</t>
  </si>
  <si>
    <t>555-7303</t>
  </si>
  <si>
    <t>Property 2267</t>
  </si>
  <si>
    <t>555-8521</t>
  </si>
  <si>
    <t>Garden|Pool|Gym|Sauna</t>
  </si>
  <si>
    <t>Property 2268</t>
  </si>
  <si>
    <t>555-3977</t>
  </si>
  <si>
    <t>Property 2269</t>
  </si>
  <si>
    <t>555-6818</t>
  </si>
  <si>
    <t>Property 2270</t>
  </si>
  <si>
    <t>555-9048</t>
  </si>
  <si>
    <t>Property 2271</t>
  </si>
  <si>
    <t>555-7554</t>
  </si>
  <si>
    <t>Property 2272</t>
  </si>
  <si>
    <t>555-3779</t>
  </si>
  <si>
    <t>Property 2273</t>
  </si>
  <si>
    <t>555-5688</t>
  </si>
  <si>
    <t>Property 2274</t>
  </si>
  <si>
    <t>555-5234</t>
  </si>
  <si>
    <t>Property 2275</t>
  </si>
  <si>
    <t>555-1326</t>
  </si>
  <si>
    <t>Property 2276</t>
  </si>
  <si>
    <t>555-5552</t>
  </si>
  <si>
    <t>Property 2277</t>
  </si>
  <si>
    <t>555-2952</t>
  </si>
  <si>
    <t>Property 2278</t>
  </si>
  <si>
    <t>555-7812</t>
  </si>
  <si>
    <t>Property 2279</t>
  </si>
  <si>
    <t>555-1780</t>
  </si>
  <si>
    <t>Barn|Sauna|Elevator</t>
  </si>
  <si>
    <t>Property 2280</t>
  </si>
  <si>
    <t>555-4602</t>
  </si>
  <si>
    <t>Property 2281</t>
  </si>
  <si>
    <t>555-3153</t>
  </si>
  <si>
    <t>Sauna|Elevator|Barn</t>
  </si>
  <si>
    <t>Property 2282</t>
  </si>
  <si>
    <t>555-9908</t>
  </si>
  <si>
    <t>Property 2283</t>
  </si>
  <si>
    <t>555-2226</t>
  </si>
  <si>
    <t>Garage|Barn|Elevator</t>
  </si>
  <si>
    <t>Property 2284</t>
  </si>
  <si>
    <t>555-4039</t>
  </si>
  <si>
    <t>Sauna|Elevator|Garden</t>
  </si>
  <si>
    <t>Property 2285</t>
  </si>
  <si>
    <t>Barn|Garage|Fireplace|Gym</t>
  </si>
  <si>
    <t>Property 2286</t>
  </si>
  <si>
    <t>555-4348</t>
  </si>
  <si>
    <t>Gym|Garden|Pool|Sauna</t>
  </si>
  <si>
    <t>Property 2287</t>
  </si>
  <si>
    <t>555-6273</t>
  </si>
  <si>
    <t>Property 2288</t>
  </si>
  <si>
    <t>555-2894</t>
  </si>
  <si>
    <t>Property 2289</t>
  </si>
  <si>
    <t>555-2367</t>
  </si>
  <si>
    <t>Pool|Gym|Fireplace|Garage</t>
  </si>
  <si>
    <t>Property 2290</t>
  </si>
  <si>
    <t>555-6281</t>
  </si>
  <si>
    <t>Property 2291</t>
  </si>
  <si>
    <t>555-7900</t>
  </si>
  <si>
    <t>Property 2292</t>
  </si>
  <si>
    <t>555-5238</t>
  </si>
  <si>
    <t>Property 2293</t>
  </si>
  <si>
    <t>555-2180</t>
  </si>
  <si>
    <t>Property 2294</t>
  </si>
  <si>
    <t>555-1983</t>
  </si>
  <si>
    <t>Property 2295</t>
  </si>
  <si>
    <t>555-4490</t>
  </si>
  <si>
    <t>Property 2296</t>
  </si>
  <si>
    <t>555-2583</t>
  </si>
  <si>
    <t>Property 2297</t>
  </si>
  <si>
    <t>555-4278</t>
  </si>
  <si>
    <t>Property 2298</t>
  </si>
  <si>
    <t>555-2372</t>
  </si>
  <si>
    <t>Fireplace|Pool|Barn|Garden</t>
  </si>
  <si>
    <t>Property 2299</t>
  </si>
  <si>
    <t>555-5633</t>
  </si>
  <si>
    <t>Fireplace|Elevator|Garage|Barn</t>
  </si>
  <si>
    <t>Property 2300</t>
  </si>
  <si>
    <t>555-5168</t>
  </si>
  <si>
    <t>Property 2301</t>
  </si>
  <si>
    <t>555-5223</t>
  </si>
  <si>
    <t>Property 2302</t>
  </si>
  <si>
    <t>555-2638</t>
  </si>
  <si>
    <t>Garden|Sauna|Pool|Barn</t>
  </si>
  <si>
    <t>Property 2303</t>
  </si>
  <si>
    <t>555-7688</t>
  </si>
  <si>
    <t>Property 2304</t>
  </si>
  <si>
    <t>555-4403</t>
  </si>
  <si>
    <t>Property 2305</t>
  </si>
  <si>
    <t>555-1682</t>
  </si>
  <si>
    <t>Fireplace|Elevator|Barn</t>
  </si>
  <si>
    <t>Property 2306</t>
  </si>
  <si>
    <t>555-1018</t>
  </si>
  <si>
    <t>Property 2307</t>
  </si>
  <si>
    <t>555-7722</t>
  </si>
  <si>
    <t>Garden|Sauna|Gym|Pool</t>
  </si>
  <si>
    <t>Property 2308</t>
  </si>
  <si>
    <t>555-6151</t>
  </si>
  <si>
    <t>Property 2309</t>
  </si>
  <si>
    <t>Property 2310</t>
  </si>
  <si>
    <t>555-3390</t>
  </si>
  <si>
    <t>Property 2311</t>
  </si>
  <si>
    <t>555-7579</t>
  </si>
  <si>
    <t>Property 2312</t>
  </si>
  <si>
    <t>555-8799</t>
  </si>
  <si>
    <t>Property 2313</t>
  </si>
  <si>
    <t>555-8927</t>
  </si>
  <si>
    <t>Property 2314</t>
  </si>
  <si>
    <t>555-6971</t>
  </si>
  <si>
    <t>Property 2315</t>
  </si>
  <si>
    <t>555-6576</t>
  </si>
  <si>
    <t>Elevator|Gym|Garden|Garage</t>
  </si>
  <si>
    <t>Property 2316</t>
  </si>
  <si>
    <t>555-9891</t>
  </si>
  <si>
    <t>Property 2317</t>
  </si>
  <si>
    <t>555-4344</t>
  </si>
  <si>
    <t>Property 2318</t>
  </si>
  <si>
    <t>555-3004</t>
  </si>
  <si>
    <t>Gym|Garage|Sauna|Elevator</t>
  </si>
  <si>
    <t>Property 2319</t>
  </si>
  <si>
    <t>555-8327</t>
  </si>
  <si>
    <t>Property 2320</t>
  </si>
  <si>
    <t>555-4191</t>
  </si>
  <si>
    <t>Property 2321</t>
  </si>
  <si>
    <t>555-9890</t>
  </si>
  <si>
    <t>Property 2322</t>
  </si>
  <si>
    <t>Property 2323</t>
  </si>
  <si>
    <t>555-1461</t>
  </si>
  <si>
    <t>Property 2324</t>
  </si>
  <si>
    <t>555-9343</t>
  </si>
  <si>
    <t>Property 2325</t>
  </si>
  <si>
    <t>555-4544</t>
  </si>
  <si>
    <t>Garden|Elevator|Pool|Fireplace</t>
  </si>
  <si>
    <t>Property 2326</t>
  </si>
  <si>
    <t>555-1832</t>
  </si>
  <si>
    <t>Property 2327</t>
  </si>
  <si>
    <t>555-3791</t>
  </si>
  <si>
    <t>Property 2328</t>
  </si>
  <si>
    <t>Property 2329</t>
  </si>
  <si>
    <t>555-6840</t>
  </si>
  <si>
    <t>Sauna|Elevator|Gym</t>
  </si>
  <si>
    <t>Property 2330</t>
  </si>
  <si>
    <t>555-3774</t>
  </si>
  <si>
    <t>Property 2331</t>
  </si>
  <si>
    <t>555-9073</t>
  </si>
  <si>
    <t>Property 2332</t>
  </si>
  <si>
    <t>555-9344</t>
  </si>
  <si>
    <t>Pool|Barn|Garage|Garden</t>
  </si>
  <si>
    <t>Property 2333</t>
  </si>
  <si>
    <t>555-4036</t>
  </si>
  <si>
    <t>Sauna|Garden|Gym|Garage</t>
  </si>
  <si>
    <t>Property 2334</t>
  </si>
  <si>
    <t>Property 2335</t>
  </si>
  <si>
    <t>555-9156</t>
  </si>
  <si>
    <t>Property 2336</t>
  </si>
  <si>
    <t>555-7060</t>
  </si>
  <si>
    <t>Property 2337</t>
  </si>
  <si>
    <t>555-8626</t>
  </si>
  <si>
    <t>Property 2338</t>
  </si>
  <si>
    <t>555-9772</t>
  </si>
  <si>
    <t>Property 2339</t>
  </si>
  <si>
    <t>555-9759</t>
  </si>
  <si>
    <t>Gym|Pool|Fireplace|Garden</t>
  </si>
  <si>
    <t>Property 2340</t>
  </si>
  <si>
    <t>555-7522</t>
  </si>
  <si>
    <t>Garden|Fireplace|Pool</t>
  </si>
  <si>
    <t>Property 2341</t>
  </si>
  <si>
    <t>555-1232</t>
  </si>
  <si>
    <t>Property 2342</t>
  </si>
  <si>
    <t>555-1332</t>
  </si>
  <si>
    <t>Sauna|Gym|Fireplace</t>
  </si>
  <si>
    <t>Property 2343</t>
  </si>
  <si>
    <t>555-4631</t>
  </si>
  <si>
    <t>Fireplace|Pool|Garage</t>
  </si>
  <si>
    <t>Property 2344</t>
  </si>
  <si>
    <t>555-6106</t>
  </si>
  <si>
    <t>Property 2345</t>
  </si>
  <si>
    <t>Property 2346</t>
  </si>
  <si>
    <t>555-4971</t>
  </si>
  <si>
    <t>Property 2347</t>
  </si>
  <si>
    <t>555-6298</t>
  </si>
  <si>
    <t>Property 2348</t>
  </si>
  <si>
    <t>555-6813</t>
  </si>
  <si>
    <t>Property 2349</t>
  </si>
  <si>
    <t>Barn|Sauna|Elevator|Garage</t>
  </si>
  <si>
    <t>Property 2350</t>
  </si>
  <si>
    <t>Sauna|Gym|Fireplace|Barn</t>
  </si>
  <si>
    <t>Property 2351</t>
  </si>
  <si>
    <t>555-6590</t>
  </si>
  <si>
    <t>Property 2352</t>
  </si>
  <si>
    <t>555-6356</t>
  </si>
  <si>
    <t>Property 2353</t>
  </si>
  <si>
    <t>555-7459</t>
  </si>
  <si>
    <t>Property 2354</t>
  </si>
  <si>
    <t>Property 2355</t>
  </si>
  <si>
    <t>555-9914</t>
  </si>
  <si>
    <t>Property 2356</t>
  </si>
  <si>
    <t>Elevator|Gym|Sauna|Garden</t>
  </si>
  <si>
    <t>Property 2357</t>
  </si>
  <si>
    <t>Property 2358</t>
  </si>
  <si>
    <t>Property 2359</t>
  </si>
  <si>
    <t>555-8843</t>
  </si>
  <si>
    <t>Elevator|Sauna|Garden</t>
  </si>
  <si>
    <t>Property 2360</t>
  </si>
  <si>
    <t>555-7198</t>
  </si>
  <si>
    <t>Fireplace|Pool|Barn|Sauna</t>
  </si>
  <si>
    <t>Property 2361</t>
  </si>
  <si>
    <t>555-9725</t>
  </si>
  <si>
    <t>Property 2362</t>
  </si>
  <si>
    <t>555-9401</t>
  </si>
  <si>
    <t>Property 2363</t>
  </si>
  <si>
    <t>Property 2364</t>
  </si>
  <si>
    <t>555-1482</t>
  </si>
  <si>
    <t>Property 2365</t>
  </si>
  <si>
    <t>555-2917</t>
  </si>
  <si>
    <t>Property 2366</t>
  </si>
  <si>
    <t>555-8143</t>
  </si>
  <si>
    <t>Property 2367</t>
  </si>
  <si>
    <t>555-4022</t>
  </si>
  <si>
    <t>Sauna|Garage|Gym</t>
  </si>
  <si>
    <t>Property 2368</t>
  </si>
  <si>
    <t>555-8208</t>
  </si>
  <si>
    <t>Property 2369</t>
  </si>
  <si>
    <t>555-1477</t>
  </si>
  <si>
    <t>Sauna|Gym|Garden|Garage</t>
  </si>
  <si>
    <t>Property 2370</t>
  </si>
  <si>
    <t>555-8009</t>
  </si>
  <si>
    <t>Elevator|Sauna|Garden|Pool</t>
  </si>
  <si>
    <t>Property 2371</t>
  </si>
  <si>
    <t>555-7075</t>
  </si>
  <si>
    <t>Property 2372</t>
  </si>
  <si>
    <t>555-3069</t>
  </si>
  <si>
    <t>Property 2373</t>
  </si>
  <si>
    <t>555-8673</t>
  </si>
  <si>
    <t>Property 2374</t>
  </si>
  <si>
    <t>Property 2375</t>
  </si>
  <si>
    <t>555-3869</t>
  </si>
  <si>
    <t>Property 2376</t>
  </si>
  <si>
    <t>Garden|Pool|Garage</t>
  </si>
  <si>
    <t>Property 2377</t>
  </si>
  <si>
    <t>555-6271</t>
  </si>
  <si>
    <t>Property 2378</t>
  </si>
  <si>
    <t>555-3175</t>
  </si>
  <si>
    <t>Elevator|Pool|Gym|Sauna</t>
  </si>
  <si>
    <t>Property 2379</t>
  </si>
  <si>
    <t>555-8868</t>
  </si>
  <si>
    <t>Property 2380</t>
  </si>
  <si>
    <t>555-4806</t>
  </si>
  <si>
    <t>Property 2381</t>
  </si>
  <si>
    <t>555-1250</t>
  </si>
  <si>
    <t>Sauna|Elevator|Fireplace</t>
  </si>
  <si>
    <t>Property 2382</t>
  </si>
  <si>
    <t>555-4304</t>
  </si>
  <si>
    <t>Property 2383</t>
  </si>
  <si>
    <t>555-7419</t>
  </si>
  <si>
    <t>Property 2384</t>
  </si>
  <si>
    <t>555-2898</t>
  </si>
  <si>
    <t>Garage|Elevator|Sauna|Gym</t>
  </si>
  <si>
    <t>Property 2385</t>
  </si>
  <si>
    <t>Property 2386</t>
  </si>
  <si>
    <t>555-7179</t>
  </si>
  <si>
    <t>Property 2387</t>
  </si>
  <si>
    <t>555-5104</t>
  </si>
  <si>
    <t>Property 2388</t>
  </si>
  <si>
    <t>555-4296</t>
  </si>
  <si>
    <t>Property 2389</t>
  </si>
  <si>
    <t>555-2558</t>
  </si>
  <si>
    <t>Property 2390</t>
  </si>
  <si>
    <t>555-4221</t>
  </si>
  <si>
    <t>Fireplace|Elevator|Pool|Garden</t>
  </si>
  <si>
    <t>Property 2391</t>
  </si>
  <si>
    <t>555-2575</t>
  </si>
  <si>
    <t>Property 2392</t>
  </si>
  <si>
    <t>555-6461</t>
  </si>
  <si>
    <t>Property 2393</t>
  </si>
  <si>
    <t>555-7260</t>
  </si>
  <si>
    <t>Property 2394</t>
  </si>
  <si>
    <t>555-5349</t>
  </si>
  <si>
    <t>Property 2395</t>
  </si>
  <si>
    <t>555-1588</t>
  </si>
  <si>
    <t>Property 2396</t>
  </si>
  <si>
    <t>555-9062</t>
  </si>
  <si>
    <t>Property 2397</t>
  </si>
  <si>
    <t>Garden|Pool|Sauna</t>
  </si>
  <si>
    <t>Property 2398</t>
  </si>
  <si>
    <t>555-5640</t>
  </si>
  <si>
    <t>Property 2399</t>
  </si>
  <si>
    <t>555-1679</t>
  </si>
  <si>
    <t>Property 2400</t>
  </si>
  <si>
    <t>555-2652</t>
  </si>
  <si>
    <t>Property 2401</t>
  </si>
  <si>
    <t>Property 2402</t>
  </si>
  <si>
    <t>Property 2403</t>
  </si>
  <si>
    <t>555-6292</t>
  </si>
  <si>
    <t>Property 2404</t>
  </si>
  <si>
    <t>555-1216</t>
  </si>
  <si>
    <t>Property 2405</t>
  </si>
  <si>
    <t>555-6943</t>
  </si>
  <si>
    <t>Property 2406</t>
  </si>
  <si>
    <t>555-9558</t>
  </si>
  <si>
    <t>Property 2407</t>
  </si>
  <si>
    <t>555-8801</t>
  </si>
  <si>
    <t>Garden|Fireplace|Gym|Sauna</t>
  </si>
  <si>
    <t>Property 2408</t>
  </si>
  <si>
    <t>Elevator|Barn|Garden|Garage</t>
  </si>
  <si>
    <t>Property 2409</t>
  </si>
  <si>
    <t>555-1552</t>
  </si>
  <si>
    <t>Gym|Garden|Pool|Garage</t>
  </si>
  <si>
    <t>Property 2410</t>
  </si>
  <si>
    <t>555-4366</t>
  </si>
  <si>
    <t>Property 2411</t>
  </si>
  <si>
    <t>555-9452</t>
  </si>
  <si>
    <t>Property 2412</t>
  </si>
  <si>
    <t>555-9817</t>
  </si>
  <si>
    <t>Barn|Garage|Gym|Pool</t>
  </si>
  <si>
    <t>Property 2413</t>
  </si>
  <si>
    <t>555-7796</t>
  </si>
  <si>
    <t>Garden|Sauna|Elevator|Garage</t>
  </si>
  <si>
    <t>Property 2414</t>
  </si>
  <si>
    <t>555-8736</t>
  </si>
  <si>
    <t>Property 2415</t>
  </si>
  <si>
    <t>555-8199</t>
  </si>
  <si>
    <t>Property 2416</t>
  </si>
  <si>
    <t>Property 2417</t>
  </si>
  <si>
    <t>555-4244</t>
  </si>
  <si>
    <t>Garden|Fireplace|Garage</t>
  </si>
  <si>
    <t>Property 2418</t>
  </si>
  <si>
    <t>555-5116</t>
  </si>
  <si>
    <t>Property 2419</t>
  </si>
  <si>
    <t>555-8246</t>
  </si>
  <si>
    <t>Property 2420</t>
  </si>
  <si>
    <t>555-6132</t>
  </si>
  <si>
    <t>Property 2421</t>
  </si>
  <si>
    <t>Property 2422</t>
  </si>
  <si>
    <t>555-4764</t>
  </si>
  <si>
    <t>Pool|Elevator|Fireplace|Garden</t>
  </si>
  <si>
    <t>Property 2423</t>
  </si>
  <si>
    <t>555-1965</t>
  </si>
  <si>
    <t>Property 2424</t>
  </si>
  <si>
    <t>555-8218</t>
  </si>
  <si>
    <t>Property 2425</t>
  </si>
  <si>
    <t>555-7464</t>
  </si>
  <si>
    <t>Property 2426</t>
  </si>
  <si>
    <t>555-7576</t>
  </si>
  <si>
    <t>Property 2427</t>
  </si>
  <si>
    <t>555-5636</t>
  </si>
  <si>
    <t>Barn|Garage|Sauna</t>
  </si>
  <si>
    <t>Property 2428</t>
  </si>
  <si>
    <t>555-2369</t>
  </si>
  <si>
    <t>Garden|Pool|Garage|Gym</t>
  </si>
  <si>
    <t>Property 2429</t>
  </si>
  <si>
    <t>555-1366</t>
  </si>
  <si>
    <t>Property 2430</t>
  </si>
  <si>
    <t>555-7730</t>
  </si>
  <si>
    <t>Pool|Gym|Fireplace</t>
  </si>
  <si>
    <t>Property 2431</t>
  </si>
  <si>
    <t>555-6667</t>
  </si>
  <si>
    <t>Pool|Garden|Sauna|Elevator</t>
  </si>
  <si>
    <t>Property 2432</t>
  </si>
  <si>
    <t>Property 2433</t>
  </si>
  <si>
    <t>555-9917</t>
  </si>
  <si>
    <t>Sauna|Barn|Fireplace|Elevator</t>
  </si>
  <si>
    <t>Property 2434</t>
  </si>
  <si>
    <t>555-3609</t>
  </si>
  <si>
    <t>Property 2435</t>
  </si>
  <si>
    <t>555-7022</t>
  </si>
  <si>
    <t>Gym|Elevator|Garden|Sauna</t>
  </si>
  <si>
    <t>Property 2436</t>
  </si>
  <si>
    <t>555-5758</t>
  </si>
  <si>
    <t>Gym|Sauna|Garden|Garage</t>
  </si>
  <si>
    <t>Property 2437</t>
  </si>
  <si>
    <t>555-7533</t>
  </si>
  <si>
    <t>Property 2438</t>
  </si>
  <si>
    <t>555-6699</t>
  </si>
  <si>
    <t>Property 2439</t>
  </si>
  <si>
    <t>555-1086</t>
  </si>
  <si>
    <t>Property 2440</t>
  </si>
  <si>
    <t>555-5583</t>
  </si>
  <si>
    <t>Property 2441</t>
  </si>
  <si>
    <t>555-5088</t>
  </si>
  <si>
    <t>Property 2442</t>
  </si>
  <si>
    <t>555-6467</t>
  </si>
  <si>
    <t>Gym|Elevator|Garage</t>
  </si>
  <si>
    <t>Property 2443</t>
  </si>
  <si>
    <t>555-5617</t>
  </si>
  <si>
    <t>Property 2444</t>
  </si>
  <si>
    <t>Property 2445</t>
  </si>
  <si>
    <t>Property 2446</t>
  </si>
  <si>
    <t>555-1295</t>
  </si>
  <si>
    <t>Sauna|Barn|Garage</t>
  </si>
  <si>
    <t>Property 2447</t>
  </si>
  <si>
    <t>555-8248</t>
  </si>
  <si>
    <t>Property 2448</t>
  </si>
  <si>
    <t>555-1987</t>
  </si>
  <si>
    <t>Property 2449</t>
  </si>
  <si>
    <t>555-5474</t>
  </si>
  <si>
    <t>Garage|Fireplace|Sauna|Elevator</t>
  </si>
  <si>
    <t>Property 2450</t>
  </si>
  <si>
    <t>555-5525</t>
  </si>
  <si>
    <t>Property 2451</t>
  </si>
  <si>
    <t>555-7551</t>
  </si>
  <si>
    <t>Gym|Barn|Pool</t>
  </si>
  <si>
    <t>Property 2452</t>
  </si>
  <si>
    <t>Property 2453</t>
  </si>
  <si>
    <t>555-2094</t>
  </si>
  <si>
    <t>Gym|Garden|Barn</t>
  </si>
  <si>
    <t>Property 2454</t>
  </si>
  <si>
    <t>Property 2455</t>
  </si>
  <si>
    <t>555-7108</t>
  </si>
  <si>
    <t>Property 2456</t>
  </si>
  <si>
    <t>555-3564</t>
  </si>
  <si>
    <t>Fireplace|Pool|Barn|Garage</t>
  </si>
  <si>
    <t>Property 2457</t>
  </si>
  <si>
    <t>555-8313</t>
  </si>
  <si>
    <t>Property 2458</t>
  </si>
  <si>
    <t>555-6023</t>
  </si>
  <si>
    <t>Fireplace|Elevator|Garden</t>
  </si>
  <si>
    <t>Property 2459</t>
  </si>
  <si>
    <t>555-9075</t>
  </si>
  <si>
    <t>Fireplace|Gym|Sauna|Garage</t>
  </si>
  <si>
    <t>Property 2460</t>
  </si>
  <si>
    <t>555-9821</t>
  </si>
  <si>
    <t>Property 2461</t>
  </si>
  <si>
    <t>555-5169</t>
  </si>
  <si>
    <t>Elevator|Gym|Fireplace|Garage</t>
  </si>
  <si>
    <t>Property 2462</t>
  </si>
  <si>
    <t>555-5794</t>
  </si>
  <si>
    <t>Property 2463</t>
  </si>
  <si>
    <t>555-9269</t>
  </si>
  <si>
    <t>Property 2464</t>
  </si>
  <si>
    <t>555-9963</t>
  </si>
  <si>
    <t>Property 2465</t>
  </si>
  <si>
    <t>555-1225</t>
  </si>
  <si>
    <t>Sauna|Fireplace|Garden</t>
  </si>
  <si>
    <t>Property 2466</t>
  </si>
  <si>
    <t>Property 2467</t>
  </si>
  <si>
    <t>555-9439</t>
  </si>
  <si>
    <t>Property 2468</t>
  </si>
  <si>
    <t>555-1310</t>
  </si>
  <si>
    <t>Property 2469</t>
  </si>
  <si>
    <t>555-6897</t>
  </si>
  <si>
    <t>Property 2470</t>
  </si>
  <si>
    <t>555-4886</t>
  </si>
  <si>
    <t>Elevator|Fireplace|Gym</t>
  </si>
  <si>
    <t>Property 2471</t>
  </si>
  <si>
    <t>Property 2472</t>
  </si>
  <si>
    <t>Property 2473</t>
  </si>
  <si>
    <t>555-3594</t>
  </si>
  <si>
    <t>Property 2474</t>
  </si>
  <si>
    <t>555-2865</t>
  </si>
  <si>
    <t>Property 2475</t>
  </si>
  <si>
    <t>555-6946</t>
  </si>
  <si>
    <t>Elevator|Fireplace|Sauna</t>
  </si>
  <si>
    <t>Property 2476</t>
  </si>
  <si>
    <t>555-8595</t>
  </si>
  <si>
    <t>Property 2477</t>
  </si>
  <si>
    <t>555-4399</t>
  </si>
  <si>
    <t>Property 2478</t>
  </si>
  <si>
    <t>Property 2479</t>
  </si>
  <si>
    <t>555-5199</t>
  </si>
  <si>
    <t>Property 2480</t>
  </si>
  <si>
    <t>555-8149</t>
  </si>
  <si>
    <t>Property 2481</t>
  </si>
  <si>
    <t>555-2648</t>
  </si>
  <si>
    <t>Elevator|Gym|Fireplace|Pool</t>
  </si>
  <si>
    <t>Property 2482</t>
  </si>
  <si>
    <t>555-4523</t>
  </si>
  <si>
    <t>Property 2483</t>
  </si>
  <si>
    <t>555-9093</t>
  </si>
  <si>
    <t>Property 2484</t>
  </si>
  <si>
    <t>555-5662</t>
  </si>
  <si>
    <t>Property 2485</t>
  </si>
  <si>
    <t>555-5095</t>
  </si>
  <si>
    <t>Property 2486</t>
  </si>
  <si>
    <t>555-6842</t>
  </si>
  <si>
    <t>Property 2487</t>
  </si>
  <si>
    <t>555-2396</t>
  </si>
  <si>
    <t>Pool|Sauna|Fireplace</t>
  </si>
  <si>
    <t>Property 2488</t>
  </si>
  <si>
    <t>555-2066</t>
  </si>
  <si>
    <t>Property 2489</t>
  </si>
  <si>
    <t>555-5428</t>
  </si>
  <si>
    <t>Property 2490</t>
  </si>
  <si>
    <t>555-6676</t>
  </si>
  <si>
    <t>Sauna|Pool|Gym</t>
  </si>
  <si>
    <t>Property 2491</t>
  </si>
  <si>
    <t>555-6923</t>
  </si>
  <si>
    <t>Property 2492</t>
  </si>
  <si>
    <t>555-1431</t>
  </si>
  <si>
    <t>Elevator|Sauna|Fireplace</t>
  </si>
  <si>
    <t>Property 2493</t>
  </si>
  <si>
    <t>555-4542</t>
  </si>
  <si>
    <t>Property 2494</t>
  </si>
  <si>
    <t>555-7076</t>
  </si>
  <si>
    <t>Property 2495</t>
  </si>
  <si>
    <t>Garden|Garage|Gym|Barn</t>
  </si>
  <si>
    <t>Property 2496</t>
  </si>
  <si>
    <t>555-8674</t>
  </si>
  <si>
    <t>Property 2497</t>
  </si>
  <si>
    <t>555-5682</t>
  </si>
  <si>
    <t>Elevator|Barn|Garden|Fireplace</t>
  </si>
  <si>
    <t>Property 2498</t>
  </si>
  <si>
    <t>555-4421</t>
  </si>
  <si>
    <t>Garage|Pool|Garden|Barn</t>
  </si>
  <si>
    <t>Property 2499</t>
  </si>
  <si>
    <t>555-2805</t>
  </si>
  <si>
    <t>Property 2500</t>
  </si>
  <si>
    <t>555-7556</t>
  </si>
  <si>
    <t>Revenue</t>
  </si>
  <si>
    <t>Avg Price</t>
  </si>
  <si>
    <t>Total Properties</t>
  </si>
  <si>
    <t>Conversion Rate</t>
  </si>
  <si>
    <t>Row Labels</t>
  </si>
  <si>
    <t>Grand Total</t>
  </si>
  <si>
    <t>Sum of Revenue</t>
  </si>
  <si>
    <t>2023</t>
  </si>
  <si>
    <t>2024</t>
  </si>
  <si>
    <t>Dec</t>
  </si>
  <si>
    <t>Oct</t>
  </si>
  <si>
    <t>Nov</t>
  </si>
  <si>
    <t>Jan</t>
  </si>
  <si>
    <t>Feb</t>
  </si>
  <si>
    <t>Mar</t>
  </si>
  <si>
    <t>Apr</t>
  </si>
  <si>
    <t>May</t>
  </si>
  <si>
    <t>Jun</t>
  </si>
  <si>
    <t>Jul</t>
  </si>
  <si>
    <t>Aug</t>
  </si>
  <si>
    <t>Sep</t>
  </si>
  <si>
    <t>Agents</t>
  </si>
  <si>
    <t>Date</t>
  </si>
  <si>
    <t>Total_Revenue</t>
  </si>
  <si>
    <t>Total Unsold Properties</t>
  </si>
  <si>
    <t>Total Sold Properties</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</si>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</sst>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0.00,,&quot; M&quot;"/>
  </numFmts>
  <fonts count="1" x14ac:knownFonts="1">
    <font>
      <sz val="11"/>
      <color theme="1"/>
      <name val="Segoe UI Semibold"/>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99FFCC"/>
        <bgColor indexed="64"/>
      </patternFill>
    </fill>
    <fill>
      <patternFill patternType="solid">
        <fgColor rgb="FF00B0F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Alignment="1">
      <alignment horizontal="left" indent="1"/>
    </xf>
    <xf numFmtId="0" fontId="0" fillId="0" borderId="1" xfId="0" applyBorder="1"/>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2" xfId="0" applyFill="1" applyBorder="1" applyAlignment="1">
      <alignment horizontal="center"/>
    </xf>
    <xf numFmtId="0" fontId="0" fillId="7" borderId="3" xfId="0" applyFill="1" applyBorder="1" applyAlignment="1">
      <alignment horizontal="center"/>
    </xf>
  </cellXfs>
  <cellStyles count="1">
    <cellStyle name="Normal" xfId="0" builtinId="0"/>
  </cellStyles>
  <dxfs count="35">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4" formatCode="\$\ #,##0.00"/>
    </dxf>
    <dxf>
      <numFmt numFmtId="165" formatCode="\$#,##0.00,,&quot; M&quot;"/>
    </dxf>
    <dxf>
      <numFmt numFmtId="165" formatCode="\$#,##0.00,,&quot; M&quot;"/>
    </dxf>
    <dxf>
      <numFmt numFmtId="164" formatCode="\$\ #,##0.00"/>
    </dxf>
    <dxf>
      <numFmt numFmtId="0" formatCode="General"/>
    </dxf>
    <dxf>
      <numFmt numFmtId="0" formatCode="General"/>
    </dxf>
    <dxf>
      <numFmt numFmtId="0" formatCode="General"/>
    </dxf>
    <dxf>
      <numFmt numFmtId="0" formatCode="General"/>
    </dxf>
    <dxf>
      <numFmt numFmtId="0" formatCode="General"/>
    </dxf>
    <dxf>
      <numFmt numFmtId="165" formatCode="\$#,##0.00,,&quot; M&quot;"/>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estate.xlsx]Revenue by Property Type!PivotTable2</c:name>
    <c:fmtId val="2"/>
  </c:pivotSource>
  <c:chart>
    <c:title>
      <c:tx>
        <c:rich>
          <a:bodyPr rot="0" spcFirstLastPara="1" vertOverflow="ellipsis" vert="horz" wrap="square" anchor="ctr" anchorCtr="1"/>
          <a:lstStyle/>
          <a:p>
            <a:pPr algn="ctr" rtl="0">
              <a:def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rPr>
              <a:t>Revenue by Property Type</a:t>
            </a:r>
          </a:p>
        </c:rich>
      </c:tx>
      <c:layout>
        <c:manualLayout>
          <c:xMode val="edge"/>
          <c:yMode val="edge"/>
          <c:x val="0.26644627676059746"/>
          <c:y val="2.2447490547308706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a:sp3d/>
        </c:spPr>
        <c:dLbl>
          <c:idx val="0"/>
          <c:layout>
            <c:manualLayout>
              <c:x val="7.0310384361325473E-2"/>
              <c:y val="-0.374485960745887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a:sp3d/>
        </c:spPr>
        <c:dLbl>
          <c:idx val="0"/>
          <c:layout>
            <c:manualLayout>
              <c:x val="6.0266043738278962E-3"/>
              <c:y val="-0.22325124582927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a:sp3d/>
        </c:spPr>
        <c:dLbl>
          <c:idx val="0"/>
          <c:layout>
            <c:manualLayout>
              <c:x val="5.0221703115232469E-2"/>
              <c:y val="-0.39249009347405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'Revenue by Property Type'!$B$3</c:f>
              <c:strCache>
                <c:ptCount val="1"/>
                <c:pt idx="0">
                  <c:v>Total</c:v>
                </c:pt>
              </c:strCache>
            </c:strRef>
          </c:tx>
          <c:spPr>
            <a:solidFill>
              <a:schemeClr val="accent3">
                <a:lumMod val="75000"/>
              </a:schemeClr>
            </a:solidFill>
            <a:ln>
              <a:noFill/>
            </a:ln>
            <a:effectLst/>
            <a:sp3d/>
          </c:spPr>
          <c:invertIfNegative val="0"/>
          <c:dLbls>
            <c:dLbl>
              <c:idx val="0"/>
              <c:layout>
                <c:manualLayout>
                  <c:x val="5.0221703115232469E-2"/>
                  <c:y val="-0.392490093474054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4D-410E-9C57-7C0FCA2CC937}"/>
                </c:ext>
              </c:extLst>
            </c:dLbl>
            <c:dLbl>
              <c:idx val="1"/>
              <c:layout>
                <c:manualLayout>
                  <c:x val="6.0266043738278962E-3"/>
                  <c:y val="-0.223251245829278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4D-410E-9C57-7C0FCA2CC937}"/>
                </c:ext>
              </c:extLst>
            </c:dLbl>
            <c:dLbl>
              <c:idx val="2"/>
              <c:layout>
                <c:manualLayout>
                  <c:x val="7.0310384361325473E-2"/>
                  <c:y val="-0.37448596074588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4D-410E-9C57-7C0FCA2CC9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Property Type'!$A$4:$A$7</c:f>
              <c:strCache>
                <c:ptCount val="3"/>
                <c:pt idx="0">
                  <c:v>Apartment</c:v>
                </c:pt>
                <c:pt idx="1">
                  <c:v>Commercial</c:v>
                </c:pt>
                <c:pt idx="2">
                  <c:v>House</c:v>
                </c:pt>
              </c:strCache>
            </c:strRef>
          </c:cat>
          <c:val>
            <c:numRef>
              <c:f>'Revenue by Property Type'!$B$4:$B$7</c:f>
              <c:numCache>
                <c:formatCode>\$#,##0.00,," M"</c:formatCode>
                <c:ptCount val="3"/>
                <c:pt idx="0">
                  <c:v>514879966347</c:v>
                </c:pt>
                <c:pt idx="1">
                  <c:v>490742855680</c:v>
                </c:pt>
                <c:pt idx="2">
                  <c:v>518715389586</c:v>
                </c:pt>
              </c:numCache>
            </c:numRef>
          </c:val>
          <c:extLst>
            <c:ext xmlns:c16="http://schemas.microsoft.com/office/drawing/2014/chart" uri="{C3380CC4-5D6E-409C-BE32-E72D297353CC}">
              <c16:uniqueId val="{00000000-094D-410E-9C57-7C0FCA2CC937}"/>
            </c:ext>
          </c:extLst>
        </c:ser>
        <c:dLbls>
          <c:showLegendKey val="0"/>
          <c:showVal val="1"/>
          <c:showCatName val="0"/>
          <c:showSerName val="0"/>
          <c:showPercent val="0"/>
          <c:showBubbleSize val="0"/>
        </c:dLbls>
        <c:gapWidth val="150"/>
        <c:shape val="box"/>
        <c:axId val="1370678384"/>
        <c:axId val="1370672144"/>
        <c:axId val="0"/>
      </c:bar3DChart>
      <c:catAx>
        <c:axId val="1370678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672144"/>
        <c:crosses val="autoZero"/>
        <c:auto val="1"/>
        <c:lblAlgn val="ctr"/>
        <c:lblOffset val="100"/>
        <c:noMultiLvlLbl val="0"/>
      </c:catAx>
      <c:valAx>
        <c:axId val="1370672144"/>
        <c:scaling>
          <c:orientation val="minMax"/>
        </c:scaling>
        <c:delete val="0"/>
        <c:axPos val="l"/>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67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estate.xlsx]Revenue by City!PivotTable1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sz="1000" b="1">
                <a:solidFill>
                  <a:schemeClr val="tx1"/>
                </a:solidFill>
                <a:latin typeface="Segoe UI Semibold" panose="020B0702040204020203" pitchFamily="34" charset="0"/>
                <a:cs typeface="Segoe UI Semibold" panose="020B0702040204020203" pitchFamily="34" charset="0"/>
              </a:rPr>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City'!$B$3</c:f>
              <c:strCache>
                <c:ptCount val="1"/>
                <c:pt idx="0">
                  <c:v>Total</c:v>
                </c:pt>
              </c:strCache>
            </c:strRef>
          </c:tx>
          <c:spPr>
            <a:solidFill>
              <a:schemeClr val="accent3">
                <a:lumMod val="75000"/>
              </a:schemeClr>
            </a:solidFill>
            <a:ln>
              <a:noFill/>
            </a:ln>
            <a:effectLst/>
          </c:spPr>
          <c:invertIfNegative val="0"/>
          <c:cat>
            <c:strRef>
              <c:f>'Revenue by City'!$A$4:$A$9</c:f>
              <c:strCache>
                <c:ptCount val="5"/>
                <c:pt idx="0">
                  <c:v>Austin</c:v>
                </c:pt>
                <c:pt idx="1">
                  <c:v>Dallas</c:v>
                </c:pt>
                <c:pt idx="2">
                  <c:v>Fort Worth</c:v>
                </c:pt>
                <c:pt idx="3">
                  <c:v>Houston</c:v>
                </c:pt>
                <c:pt idx="4">
                  <c:v>San Antonio</c:v>
                </c:pt>
              </c:strCache>
            </c:strRef>
          </c:cat>
          <c:val>
            <c:numRef>
              <c:f>'Revenue by City'!$B$4:$B$9</c:f>
              <c:numCache>
                <c:formatCode>\$#,##0.00,," M"</c:formatCode>
                <c:ptCount val="5"/>
                <c:pt idx="0">
                  <c:v>289504940882</c:v>
                </c:pt>
                <c:pt idx="1">
                  <c:v>311325204041</c:v>
                </c:pt>
                <c:pt idx="2">
                  <c:v>275649322723</c:v>
                </c:pt>
                <c:pt idx="3">
                  <c:v>346998690261</c:v>
                </c:pt>
                <c:pt idx="4">
                  <c:v>300860053706</c:v>
                </c:pt>
              </c:numCache>
            </c:numRef>
          </c:val>
          <c:extLst>
            <c:ext xmlns:c16="http://schemas.microsoft.com/office/drawing/2014/chart" uri="{C3380CC4-5D6E-409C-BE32-E72D297353CC}">
              <c16:uniqueId val="{00000000-84D5-48BC-A7F4-4783BE9E8DA4}"/>
            </c:ext>
          </c:extLst>
        </c:ser>
        <c:dLbls>
          <c:showLegendKey val="0"/>
          <c:showVal val="0"/>
          <c:showCatName val="0"/>
          <c:showSerName val="0"/>
          <c:showPercent val="0"/>
          <c:showBubbleSize val="0"/>
        </c:dLbls>
        <c:gapWidth val="219"/>
        <c:overlap val="-27"/>
        <c:axId val="1370653904"/>
        <c:axId val="1370670704"/>
      </c:barChart>
      <c:catAx>
        <c:axId val="137065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0670704"/>
        <c:crosses val="autoZero"/>
        <c:auto val="1"/>
        <c:lblAlgn val="ctr"/>
        <c:lblOffset val="100"/>
        <c:noMultiLvlLbl val="0"/>
      </c:catAx>
      <c:valAx>
        <c:axId val="1370670704"/>
        <c:scaling>
          <c:orientation val="minMax"/>
        </c:scaling>
        <c:delete val="0"/>
        <c:axPos val="l"/>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065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[Real estate.xlsx]Revenue by Property Type!PivotTable2</c:name>
    <c:fmtId val="20"/>
  </c:pivotSource>
  <c:chart>
    <c:title>
      <c:tx>
        <c:rich>
          <a:bodyPr rot="0" spcFirstLastPara="1" vertOverflow="ellipsis" vert="horz" wrap="square" anchor="ctr" anchorCtr="1"/>
          <a:lstStyle/>
          <a:p>
            <a:pPr algn="ctr" rtl="0">
              <a:def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rPr>
              <a:t>Revenue by Property Type</a:t>
            </a:r>
          </a:p>
        </c:rich>
      </c:tx>
      <c:layout>
        <c:manualLayout>
          <c:xMode val="edge"/>
          <c:yMode val="edge"/>
          <c:x val="0.25543044619422572"/>
          <c:y val="1.3888888888888888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pivotFmt>
      <c:pivotFmt>
        <c:idx val="3"/>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pivotFmt>
      <c:pivotFmt>
        <c:idx val="4"/>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pivotFmt>
      <c:pivotFmt>
        <c:idx val="5"/>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5225D11-C3C8-4DFC-BDB9-1EFF29DA7119}" type="CATEGORYNAME">
                  <a:rPr lang="en-US"/>
                  <a:pPr>
                    <a:defRPr/>
                  </a:pPr>
                  <a:t>[CATEGORY NAME]</a:t>
                </a:fld>
                <a:r>
                  <a:rPr lang="en-US" baseline="0"/>
                  <a:t>, </a:t>
                </a:r>
              </a:p>
              <a:p>
                <a:pPr>
                  <a:defRPr/>
                </a:pPr>
                <a:fld id="{15BFDCA5-A2D4-4982-B40F-572A80760CC7}"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683200236464422"/>
                  <c:h val="0.2574687973849506"/>
                </c:manualLayout>
              </c15:layout>
              <c15:dlblFieldTable/>
              <c15:showDataLabelsRange val="0"/>
            </c:ext>
          </c:extLst>
        </c:dLbl>
      </c:pivotFmt>
      <c:pivotFmt>
        <c:idx val="7"/>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0.22576715598789004"/>
              <c:y val="-2.515167268406368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08BBA0D-F925-4021-A674-11E7B237142D}" type="CATEGORYNAME">
                  <a:rPr lang="en-US"/>
                  <a:pPr>
                    <a:defRPr/>
                  </a:pPr>
                  <a:t>[CATEGORY NAME]</a:t>
                </a:fld>
                <a:r>
                  <a:rPr lang="en-US" baseline="0"/>
                  <a:t>,</a:t>
                </a:r>
              </a:p>
              <a:p>
                <a:pPr>
                  <a:defRPr/>
                </a:pPr>
                <a:r>
                  <a:rPr lang="en-US" baseline="0"/>
                  <a:t> </a:t>
                </a:r>
                <a:fld id="{62562AE1-954C-4E1A-8A9A-9965B1F1425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546941542452824"/>
                  <c:h val="0.16123879874460315"/>
                </c:manualLayout>
              </c15:layout>
              <c15:dlblFieldTable/>
              <c15:showDataLabelsRange val="0"/>
            </c:ext>
          </c:extLst>
        </c:dLbl>
      </c:pivotFmt>
      <c:pivotFmt>
        <c:idx val="8"/>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layout>
            <c:manualLayout>
              <c:x val="-1.1295220906060523E-2"/>
              <c:y val="9.67356096613500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36004D0-8321-431D-80F7-CD45F0D8AA04}" type="CATEGORYNAME">
                  <a:rPr lang="en-US"/>
                  <a:pPr>
                    <a:defRPr/>
                  </a:pPr>
                  <a:t>[CATEGORY NAME]</a:t>
                </a:fld>
                <a:r>
                  <a:rPr lang="en-US" baseline="0"/>
                  <a:t>,</a:t>
                </a:r>
              </a:p>
              <a:p>
                <a:pPr>
                  <a:defRPr/>
                </a:pPr>
                <a:r>
                  <a:rPr lang="en-US" baseline="0"/>
                  <a:t> </a:t>
                </a:r>
                <a:fld id="{2AED7D5F-4C84-4237-84F2-C0B390C5673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6871546082606"/>
                  <c:h val="0.287343516456736"/>
                </c:manualLayout>
              </c15:layout>
              <c15:dlblFieldTable/>
              <c15:showDataLabelsRange val="0"/>
            </c:ext>
          </c:extLst>
        </c:dLbl>
      </c:pivotFmt>
    </c:pivotFmts>
    <c:plotArea>
      <c:layout/>
      <c:pieChart>
        <c:varyColors val="1"/>
        <c:ser>
          <c:idx val="0"/>
          <c:order val="0"/>
          <c:tx>
            <c:strRef>
              <c:f>'Revenue by Property Type'!$B$3</c:f>
              <c:strCache>
                <c:ptCount val="1"/>
                <c:pt idx="0">
                  <c:v>Total</c:v>
                </c:pt>
              </c:strCache>
            </c:strRef>
          </c:tx>
          <c:dPt>
            <c:idx val="0"/>
            <c:bubble3D val="0"/>
            <c:spPr>
              <a:gradFill rotWithShape="1">
                <a:gsLst>
                  <a:gs pos="0">
                    <a:schemeClr val="accent3">
                      <a:shade val="65000"/>
                      <a:tint val="98000"/>
                      <a:lumMod val="110000"/>
                    </a:schemeClr>
                  </a:gs>
                  <a:gs pos="84000">
                    <a:schemeClr val="accent3">
                      <a:shade val="65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1857-4AEA-8FB2-692E44FE3939}"/>
              </c:ext>
            </c:extLst>
          </c:dPt>
          <c:dPt>
            <c:idx val="1"/>
            <c:bubble3D val="0"/>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1857-4AEA-8FB2-692E44FE3939}"/>
              </c:ext>
            </c:extLst>
          </c:dPt>
          <c:dPt>
            <c:idx val="2"/>
            <c:bubble3D val="0"/>
            <c:spPr>
              <a:gradFill rotWithShape="1">
                <a:gsLst>
                  <a:gs pos="0">
                    <a:schemeClr val="accent3">
                      <a:tint val="65000"/>
                      <a:tint val="98000"/>
                      <a:lumMod val="110000"/>
                    </a:schemeClr>
                  </a:gs>
                  <a:gs pos="84000">
                    <a:schemeClr val="accent3">
                      <a:tint val="65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5-1857-4AEA-8FB2-692E44FE3939}"/>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5225D11-C3C8-4DFC-BDB9-1EFF29DA7119}" type="CATEGORYNAME">
                      <a:rPr lang="en-US"/>
                      <a:pPr>
                        <a:defRPr/>
                      </a:pPr>
                      <a:t>[CATEGORY NAME]</a:t>
                    </a:fld>
                    <a:r>
                      <a:rPr lang="en-US" baseline="0"/>
                      <a:t>, </a:t>
                    </a:r>
                  </a:p>
                  <a:p>
                    <a:pPr>
                      <a:defRPr/>
                    </a:pPr>
                    <a:fld id="{15BFDCA5-A2D4-4982-B40F-572A80760CC7}" type="VALUE">
                      <a:rPr lang="en-US" baseline="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683200236464422"/>
                      <c:h val="0.2574687973849506"/>
                    </c:manualLayout>
                  </c15:layout>
                  <c15:dlblFieldTable/>
                  <c15:showDataLabelsRange val="0"/>
                </c:ext>
                <c:ext xmlns:c16="http://schemas.microsoft.com/office/drawing/2014/chart" uri="{C3380CC4-5D6E-409C-BE32-E72D297353CC}">
                  <c16:uniqueId val="{00000001-1857-4AEA-8FB2-692E44FE3939}"/>
                </c:ext>
              </c:extLst>
            </c:dLbl>
            <c:dLbl>
              <c:idx val="1"/>
              <c:layout>
                <c:manualLayout>
                  <c:x val="0.22576715598789004"/>
                  <c:y val="-2.515167268406368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08BBA0D-F925-4021-A674-11E7B237142D}" type="CATEGORYNAME">
                      <a:rPr lang="en-US"/>
                      <a:pPr>
                        <a:defRPr/>
                      </a:pPr>
                      <a:t>[CATEGORY NAME]</a:t>
                    </a:fld>
                    <a:r>
                      <a:rPr lang="en-US" baseline="0"/>
                      <a:t>,</a:t>
                    </a:r>
                  </a:p>
                  <a:p>
                    <a:pPr>
                      <a:defRPr/>
                    </a:pPr>
                    <a:r>
                      <a:rPr lang="en-US" baseline="0"/>
                      <a:t> </a:t>
                    </a:r>
                    <a:fld id="{62562AE1-954C-4E1A-8A9A-9965B1F1425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546941542452824"/>
                      <c:h val="0.16123879874460315"/>
                    </c:manualLayout>
                  </c15:layout>
                  <c15:dlblFieldTable/>
                  <c15:showDataLabelsRange val="0"/>
                </c:ext>
                <c:ext xmlns:c16="http://schemas.microsoft.com/office/drawing/2014/chart" uri="{C3380CC4-5D6E-409C-BE32-E72D297353CC}">
                  <c16:uniqueId val="{00000003-1857-4AEA-8FB2-692E44FE3939}"/>
                </c:ext>
              </c:extLst>
            </c:dLbl>
            <c:dLbl>
              <c:idx val="2"/>
              <c:layout>
                <c:manualLayout>
                  <c:x val="-1.1295220906060523E-2"/>
                  <c:y val="9.67356096613500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36004D0-8321-431D-80F7-CD45F0D8AA04}" type="CATEGORYNAME">
                      <a:rPr lang="en-US"/>
                      <a:pPr>
                        <a:defRPr/>
                      </a:pPr>
                      <a:t>[CATEGORY NAME]</a:t>
                    </a:fld>
                    <a:r>
                      <a:rPr lang="en-US" baseline="0"/>
                      <a:t>,</a:t>
                    </a:r>
                  </a:p>
                  <a:p>
                    <a:pPr>
                      <a:defRPr/>
                    </a:pPr>
                    <a:r>
                      <a:rPr lang="en-US" baseline="0"/>
                      <a:t> </a:t>
                    </a:r>
                    <a:fld id="{2AED7D5F-4C84-4237-84F2-C0B390C5673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6871546082606"/>
                      <c:h val="0.287343516456736"/>
                    </c:manualLayout>
                  </c15:layout>
                  <c15:dlblFieldTable/>
                  <c15:showDataLabelsRange val="0"/>
                </c:ext>
                <c:ext xmlns:c16="http://schemas.microsoft.com/office/drawing/2014/chart" uri="{C3380CC4-5D6E-409C-BE32-E72D297353CC}">
                  <c16:uniqueId val="{00000005-1857-4AEA-8FB2-692E44FE3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Property Type'!$A$4:$A$7</c:f>
              <c:strCache>
                <c:ptCount val="3"/>
                <c:pt idx="0">
                  <c:v>Apartment</c:v>
                </c:pt>
                <c:pt idx="1">
                  <c:v>Commercial</c:v>
                </c:pt>
                <c:pt idx="2">
                  <c:v>House</c:v>
                </c:pt>
              </c:strCache>
            </c:strRef>
          </c:cat>
          <c:val>
            <c:numRef>
              <c:f>'Revenue by Property Type'!$B$4:$B$7</c:f>
              <c:numCache>
                <c:formatCode>\$#,##0.00,," M"</c:formatCode>
                <c:ptCount val="3"/>
                <c:pt idx="0">
                  <c:v>514879966347</c:v>
                </c:pt>
                <c:pt idx="1">
                  <c:v>490742855680</c:v>
                </c:pt>
                <c:pt idx="2">
                  <c:v>518715389586</c:v>
                </c:pt>
              </c:numCache>
            </c:numRef>
          </c:val>
          <c:extLst>
            <c:ext xmlns:c16="http://schemas.microsoft.com/office/drawing/2014/chart" uri="{C3380CC4-5D6E-409C-BE32-E72D297353CC}">
              <c16:uniqueId val="{00000006-1857-4AEA-8FB2-692E44FE393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estate.xlsx]Monthly Sales Trend!PivotTable5</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accent3"/>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multiLvlStrRef>
              <c:f>'Monthly Sales Trend'!$A$4:$A$19</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2023</c:v>
                  </c:pt>
                  <c:pt idx="1">
                    <c:v>2024</c:v>
                  </c:pt>
                </c:lvl>
              </c:multiLvlStrCache>
            </c:multiLvlStrRef>
          </c:cat>
          <c:val>
            <c:numRef>
              <c:f>'Monthly Sales Trend'!$B$4:$B$19</c:f>
              <c:numCache>
                <c:formatCode>\$#,##0.00,," M"</c:formatCode>
                <c:ptCount val="13"/>
                <c:pt idx="0">
                  <c:v>56609693929</c:v>
                </c:pt>
                <c:pt idx="1">
                  <c:v>116557795482</c:v>
                </c:pt>
                <c:pt idx="2">
                  <c:v>157589575929</c:v>
                </c:pt>
                <c:pt idx="3">
                  <c:v>98781803656</c:v>
                </c:pt>
                <c:pt idx="4">
                  <c:v>119318678543</c:v>
                </c:pt>
                <c:pt idx="5">
                  <c:v>123908046462</c:v>
                </c:pt>
                <c:pt idx="6">
                  <c:v>114273839787</c:v>
                </c:pt>
                <c:pt idx="7">
                  <c:v>143319711900</c:v>
                </c:pt>
                <c:pt idx="8">
                  <c:v>146642986888</c:v>
                </c:pt>
                <c:pt idx="9">
                  <c:v>127748195535</c:v>
                </c:pt>
                <c:pt idx="10">
                  <c:v>132071774220</c:v>
                </c:pt>
                <c:pt idx="11">
                  <c:v>109634887818</c:v>
                </c:pt>
                <c:pt idx="12">
                  <c:v>77881221464</c:v>
                </c:pt>
              </c:numCache>
            </c:numRef>
          </c:val>
          <c:smooth val="0"/>
          <c:extLst>
            <c:ext xmlns:c16="http://schemas.microsoft.com/office/drawing/2014/chart" uri="{C3380CC4-5D6E-409C-BE32-E72D297353CC}">
              <c16:uniqueId val="{00000000-A722-4177-AA23-903E0C0CA392}"/>
            </c:ext>
          </c:extLst>
        </c:ser>
        <c:dLbls>
          <c:showLegendKey val="0"/>
          <c:showVal val="0"/>
          <c:showCatName val="0"/>
          <c:showSerName val="0"/>
          <c:showPercent val="0"/>
          <c:showBubbleSize val="0"/>
        </c:dLbls>
        <c:marker val="1"/>
        <c:smooth val="0"/>
        <c:axId val="585148240"/>
        <c:axId val="576361552"/>
      </c:lineChart>
      <c:catAx>
        <c:axId val="585148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61552"/>
        <c:crosses val="autoZero"/>
        <c:auto val="1"/>
        <c:lblAlgn val="ctr"/>
        <c:lblOffset val="100"/>
        <c:noMultiLvlLbl val="0"/>
      </c:catAx>
      <c:valAx>
        <c:axId val="576361552"/>
        <c:scaling>
          <c:orientation val="minMax"/>
        </c:scaling>
        <c:delete val="0"/>
        <c:axPos val="l"/>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4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 Agent Performance!PivotTable6</c:name>
    <c:fmtId val="22"/>
  </c:pivotSource>
  <c:chart>
    <c:title>
      <c:tx>
        <c:rich>
          <a:bodyPr rot="0" spcFirstLastPara="1" vertOverflow="ellipsis" vert="horz" wrap="square" anchor="ctr" anchorCtr="1"/>
          <a:lstStyle/>
          <a:p>
            <a:pPr algn="ctr" rtl="0">
              <a:def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rPr>
              <a:t> Agent Performance</a:t>
            </a: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Agent Performance'!$B$3</c:f>
              <c:strCache>
                <c:ptCount val="1"/>
                <c:pt idx="0">
                  <c:v>Total</c:v>
                </c:pt>
              </c:strCache>
            </c:strRef>
          </c:tx>
          <c:spPr>
            <a:solidFill>
              <a:schemeClr val="accent1"/>
            </a:solidFill>
            <a:ln>
              <a:noFill/>
            </a:ln>
            <a:effectLst/>
          </c:spPr>
          <c:invertIfNegative val="0"/>
          <c:cat>
            <c:strRef>
              <c:f>' Agent Performance'!$A$4:$A$14</c:f>
              <c:strCache>
                <c:ptCount val="10"/>
                <c:pt idx="0">
                  <c:v>Michael Green</c:v>
                </c:pt>
                <c:pt idx="1">
                  <c:v>Kevin Martinez</c:v>
                </c:pt>
                <c:pt idx="2">
                  <c:v>Laura Taylor</c:v>
                </c:pt>
                <c:pt idx="3">
                  <c:v>Emily Brown</c:v>
                </c:pt>
                <c:pt idx="4">
                  <c:v>Sarah Johnson</c:v>
                </c:pt>
                <c:pt idx="5">
                  <c:v>Jane Smith</c:v>
                </c:pt>
                <c:pt idx="6">
                  <c:v>John Doe</c:v>
                </c:pt>
                <c:pt idx="7">
                  <c:v>Alice White</c:v>
                </c:pt>
                <c:pt idx="8">
                  <c:v>David Lee</c:v>
                </c:pt>
                <c:pt idx="9">
                  <c:v>Robert Black</c:v>
                </c:pt>
              </c:strCache>
            </c:strRef>
          </c:cat>
          <c:val>
            <c:numRef>
              <c:f>' Agent Performance'!$B$4:$B$14</c:f>
              <c:numCache>
                <c:formatCode>\$#,##0.00,," M"</c:formatCode>
                <c:ptCount val="10"/>
                <c:pt idx="0">
                  <c:v>134384966593</c:v>
                </c:pt>
                <c:pt idx="1">
                  <c:v>136345862376</c:v>
                </c:pt>
                <c:pt idx="2">
                  <c:v>138933201106</c:v>
                </c:pt>
                <c:pt idx="3">
                  <c:v>145899480919</c:v>
                </c:pt>
                <c:pt idx="4">
                  <c:v>149214952583</c:v>
                </c:pt>
                <c:pt idx="5">
                  <c:v>152631677016</c:v>
                </c:pt>
                <c:pt idx="6">
                  <c:v>157202865799</c:v>
                </c:pt>
                <c:pt idx="7">
                  <c:v>161806402229</c:v>
                </c:pt>
                <c:pt idx="8">
                  <c:v>169388489179</c:v>
                </c:pt>
                <c:pt idx="9">
                  <c:v>178530313813</c:v>
                </c:pt>
              </c:numCache>
            </c:numRef>
          </c:val>
          <c:extLst>
            <c:ext xmlns:c16="http://schemas.microsoft.com/office/drawing/2014/chart" uri="{C3380CC4-5D6E-409C-BE32-E72D297353CC}">
              <c16:uniqueId val="{00000000-C119-4568-A7EB-0BA186E2DED7}"/>
            </c:ext>
          </c:extLst>
        </c:ser>
        <c:dLbls>
          <c:showLegendKey val="0"/>
          <c:showVal val="0"/>
          <c:showCatName val="0"/>
          <c:showSerName val="0"/>
          <c:showPercent val="0"/>
          <c:showBubbleSize val="0"/>
        </c:dLbls>
        <c:gapWidth val="182"/>
        <c:axId val="1900689487"/>
        <c:axId val="1900674607"/>
      </c:barChart>
      <c:catAx>
        <c:axId val="190068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0674607"/>
        <c:crosses val="autoZero"/>
        <c:auto val="1"/>
        <c:lblAlgn val="ctr"/>
        <c:lblOffset val="100"/>
        <c:noMultiLvlLbl val="0"/>
      </c:catAx>
      <c:valAx>
        <c:axId val="1900674607"/>
        <c:scaling>
          <c:orientation val="minMax"/>
        </c:scaling>
        <c:delete val="0"/>
        <c:axPos val="b"/>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068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estate.xlsx]Monthly Sales Trend!PivotTable5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Trend'!$A$4:$A$19</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2023</c:v>
                  </c:pt>
                  <c:pt idx="1">
                    <c:v>2024</c:v>
                  </c:pt>
                </c:lvl>
              </c:multiLvlStrCache>
            </c:multiLvlStrRef>
          </c:cat>
          <c:val>
            <c:numRef>
              <c:f>'Monthly Sales Trend'!$B$4:$B$19</c:f>
              <c:numCache>
                <c:formatCode>\$#,##0.00,," M"</c:formatCode>
                <c:ptCount val="13"/>
                <c:pt idx="0">
                  <c:v>56609693929</c:v>
                </c:pt>
                <c:pt idx="1">
                  <c:v>116557795482</c:v>
                </c:pt>
                <c:pt idx="2">
                  <c:v>157589575929</c:v>
                </c:pt>
                <c:pt idx="3">
                  <c:v>98781803656</c:v>
                </c:pt>
                <c:pt idx="4">
                  <c:v>119318678543</c:v>
                </c:pt>
                <c:pt idx="5">
                  <c:v>123908046462</c:v>
                </c:pt>
                <c:pt idx="6">
                  <c:v>114273839787</c:v>
                </c:pt>
                <c:pt idx="7">
                  <c:v>143319711900</c:v>
                </c:pt>
                <c:pt idx="8">
                  <c:v>146642986888</c:v>
                </c:pt>
                <c:pt idx="9">
                  <c:v>127748195535</c:v>
                </c:pt>
                <c:pt idx="10">
                  <c:v>132071774220</c:v>
                </c:pt>
                <c:pt idx="11">
                  <c:v>109634887818</c:v>
                </c:pt>
                <c:pt idx="12">
                  <c:v>77881221464</c:v>
                </c:pt>
              </c:numCache>
            </c:numRef>
          </c:val>
          <c:smooth val="0"/>
          <c:extLst>
            <c:ext xmlns:c16="http://schemas.microsoft.com/office/drawing/2014/chart" uri="{C3380CC4-5D6E-409C-BE32-E72D297353CC}">
              <c16:uniqueId val="{00000000-2486-4F3A-983E-DE8CF2E64A97}"/>
            </c:ext>
          </c:extLst>
        </c:ser>
        <c:dLbls>
          <c:showLegendKey val="0"/>
          <c:showVal val="0"/>
          <c:showCatName val="0"/>
          <c:showSerName val="0"/>
          <c:showPercent val="0"/>
          <c:showBubbleSize val="0"/>
        </c:dLbls>
        <c:marker val="1"/>
        <c:smooth val="0"/>
        <c:axId val="585148240"/>
        <c:axId val="576361552"/>
      </c:lineChart>
      <c:catAx>
        <c:axId val="58514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6361552"/>
        <c:crosses val="autoZero"/>
        <c:auto val="1"/>
        <c:lblAlgn val="ctr"/>
        <c:lblOffset val="100"/>
        <c:noMultiLvlLbl val="0"/>
      </c:catAx>
      <c:valAx>
        <c:axId val="576361552"/>
        <c:scaling>
          <c:orientation val="minMax"/>
        </c:scaling>
        <c:delete val="0"/>
        <c:axPos val="l"/>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514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 Agent Performance!PivotTable6</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Agent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Agent Performance'!$B$3</c:f>
              <c:strCache>
                <c:ptCount val="1"/>
                <c:pt idx="0">
                  <c:v>Total</c:v>
                </c:pt>
              </c:strCache>
            </c:strRef>
          </c:tx>
          <c:spPr>
            <a:solidFill>
              <a:schemeClr val="accent1"/>
            </a:solidFill>
            <a:ln>
              <a:noFill/>
            </a:ln>
            <a:effectLst/>
          </c:spPr>
          <c:invertIfNegative val="0"/>
          <c:cat>
            <c:strRef>
              <c:f>' Agent Performance'!$A$4:$A$14</c:f>
              <c:strCache>
                <c:ptCount val="10"/>
                <c:pt idx="0">
                  <c:v>Michael Green</c:v>
                </c:pt>
                <c:pt idx="1">
                  <c:v>Kevin Martinez</c:v>
                </c:pt>
                <c:pt idx="2">
                  <c:v>Laura Taylor</c:v>
                </c:pt>
                <c:pt idx="3">
                  <c:v>Emily Brown</c:v>
                </c:pt>
                <c:pt idx="4">
                  <c:v>Sarah Johnson</c:v>
                </c:pt>
                <c:pt idx="5">
                  <c:v>Jane Smith</c:v>
                </c:pt>
                <c:pt idx="6">
                  <c:v>John Doe</c:v>
                </c:pt>
                <c:pt idx="7">
                  <c:v>Alice White</c:v>
                </c:pt>
                <c:pt idx="8">
                  <c:v>David Lee</c:v>
                </c:pt>
                <c:pt idx="9">
                  <c:v>Robert Black</c:v>
                </c:pt>
              </c:strCache>
            </c:strRef>
          </c:cat>
          <c:val>
            <c:numRef>
              <c:f>' Agent Performance'!$B$4:$B$14</c:f>
              <c:numCache>
                <c:formatCode>\$#,##0.00,," M"</c:formatCode>
                <c:ptCount val="10"/>
                <c:pt idx="0">
                  <c:v>134384966593</c:v>
                </c:pt>
                <c:pt idx="1">
                  <c:v>136345862376</c:v>
                </c:pt>
                <c:pt idx="2">
                  <c:v>138933201106</c:v>
                </c:pt>
                <c:pt idx="3">
                  <c:v>145899480919</c:v>
                </c:pt>
                <c:pt idx="4">
                  <c:v>149214952583</c:v>
                </c:pt>
                <c:pt idx="5">
                  <c:v>152631677016</c:v>
                </c:pt>
                <c:pt idx="6">
                  <c:v>157202865799</c:v>
                </c:pt>
                <c:pt idx="7">
                  <c:v>161806402229</c:v>
                </c:pt>
                <c:pt idx="8">
                  <c:v>169388489179</c:v>
                </c:pt>
                <c:pt idx="9">
                  <c:v>178530313813</c:v>
                </c:pt>
              </c:numCache>
            </c:numRef>
          </c:val>
          <c:extLst>
            <c:ext xmlns:c16="http://schemas.microsoft.com/office/drawing/2014/chart" uri="{C3380CC4-5D6E-409C-BE32-E72D297353CC}">
              <c16:uniqueId val="{00000000-3674-4F49-9FE0-EBFDFFA200CE}"/>
            </c:ext>
          </c:extLst>
        </c:ser>
        <c:dLbls>
          <c:showLegendKey val="0"/>
          <c:showVal val="0"/>
          <c:showCatName val="0"/>
          <c:showSerName val="0"/>
          <c:showPercent val="0"/>
          <c:showBubbleSize val="0"/>
        </c:dLbls>
        <c:gapWidth val="182"/>
        <c:axId val="1900689487"/>
        <c:axId val="1900674607"/>
      </c:barChart>
      <c:catAx>
        <c:axId val="190068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0674607"/>
        <c:crosses val="autoZero"/>
        <c:auto val="1"/>
        <c:lblAlgn val="ctr"/>
        <c:lblOffset val="100"/>
        <c:noMultiLvlLbl val="0"/>
      </c:catAx>
      <c:valAx>
        <c:axId val="1900674607"/>
        <c:scaling>
          <c:orientation val="minMax"/>
        </c:scaling>
        <c:delete val="0"/>
        <c:axPos val="b"/>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068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estate.xlsx]Revenue by City!PivotTable1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City'!$B$3</c:f>
              <c:strCache>
                <c:ptCount val="1"/>
                <c:pt idx="0">
                  <c:v>Total</c:v>
                </c:pt>
              </c:strCache>
            </c:strRef>
          </c:tx>
          <c:spPr>
            <a:solidFill>
              <a:schemeClr val="accent1"/>
            </a:solidFill>
            <a:ln>
              <a:noFill/>
            </a:ln>
            <a:effectLst/>
          </c:spPr>
          <c:invertIfNegative val="0"/>
          <c:cat>
            <c:strRef>
              <c:f>'Revenue by City'!$A$4:$A$9</c:f>
              <c:strCache>
                <c:ptCount val="5"/>
                <c:pt idx="0">
                  <c:v>Austin</c:v>
                </c:pt>
                <c:pt idx="1">
                  <c:v>Dallas</c:v>
                </c:pt>
                <c:pt idx="2">
                  <c:v>Fort Worth</c:v>
                </c:pt>
                <c:pt idx="3">
                  <c:v>Houston</c:v>
                </c:pt>
                <c:pt idx="4">
                  <c:v>San Antonio</c:v>
                </c:pt>
              </c:strCache>
            </c:strRef>
          </c:cat>
          <c:val>
            <c:numRef>
              <c:f>'Revenue by City'!$B$4:$B$9</c:f>
              <c:numCache>
                <c:formatCode>\$#,##0.00,," M"</c:formatCode>
                <c:ptCount val="5"/>
                <c:pt idx="0">
                  <c:v>289504940882</c:v>
                </c:pt>
                <c:pt idx="1">
                  <c:v>311325204041</c:v>
                </c:pt>
                <c:pt idx="2">
                  <c:v>275649322723</c:v>
                </c:pt>
                <c:pt idx="3">
                  <c:v>346998690261</c:v>
                </c:pt>
                <c:pt idx="4">
                  <c:v>300860053706</c:v>
                </c:pt>
              </c:numCache>
            </c:numRef>
          </c:val>
          <c:extLst>
            <c:ext xmlns:c16="http://schemas.microsoft.com/office/drawing/2014/chart" uri="{C3380CC4-5D6E-409C-BE32-E72D297353CC}">
              <c16:uniqueId val="{00000000-F586-4F8E-9E47-7D42F55158C1}"/>
            </c:ext>
          </c:extLst>
        </c:ser>
        <c:dLbls>
          <c:showLegendKey val="0"/>
          <c:showVal val="0"/>
          <c:showCatName val="0"/>
          <c:showSerName val="0"/>
          <c:showPercent val="0"/>
          <c:showBubbleSize val="0"/>
        </c:dLbls>
        <c:gapWidth val="219"/>
        <c:overlap val="-27"/>
        <c:axId val="1370653904"/>
        <c:axId val="1370670704"/>
      </c:barChart>
      <c:catAx>
        <c:axId val="137065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0670704"/>
        <c:crosses val="autoZero"/>
        <c:auto val="1"/>
        <c:lblAlgn val="ctr"/>
        <c:lblOffset val="100"/>
        <c:noMultiLvlLbl val="0"/>
      </c:catAx>
      <c:valAx>
        <c:axId val="1370670704"/>
        <c:scaling>
          <c:orientation val="minMax"/>
        </c:scaling>
        <c:delete val="0"/>
        <c:axPos val="l"/>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065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[Real estate.xlsx]Revenue by Property Type!PivotTable2</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Property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pivotFmt>
      <c:pivotFmt>
        <c:idx val="4"/>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pivotFmt>
      <c:pivotFmt>
        <c:idx val="5"/>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8"/>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s>
    <c:plotArea>
      <c:layout/>
      <c:pieChart>
        <c:varyColors val="1"/>
        <c:ser>
          <c:idx val="0"/>
          <c:order val="0"/>
          <c:tx>
            <c:strRef>
              <c:f>'Revenue by Property Type'!$B$3</c:f>
              <c:strCache>
                <c:ptCount val="1"/>
                <c:pt idx="0">
                  <c:v>Total</c:v>
                </c:pt>
              </c:strCache>
            </c:strRef>
          </c:tx>
          <c:dPt>
            <c:idx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1FDF-4EA0-B6CE-90232944AE60}"/>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1FDF-4EA0-B6CE-90232944AE60}"/>
              </c:ext>
            </c:extLst>
          </c:dPt>
          <c:dPt>
            <c:idx val="2"/>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5-1FDF-4EA0-B6CE-90232944AE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Property Type'!$A$4:$A$7</c:f>
              <c:strCache>
                <c:ptCount val="3"/>
                <c:pt idx="0">
                  <c:v>Apartment</c:v>
                </c:pt>
                <c:pt idx="1">
                  <c:v>Commercial</c:v>
                </c:pt>
                <c:pt idx="2">
                  <c:v>House</c:v>
                </c:pt>
              </c:strCache>
            </c:strRef>
          </c:cat>
          <c:val>
            <c:numRef>
              <c:f>'Revenue by Property Type'!$B$4:$B$7</c:f>
              <c:numCache>
                <c:formatCode>\$#,##0.00,," M"</c:formatCode>
                <c:ptCount val="3"/>
                <c:pt idx="0">
                  <c:v>514879966347</c:v>
                </c:pt>
                <c:pt idx="1">
                  <c:v>490742855680</c:v>
                </c:pt>
                <c:pt idx="2">
                  <c:v>518715389586</c:v>
                </c:pt>
              </c:numCache>
            </c:numRef>
          </c:val>
          <c:extLst>
            <c:ext xmlns:c16="http://schemas.microsoft.com/office/drawing/2014/chart" uri="{C3380CC4-5D6E-409C-BE32-E72D297353CC}">
              <c16:uniqueId val="{00000006-1FDF-4EA0-B6CE-90232944AE6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704453</xdr:colOff>
      <xdr:row>0</xdr:row>
      <xdr:rowOff>33626</xdr:rowOff>
    </xdr:from>
    <xdr:to>
      <xdr:col>18</xdr:col>
      <xdr:colOff>238125</xdr:colOff>
      <xdr:row>31</xdr:row>
      <xdr:rowOff>19843</xdr:rowOff>
    </xdr:to>
    <xdr:sp macro="" textlink="">
      <xdr:nvSpPr>
        <xdr:cNvPr id="2" name="Rectangle 1">
          <a:extLst>
            <a:ext uri="{FF2B5EF4-FFF2-40B4-BE49-F238E27FC236}">
              <a16:creationId xmlns:a16="http://schemas.microsoft.com/office/drawing/2014/main" id="{6E12FB79-AB84-ACF2-953B-77460AD1125E}"/>
            </a:ext>
          </a:extLst>
        </xdr:cNvPr>
        <xdr:cNvSpPr/>
      </xdr:nvSpPr>
      <xdr:spPr>
        <a:xfrm>
          <a:off x="704453" y="33626"/>
          <a:ext cx="13285391" cy="6445358"/>
        </a:xfrm>
        <a:prstGeom prst="rect">
          <a:avLst/>
        </a:prstGeom>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53975">
          <a:solidFill>
            <a:schemeClr val="bg1"/>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1</xdr:col>
      <xdr:colOff>48468</xdr:colOff>
      <xdr:row>0</xdr:row>
      <xdr:rowOff>134896</xdr:rowOff>
    </xdr:from>
    <xdr:to>
      <xdr:col>2</xdr:col>
      <xdr:colOff>557018</xdr:colOff>
      <xdr:row>3</xdr:row>
      <xdr:rowOff>175461</xdr:rowOff>
    </xdr:to>
    <xdr:sp macro="" textlink="">
      <xdr:nvSpPr>
        <xdr:cNvPr id="3" name="TextBox 2">
          <a:extLst>
            <a:ext uri="{FF2B5EF4-FFF2-40B4-BE49-F238E27FC236}">
              <a16:creationId xmlns:a16="http://schemas.microsoft.com/office/drawing/2014/main" id="{ACD7E4FC-4C4D-87EE-E94E-5B6017BFC032}"/>
            </a:ext>
          </a:extLst>
        </xdr:cNvPr>
        <xdr:cNvSpPr txBox="1"/>
      </xdr:nvSpPr>
      <xdr:spPr>
        <a:xfrm>
          <a:off x="655617" y="134896"/>
          <a:ext cx="1115699" cy="592012"/>
        </a:xfrm>
        <a:prstGeom prst="rect">
          <a:avLst/>
        </a:prstGeom>
        <a:solidFill>
          <a:schemeClr val="accent5">
            <a:lumMod val="20000"/>
            <a:lumOff val="80000"/>
          </a:schemeClr>
        </a:solidFill>
        <a:ln w="9525" cap="rnd"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900">
              <a:solidFill>
                <a:schemeClr val="tx1"/>
              </a:solidFill>
              <a:latin typeface="Segoe UI Semibold" panose="020B0702040204020203" pitchFamily="34" charset="0"/>
              <a:ea typeface="+mn-ea"/>
              <a:cs typeface="Segoe UI Semibold" panose="020B0702040204020203" pitchFamily="34" charset="0"/>
            </a:rPr>
            <a:t> </a:t>
          </a:r>
          <a:r>
            <a:rPr lang="en-IN" sz="800">
              <a:solidFill>
                <a:schemeClr val="tx1"/>
              </a:solidFill>
              <a:latin typeface="Segoe UI Semibold" panose="020B0702040204020203" pitchFamily="34" charset="0"/>
              <a:ea typeface="+mn-ea"/>
              <a:cs typeface="Segoe UI Semibold" panose="020B0702040204020203" pitchFamily="34" charset="0"/>
            </a:rPr>
            <a:t>Total Property Sold</a:t>
          </a:r>
        </a:p>
        <a:p>
          <a:pPr marL="0" indent="0" algn="ctr"/>
          <a:r>
            <a:rPr lang="en-IN" sz="1600">
              <a:solidFill>
                <a:schemeClr val="tx1"/>
              </a:solidFill>
              <a:latin typeface="Segoe UI Semibold" panose="020B0702040204020203" pitchFamily="34" charset="0"/>
              <a:ea typeface="+mn-ea"/>
              <a:cs typeface="Segoe UI Semibold" panose="020B0702040204020203" pitchFamily="34" charset="0"/>
            </a:rPr>
            <a:t>759</a:t>
          </a:r>
        </a:p>
      </xdr:txBody>
    </xdr:sp>
    <xdr:clientData/>
  </xdr:twoCellAnchor>
  <xdr:twoCellAnchor>
    <xdr:from>
      <xdr:col>2</xdr:col>
      <xdr:colOff>577383</xdr:colOff>
      <xdr:row>0</xdr:row>
      <xdr:rowOff>134896</xdr:rowOff>
    </xdr:from>
    <xdr:to>
      <xdr:col>4</xdr:col>
      <xdr:colOff>425930</xdr:colOff>
      <xdr:row>3</xdr:row>
      <xdr:rowOff>167105</xdr:rowOff>
    </xdr:to>
    <xdr:sp macro="" textlink="">
      <xdr:nvSpPr>
        <xdr:cNvPr id="4" name="TextBox 3">
          <a:extLst>
            <a:ext uri="{FF2B5EF4-FFF2-40B4-BE49-F238E27FC236}">
              <a16:creationId xmlns:a16="http://schemas.microsoft.com/office/drawing/2014/main" id="{8C57D7D9-BBC2-49AE-840F-BFD605C92E85}"/>
            </a:ext>
          </a:extLst>
        </xdr:cNvPr>
        <xdr:cNvSpPr txBox="1"/>
      </xdr:nvSpPr>
      <xdr:spPr>
        <a:xfrm>
          <a:off x="1798267" y="134896"/>
          <a:ext cx="1069431" cy="579502"/>
        </a:xfrm>
        <a:prstGeom prst="rect">
          <a:avLst/>
        </a:prstGeom>
        <a:solidFill>
          <a:schemeClr val="accent5">
            <a:lumMod val="20000"/>
            <a:lumOff val="80000"/>
          </a:schemeClr>
        </a:solidFill>
        <a:ln w="9525" cap="rnd"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900">
              <a:solidFill>
                <a:schemeClr val="tx1"/>
              </a:solidFill>
              <a:latin typeface="Segoe UI Semibold" panose="020B0702040204020203" pitchFamily="34" charset="0"/>
              <a:ea typeface="+mn-ea"/>
              <a:cs typeface="Segoe UI Semibold" panose="020B0702040204020203" pitchFamily="34" charset="0"/>
            </a:rPr>
            <a:t> </a:t>
          </a:r>
          <a:r>
            <a:rPr lang="en-IN" sz="800">
              <a:solidFill>
                <a:schemeClr val="tx1"/>
              </a:solidFill>
              <a:latin typeface="Segoe UI Semibold" panose="020B0702040204020203" pitchFamily="34" charset="0"/>
              <a:ea typeface="+mn-ea"/>
              <a:cs typeface="Segoe UI Semibold" panose="020B0702040204020203" pitchFamily="34" charset="0"/>
            </a:rPr>
            <a:t>Total Properties</a:t>
          </a:r>
        </a:p>
        <a:p>
          <a:pPr marL="0" indent="0" algn="ctr"/>
          <a:r>
            <a:rPr lang="en-IN" sz="1600">
              <a:solidFill>
                <a:schemeClr val="tx1"/>
              </a:solidFill>
              <a:latin typeface="Segoe UI Semibold" panose="020B0702040204020203" pitchFamily="34" charset="0"/>
              <a:ea typeface="+mn-ea"/>
              <a:cs typeface="Segoe UI Semibold" panose="020B0702040204020203" pitchFamily="34" charset="0"/>
            </a:rPr>
            <a:t>1500</a:t>
          </a:r>
          <a:r>
            <a:rPr lang="en-IN" sz="900">
              <a:solidFill>
                <a:schemeClr val="tx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4</xdr:col>
      <xdr:colOff>453863</xdr:colOff>
      <xdr:row>0</xdr:row>
      <xdr:rowOff>133684</xdr:rowOff>
    </xdr:from>
    <xdr:to>
      <xdr:col>6</xdr:col>
      <xdr:colOff>557993</xdr:colOff>
      <xdr:row>3</xdr:row>
      <xdr:rowOff>167009</xdr:rowOff>
    </xdr:to>
    <xdr:sp macro="" textlink="">
      <xdr:nvSpPr>
        <xdr:cNvPr id="5" name="TextBox 4">
          <a:extLst>
            <a:ext uri="{FF2B5EF4-FFF2-40B4-BE49-F238E27FC236}">
              <a16:creationId xmlns:a16="http://schemas.microsoft.com/office/drawing/2014/main" id="{C5802D9B-88CA-4C2C-8411-E5ED07F01255}"/>
            </a:ext>
          </a:extLst>
        </xdr:cNvPr>
        <xdr:cNvSpPr txBox="1"/>
      </xdr:nvSpPr>
      <xdr:spPr>
        <a:xfrm>
          <a:off x="2895631" y="133684"/>
          <a:ext cx="1325014" cy="580618"/>
        </a:xfrm>
        <a:prstGeom prst="rect">
          <a:avLst/>
        </a:prstGeom>
        <a:solidFill>
          <a:schemeClr val="accent5">
            <a:lumMod val="20000"/>
            <a:lumOff val="80000"/>
          </a:schemeClr>
        </a:solidFill>
        <a:ln w="9525" cap="rnd"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900">
              <a:solidFill>
                <a:schemeClr val="tx1"/>
              </a:solidFill>
              <a:latin typeface="Segoe UI Semibold" panose="020B0702040204020203" pitchFamily="34" charset="0"/>
              <a:ea typeface="+mn-ea"/>
              <a:cs typeface="Segoe UI Semibold" panose="020B0702040204020203" pitchFamily="34" charset="0"/>
            </a:rPr>
            <a:t> </a:t>
          </a:r>
          <a:r>
            <a:rPr lang="en-IN" sz="800">
              <a:solidFill>
                <a:schemeClr val="tx1"/>
              </a:solidFill>
              <a:latin typeface="Segoe UI Semibold" panose="020B0702040204020203" pitchFamily="34" charset="0"/>
              <a:ea typeface="+mn-ea"/>
              <a:cs typeface="Segoe UI Semibold" panose="020B0702040204020203" pitchFamily="34" charset="0"/>
            </a:rPr>
            <a:t>Total Unsold Properties</a:t>
          </a:r>
        </a:p>
        <a:p>
          <a:pPr marL="0" indent="0" algn="ctr"/>
          <a:r>
            <a:rPr lang="en-IN" sz="1600">
              <a:solidFill>
                <a:schemeClr val="tx1"/>
              </a:solidFill>
              <a:latin typeface="Segoe UI Semibold" panose="020B0702040204020203" pitchFamily="34" charset="0"/>
              <a:ea typeface="+mn-ea"/>
              <a:cs typeface="Segoe UI Semibold" panose="020B0702040204020203" pitchFamily="34" charset="0"/>
            </a:rPr>
            <a:t>741</a:t>
          </a:r>
          <a:endParaRPr lang="en-IN" sz="900">
            <a:solidFill>
              <a:schemeClr val="tx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579298</xdr:colOff>
      <xdr:row>0</xdr:row>
      <xdr:rowOff>137380</xdr:rowOff>
    </xdr:from>
    <xdr:to>
      <xdr:col>8</xdr:col>
      <xdr:colOff>419022</xdr:colOff>
      <xdr:row>3</xdr:row>
      <xdr:rowOff>167009</xdr:rowOff>
    </xdr:to>
    <xdr:sp macro="" textlink="">
      <xdr:nvSpPr>
        <xdr:cNvPr id="6" name="TextBox 5">
          <a:extLst>
            <a:ext uri="{FF2B5EF4-FFF2-40B4-BE49-F238E27FC236}">
              <a16:creationId xmlns:a16="http://schemas.microsoft.com/office/drawing/2014/main" id="{164D5B01-73C8-4D36-94C0-11610B0CB736}"/>
            </a:ext>
          </a:extLst>
        </xdr:cNvPr>
        <xdr:cNvSpPr txBox="1"/>
      </xdr:nvSpPr>
      <xdr:spPr>
        <a:xfrm>
          <a:off x="4242760" y="137380"/>
          <a:ext cx="1060877" cy="579148"/>
        </a:xfrm>
        <a:prstGeom prst="rect">
          <a:avLst/>
        </a:prstGeom>
        <a:solidFill>
          <a:schemeClr val="accent5">
            <a:lumMod val="20000"/>
            <a:lumOff val="80000"/>
          </a:schemeClr>
        </a:solidFill>
        <a:ln w="9525" cap="rnd"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900">
              <a:solidFill>
                <a:schemeClr val="tx1"/>
              </a:solidFill>
              <a:latin typeface="Segoe UI Semibold" panose="020B0702040204020203" pitchFamily="34" charset="0"/>
              <a:ea typeface="+mn-ea"/>
              <a:cs typeface="Segoe UI Semibold" panose="020B0702040204020203" pitchFamily="34" charset="0"/>
            </a:rPr>
            <a:t> </a:t>
          </a:r>
          <a:r>
            <a:rPr lang="en-IN" sz="800">
              <a:solidFill>
                <a:schemeClr val="tx1"/>
              </a:solidFill>
              <a:latin typeface="Segoe UI Semibold" panose="020B0702040204020203" pitchFamily="34" charset="0"/>
              <a:ea typeface="+mn-ea"/>
              <a:cs typeface="Segoe UI Semibold" panose="020B0702040204020203" pitchFamily="34" charset="0"/>
            </a:rPr>
            <a:t>Conversion Rate</a:t>
          </a:r>
        </a:p>
        <a:p>
          <a:pPr marL="0" indent="0" algn="ctr"/>
          <a:r>
            <a:rPr lang="en-IN" sz="1600">
              <a:solidFill>
                <a:schemeClr val="tx1"/>
              </a:solidFill>
              <a:latin typeface="Segoe UI Semibold" panose="020B0702040204020203" pitchFamily="34" charset="0"/>
              <a:ea typeface="+mn-ea"/>
              <a:cs typeface="Segoe UI Semibold" panose="020B0702040204020203" pitchFamily="34" charset="0"/>
            </a:rPr>
            <a:t>0.506</a:t>
          </a:r>
          <a:r>
            <a:rPr lang="en-IN" sz="900">
              <a:solidFill>
                <a:schemeClr val="tx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6</xdr:col>
      <xdr:colOff>233269</xdr:colOff>
      <xdr:row>17</xdr:row>
      <xdr:rowOff>167808</xdr:rowOff>
    </xdr:from>
    <xdr:to>
      <xdr:col>11</xdr:col>
      <xdr:colOff>465719</xdr:colOff>
      <xdr:row>30</xdr:row>
      <xdr:rowOff>125113</xdr:rowOff>
    </xdr:to>
    <xdr:graphicFrame macro="">
      <xdr:nvGraphicFramePr>
        <xdr:cNvPr id="7" name="Chart 6">
          <a:extLst>
            <a:ext uri="{FF2B5EF4-FFF2-40B4-BE49-F238E27FC236}">
              <a16:creationId xmlns:a16="http://schemas.microsoft.com/office/drawing/2014/main" id="{95F1D99C-8B4D-4735-881B-2DBDFBA26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66842</xdr:colOff>
      <xdr:row>7</xdr:row>
      <xdr:rowOff>178037</xdr:rowOff>
    </xdr:from>
    <xdr:to>
      <xdr:col>8</xdr:col>
      <xdr:colOff>204384</xdr:colOff>
      <xdr:row>17</xdr:row>
      <xdr:rowOff>98618</xdr:rowOff>
    </xdr:to>
    <xdr:graphicFrame macro="">
      <xdr:nvGraphicFramePr>
        <xdr:cNvPr id="8" name="Chart 7">
          <a:extLst>
            <a:ext uri="{FF2B5EF4-FFF2-40B4-BE49-F238E27FC236}">
              <a16:creationId xmlns:a16="http://schemas.microsoft.com/office/drawing/2014/main" id="{3DAAE523-510B-4578-B8A3-DEB804036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54458</xdr:colOff>
      <xdr:row>17</xdr:row>
      <xdr:rowOff>171896</xdr:rowOff>
    </xdr:from>
    <xdr:to>
      <xdr:col>6</xdr:col>
      <xdr:colOff>158914</xdr:colOff>
      <xdr:row>30</xdr:row>
      <xdr:rowOff>132681</xdr:rowOff>
    </xdr:to>
    <xdr:graphicFrame macro="">
      <xdr:nvGraphicFramePr>
        <xdr:cNvPr id="10" name="Chart 9">
          <a:extLst>
            <a:ext uri="{FF2B5EF4-FFF2-40B4-BE49-F238E27FC236}">
              <a16:creationId xmlns:a16="http://schemas.microsoft.com/office/drawing/2014/main" id="{675408AF-B7F5-434A-81E1-CA65689A1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264329</xdr:colOff>
      <xdr:row>7</xdr:row>
      <xdr:rowOff>184324</xdr:rowOff>
    </xdr:from>
    <xdr:to>
      <xdr:col>18</xdr:col>
      <xdr:colOff>116439</xdr:colOff>
      <xdr:row>17</xdr:row>
      <xdr:rowOff>104661</xdr:rowOff>
    </xdr:to>
    <xdr:graphicFrame macro="">
      <xdr:nvGraphicFramePr>
        <xdr:cNvPr id="11" name="Chart 10">
          <a:extLst>
            <a:ext uri="{FF2B5EF4-FFF2-40B4-BE49-F238E27FC236}">
              <a16:creationId xmlns:a16="http://schemas.microsoft.com/office/drawing/2014/main" id="{69C67531-8F67-4BA8-BCD3-46CAB7D8F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536004</xdr:colOff>
      <xdr:row>17</xdr:row>
      <xdr:rowOff>167957</xdr:rowOff>
    </xdr:from>
    <xdr:to>
      <xdr:col>18</xdr:col>
      <xdr:colOff>125428</xdr:colOff>
      <xdr:row>30</xdr:row>
      <xdr:rowOff>128296</xdr:rowOff>
    </xdr:to>
    <xdr:graphicFrame macro="">
      <xdr:nvGraphicFramePr>
        <xdr:cNvPr id="12" name="Chart 11">
          <a:extLst>
            <a:ext uri="{FF2B5EF4-FFF2-40B4-BE49-F238E27FC236}">
              <a16:creationId xmlns:a16="http://schemas.microsoft.com/office/drawing/2014/main" id="{035B7149-4C38-4536-8362-A62FDD7D9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349794</xdr:colOff>
      <xdr:row>0</xdr:row>
      <xdr:rowOff>146991</xdr:rowOff>
    </xdr:from>
    <xdr:to>
      <xdr:col>18</xdr:col>
      <xdr:colOff>121849</xdr:colOff>
      <xdr:row>7</xdr:row>
      <xdr:rowOff>89912</xdr:rowOff>
    </xdr:to>
    <mc:AlternateContent xmlns:mc="http://schemas.openxmlformats.org/markup-compatibility/2006">
      <mc:Choice xmlns:a14="http://schemas.microsoft.com/office/drawing/2010/main" Requires="a14">
        <xdr:graphicFrame macro="">
          <xdr:nvGraphicFramePr>
            <xdr:cNvPr id="13" name="Location">
              <a:extLst>
                <a:ext uri="{FF2B5EF4-FFF2-40B4-BE49-F238E27FC236}">
                  <a16:creationId xmlns:a16="http://schemas.microsoft.com/office/drawing/2014/main" id="{EA346CD8-32AF-4325-8200-28A628979B1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868399" y="146991"/>
              <a:ext cx="2075776" cy="1390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468442</xdr:colOff>
      <xdr:row>0</xdr:row>
      <xdr:rowOff>152870</xdr:rowOff>
    </xdr:from>
    <xdr:to>
      <xdr:col>11</xdr:col>
      <xdr:colOff>109904</xdr:colOff>
      <xdr:row>7</xdr:row>
      <xdr:rowOff>89912</xdr:rowOff>
    </xdr:to>
    <mc:AlternateContent xmlns:mc="http://schemas.openxmlformats.org/markup-compatibility/2006">
      <mc:Choice xmlns:a14="http://schemas.microsoft.com/office/drawing/2010/main" Requires="a14">
        <xdr:graphicFrame macro="">
          <xdr:nvGraphicFramePr>
            <xdr:cNvPr id="14" name="Building Type">
              <a:extLst>
                <a:ext uri="{FF2B5EF4-FFF2-40B4-BE49-F238E27FC236}">
                  <a16:creationId xmlns:a16="http://schemas.microsoft.com/office/drawing/2014/main" id="{5F220CF2-C6B6-4B5D-8386-2237810943E1}"/>
                </a:ext>
              </a:extLst>
            </xdr:cNvPr>
            <xdr:cNvGraphicFramePr/>
          </xdr:nvGraphicFramePr>
          <xdr:xfrm>
            <a:off x="0" y="0"/>
            <a:ext cx="0" cy="0"/>
          </xdr:xfrm>
          <a:graphic>
            <a:graphicData uri="http://schemas.microsoft.com/office/drawing/2010/slicer">
              <sle:slicer xmlns:sle="http://schemas.microsoft.com/office/drawing/2010/slicer" name="Building Type"/>
            </a:graphicData>
          </a:graphic>
        </xdr:graphicFrame>
      </mc:Choice>
      <mc:Fallback>
        <xdr:sp macro="" textlink="">
          <xdr:nvSpPr>
            <xdr:cNvPr id="0" name=""/>
            <xdr:cNvSpPr>
              <a:spLocks noTextEdit="1"/>
            </xdr:cNvSpPr>
          </xdr:nvSpPr>
          <xdr:spPr>
            <a:xfrm>
              <a:off x="6611698" y="152870"/>
              <a:ext cx="1945183" cy="1384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237911</xdr:colOff>
      <xdr:row>0</xdr:row>
      <xdr:rowOff>152870</xdr:rowOff>
    </xdr:from>
    <xdr:to>
      <xdr:col>15</xdr:col>
      <xdr:colOff>233947</xdr:colOff>
      <xdr:row>7</xdr:row>
      <xdr:rowOff>84293</xdr:rowOff>
    </xdr:to>
    <mc:AlternateContent xmlns:mc="http://schemas.openxmlformats.org/markup-compatibility/2006">
      <mc:Choice xmlns:a14="http://schemas.microsoft.com/office/drawing/2010/main" Requires="a14">
        <xdr:graphicFrame macro="">
          <xdr:nvGraphicFramePr>
            <xdr:cNvPr id="15" name="Agent Name">
              <a:extLst>
                <a:ext uri="{FF2B5EF4-FFF2-40B4-BE49-F238E27FC236}">
                  <a16:creationId xmlns:a16="http://schemas.microsoft.com/office/drawing/2014/main" id="{2D1D6E5F-28AC-4D3E-8323-674E28D5D3E2}"/>
                </a:ext>
              </a:extLst>
            </xdr:cNvPr>
            <xdr:cNvGraphicFramePr/>
          </xdr:nvGraphicFramePr>
          <xdr:xfrm>
            <a:off x="0" y="0"/>
            <a:ext cx="0" cy="0"/>
          </xdr:xfrm>
          <a:graphic>
            <a:graphicData uri="http://schemas.microsoft.com/office/drawing/2010/slicer">
              <sle:slicer xmlns:sle="http://schemas.microsoft.com/office/drawing/2010/slicer" name="Agent Name"/>
            </a:graphicData>
          </a:graphic>
        </xdr:graphicFrame>
      </mc:Choice>
      <mc:Fallback>
        <xdr:sp macro="" textlink="">
          <xdr:nvSpPr>
            <xdr:cNvPr id="0" name=""/>
            <xdr:cNvSpPr>
              <a:spLocks noTextEdit="1"/>
            </xdr:cNvSpPr>
          </xdr:nvSpPr>
          <xdr:spPr>
            <a:xfrm>
              <a:off x="8684888" y="152870"/>
              <a:ext cx="3067664" cy="1378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50131</xdr:colOff>
      <xdr:row>4</xdr:row>
      <xdr:rowOff>37910</xdr:rowOff>
    </xdr:from>
    <xdr:to>
      <xdr:col>8</xdr:col>
      <xdr:colOff>388582</xdr:colOff>
      <xdr:row>7</xdr:row>
      <xdr:rowOff>104254</xdr:rowOff>
    </xdr:to>
    <xdr:sp macro="" textlink="">
      <xdr:nvSpPr>
        <xdr:cNvPr id="16" name="TextBox 15">
          <a:extLst>
            <a:ext uri="{FF2B5EF4-FFF2-40B4-BE49-F238E27FC236}">
              <a16:creationId xmlns:a16="http://schemas.microsoft.com/office/drawing/2014/main" id="{0821BE6F-AB6C-7AB2-29FC-9CDDCBE4A0F0}"/>
            </a:ext>
          </a:extLst>
        </xdr:cNvPr>
        <xdr:cNvSpPr txBox="1"/>
      </xdr:nvSpPr>
      <xdr:spPr>
        <a:xfrm>
          <a:off x="657280" y="773173"/>
          <a:ext cx="4588495" cy="617792"/>
        </a:xfrm>
        <a:prstGeom prst="rect">
          <a:avLst/>
        </a:prstGeom>
        <a:solidFill>
          <a:schemeClr val="accent5">
            <a:lumMod val="20000"/>
            <a:lumOff val="80000"/>
          </a:schemeClr>
        </a:solidFill>
        <a:ln w="9525"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Segoe UI Semibold" panose="020B0702040204020203" pitchFamily="34" charset="0"/>
              <a:cs typeface="Segoe UI Semibold" panose="020B0702040204020203" pitchFamily="34" charset="0"/>
            </a:rPr>
            <a:t>Real-estate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19049</xdr:colOff>
      <xdr:row>2</xdr:row>
      <xdr:rowOff>69850</xdr:rowOff>
    </xdr:from>
    <xdr:to>
      <xdr:col>13</xdr:col>
      <xdr:colOff>379235</xdr:colOff>
      <xdr:row>17</xdr:row>
      <xdr:rowOff>50800</xdr:rowOff>
    </xdr:to>
    <xdr:graphicFrame macro="">
      <xdr:nvGraphicFramePr>
        <xdr:cNvPr id="2" name="Chart 1">
          <a:extLst>
            <a:ext uri="{FF2B5EF4-FFF2-40B4-BE49-F238E27FC236}">
              <a16:creationId xmlns:a16="http://schemas.microsoft.com/office/drawing/2014/main" id="{5F67622E-115F-6C75-F47C-B449E0AAF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101600</xdr:rowOff>
    </xdr:from>
    <xdr:to>
      <xdr:col>10</xdr:col>
      <xdr:colOff>304800</xdr:colOff>
      <xdr:row>17</xdr:row>
      <xdr:rowOff>82550</xdr:rowOff>
    </xdr:to>
    <xdr:graphicFrame macro="">
      <xdr:nvGraphicFramePr>
        <xdr:cNvPr id="2" name="Chart 1">
          <a:extLst>
            <a:ext uri="{FF2B5EF4-FFF2-40B4-BE49-F238E27FC236}">
              <a16:creationId xmlns:a16="http://schemas.microsoft.com/office/drawing/2014/main" id="{76631732-2A75-3E0D-7887-5443377A4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xdr:colOff>
      <xdr:row>1</xdr:row>
      <xdr:rowOff>107950</xdr:rowOff>
    </xdr:from>
    <xdr:to>
      <xdr:col>10</xdr:col>
      <xdr:colOff>381000</xdr:colOff>
      <xdr:row>16</xdr:row>
      <xdr:rowOff>88900</xdr:rowOff>
    </xdr:to>
    <xdr:graphicFrame macro="">
      <xdr:nvGraphicFramePr>
        <xdr:cNvPr id="2" name="Chart 1">
          <a:extLst>
            <a:ext uri="{FF2B5EF4-FFF2-40B4-BE49-F238E27FC236}">
              <a16:creationId xmlns:a16="http://schemas.microsoft.com/office/drawing/2014/main" id="{5E5121AA-6ABA-347C-3CA1-DF8D23909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236279</xdr:colOff>
      <xdr:row>1</xdr:row>
      <xdr:rowOff>147675</xdr:rowOff>
    </xdr:from>
    <xdr:to>
      <xdr:col>10</xdr:col>
      <xdr:colOff>541079</xdr:colOff>
      <xdr:row>16</xdr:row>
      <xdr:rowOff>135565</xdr:rowOff>
    </xdr:to>
    <xdr:graphicFrame macro="">
      <xdr:nvGraphicFramePr>
        <xdr:cNvPr id="3" name="Chart 2">
          <a:extLst>
            <a:ext uri="{FF2B5EF4-FFF2-40B4-BE49-F238E27FC236}">
              <a16:creationId xmlns:a16="http://schemas.microsoft.com/office/drawing/2014/main" id="{DBD3E301-7843-4A12-A3DB-5542EF9DD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6.561085763889" createdVersion="8" refreshedVersion="8" minRefreshableVersion="3" recordCount="1500" xr:uid="{6C32FBBA-A429-42DD-AD83-EA48837DE65B}">
  <cacheSource type="worksheet">
    <worksheetSource name="Sheet1"/>
  </cacheSource>
  <cacheFields count="23">
    <cacheField name="Property ID" numFmtId="0">
      <sharedItems containsSemiMixedTypes="0" containsString="0" containsNumber="1" containsInteger="1" minValue="1001" maxValue="2500"/>
    </cacheField>
    <cacheField name="Property Name" numFmtId="0">
      <sharedItems/>
    </cacheField>
    <cacheField name="Location" numFmtId="0">
      <sharedItems count="5">
        <s v="Houston"/>
        <s v="Austin"/>
        <s v="Dallas"/>
        <s v="San Antonio"/>
        <s v="Fort Worth"/>
      </sharedItems>
    </cacheField>
    <cacheField name="Type" numFmtId="0">
      <sharedItems count="3">
        <s v="House"/>
        <s v="Apartment"/>
        <s v="Commercial"/>
      </sharedItems>
    </cacheField>
    <cacheField name="Price" numFmtId="0">
      <sharedItems containsSemiMixedTypes="0" containsString="0" containsNumber="1" containsInteger="1" minValue="300748" maxValue="999373"/>
    </cacheField>
    <cacheField name="Date Listed" numFmtId="14">
      <sharedItems containsSemiMixedTypes="0" containsNonDate="0" containsDate="1" containsString="0" minDate="2023-12-18T00:00:00" maxDate="2024-12-17T00:00:00"/>
    </cacheField>
    <cacheField name="Date Sold" numFmtId="14">
      <sharedItems containsNonDate="0" containsDate="1" containsString="0" containsBlank="1" minDate="2023-12-18T00:00:00" maxDate="2024-12-17T00:00:00" count="318">
        <d v="2024-06-07T00:00:00"/>
        <m/>
        <d v="2024-02-05T00:00:00"/>
        <d v="2024-06-27T00:00:00"/>
        <d v="2024-05-17T00:00:00"/>
        <d v="2024-02-28T00:00:00"/>
        <d v="2024-09-12T00:00:00"/>
        <d v="2024-06-05T00:00:00"/>
        <d v="2024-07-02T00:00:00"/>
        <d v="2024-10-04T00:00:00"/>
        <d v="2024-05-29T00:00:00"/>
        <d v="2024-07-17T00:00:00"/>
        <d v="2024-04-25T00:00:00"/>
        <d v="2024-08-19T00:00:00"/>
        <d v="2024-01-02T00:00:00"/>
        <d v="2024-06-13T00:00:00"/>
        <d v="2024-04-29T00:00:00"/>
        <d v="2024-05-01T00:00:00"/>
        <d v="2024-03-09T00:00:00"/>
        <d v="2024-05-12T00:00:00"/>
        <d v="2024-03-22T00:00:00"/>
        <d v="2024-05-21T00:00:00"/>
        <d v="2024-12-01T00:00:00"/>
        <d v="2024-02-04T00:00:00"/>
        <d v="2024-09-01T00:00:00"/>
        <d v="2024-03-05T00:00:00"/>
        <d v="2024-08-27T00:00:00"/>
        <d v="2024-11-21T00:00:00"/>
        <d v="2024-08-15T00:00:00"/>
        <d v="2024-12-08T00:00:00"/>
        <d v="2024-05-23T00:00:00"/>
        <d v="2024-07-22T00:00:00"/>
        <d v="2024-06-23T00:00:00"/>
        <d v="2024-11-05T00:00:00"/>
        <d v="2024-07-30T00:00:00"/>
        <d v="2024-01-11T00:00:00"/>
        <d v="2024-01-10T00:00:00"/>
        <d v="2024-09-04T00:00:00"/>
        <d v="2024-08-17T00:00:00"/>
        <d v="2024-12-10T00:00:00"/>
        <d v="2024-05-05T00:00:00"/>
        <d v="2024-08-25T00:00:00"/>
        <d v="2024-03-19T00:00:00"/>
        <d v="2024-10-20T00:00:00"/>
        <d v="2024-04-12T00:00:00"/>
        <d v="2024-10-05T00:00:00"/>
        <d v="2024-06-12T00:00:00"/>
        <d v="2024-03-26T00:00:00"/>
        <d v="2024-04-13T00:00:00"/>
        <d v="2024-05-11T00:00:00"/>
        <d v="2024-01-26T00:00:00"/>
        <d v="2024-07-28T00:00:00"/>
        <d v="2024-12-04T00:00:00"/>
        <d v="2024-02-11T00:00:00"/>
        <d v="2024-06-24T00:00:00"/>
        <d v="2024-07-26T00:00:00"/>
        <d v="2024-03-16T00:00:00"/>
        <d v="2024-01-18T00:00:00"/>
        <d v="2024-05-19T00:00:00"/>
        <d v="2023-12-31T00:00:00"/>
        <d v="2024-12-16T00:00:00"/>
        <d v="2024-11-04T00:00:00"/>
        <d v="2024-11-03T00:00:00"/>
        <d v="2024-07-27T00:00:00"/>
        <d v="2024-01-09T00:00:00"/>
        <d v="2024-12-13T00:00:00"/>
        <d v="2024-05-14T00:00:00"/>
        <d v="2024-01-14T00:00:00"/>
        <d v="2024-03-06T00:00:00"/>
        <d v="2024-08-24T00:00:00"/>
        <d v="2024-03-18T00:00:00"/>
        <d v="2024-07-09T00:00:00"/>
        <d v="2024-08-29T00:00:00"/>
        <d v="2024-11-10T00:00:00"/>
        <d v="2024-06-15T00:00:00"/>
        <d v="2024-08-05T00:00:00"/>
        <d v="2024-10-29T00:00:00"/>
        <d v="2024-04-10T00:00:00"/>
        <d v="2023-12-29T00:00:00"/>
        <d v="2024-10-16T00:00:00"/>
        <d v="2024-02-20T00:00:00"/>
        <d v="2023-12-30T00:00:00"/>
        <d v="2024-11-02T00:00:00"/>
        <d v="2024-07-29T00:00:00"/>
        <d v="2024-06-21T00:00:00"/>
        <d v="2024-11-29T00:00:00"/>
        <d v="2024-08-04T00:00:00"/>
        <d v="2024-05-30T00:00:00"/>
        <d v="2024-01-08T00:00:00"/>
        <d v="2024-12-14T00:00:00"/>
        <d v="2023-12-27T00:00:00"/>
        <d v="2024-11-13T00:00:00"/>
        <d v="2024-05-08T00:00:00"/>
        <d v="2024-04-17T00:00:00"/>
        <d v="2024-01-01T00:00:00"/>
        <d v="2024-11-09T00:00:00"/>
        <d v="2024-02-22T00:00:00"/>
        <d v="2024-09-16T00:00:00"/>
        <d v="2024-07-13T00:00:00"/>
        <d v="2024-04-20T00:00:00"/>
        <d v="2024-11-26T00:00:00"/>
        <d v="2024-04-18T00:00:00"/>
        <d v="2024-04-09T00:00:00"/>
        <d v="2024-07-06T00:00:00"/>
        <d v="2024-11-12T00:00:00"/>
        <d v="2024-01-20T00:00:00"/>
        <d v="2024-08-07T00:00:00"/>
        <d v="2024-04-26T00:00:00"/>
        <d v="2024-06-17T00:00:00"/>
        <d v="2024-08-20T00:00:00"/>
        <d v="2024-10-22T00:00:00"/>
        <d v="2024-06-01T00:00:00"/>
        <d v="2024-08-01T00:00:00"/>
        <d v="2023-12-21T00:00:00"/>
        <d v="2024-03-08T00:00:00"/>
        <d v="2024-05-22T00:00:00"/>
        <d v="2024-08-22T00:00:00"/>
        <d v="2024-02-27T00:00:00"/>
        <d v="2024-11-14T00:00:00"/>
        <d v="2024-12-09T00:00:00"/>
        <d v="2024-10-13T00:00:00"/>
        <d v="2024-05-26T00:00:00"/>
        <d v="2024-08-31T00:00:00"/>
        <d v="2024-10-11T00:00:00"/>
        <d v="2024-07-04T00:00:00"/>
        <d v="2024-09-21T00:00:00"/>
        <d v="2024-02-24T00:00:00"/>
        <d v="2024-02-07T00:00:00"/>
        <d v="2024-11-23T00:00:00"/>
        <d v="2024-02-16T00:00:00"/>
        <d v="2024-04-21T00:00:00"/>
        <d v="2024-06-11T00:00:00"/>
        <d v="2024-04-08T00:00:00"/>
        <d v="2024-05-06T00:00:00"/>
        <d v="2024-06-26T00:00:00"/>
        <d v="2024-05-07T00:00:00"/>
        <d v="2024-01-28T00:00:00"/>
        <d v="2024-07-03T00:00:00"/>
        <d v="2024-02-06T00:00:00"/>
        <d v="2024-02-18T00:00:00"/>
        <d v="2024-11-27T00:00:00"/>
        <d v="2024-02-12T00:00:00"/>
        <d v="2024-02-09T00:00:00"/>
        <d v="2024-05-28T00:00:00"/>
        <d v="2024-03-23T00:00:00"/>
        <d v="2024-09-19T00:00:00"/>
        <d v="2024-08-16T00:00:00"/>
        <d v="2024-04-01T00:00:00"/>
        <d v="2024-05-04T00:00:00"/>
        <d v="2024-06-14T00:00:00"/>
        <d v="2024-02-02T00:00:00"/>
        <d v="2024-01-12T00:00:00"/>
        <d v="2024-10-21T00:00:00"/>
        <d v="2024-01-07T00:00:00"/>
        <d v="2024-08-30T00:00:00"/>
        <d v="2024-02-01T00:00:00"/>
        <d v="2024-08-26T00:00:00"/>
        <d v="2024-09-07T00:00:00"/>
        <d v="2024-06-06T00:00:00"/>
        <d v="2024-11-11T00:00:00"/>
        <d v="2024-06-04T00:00:00"/>
        <d v="2024-09-17T00:00:00"/>
        <d v="2024-05-09T00:00:00"/>
        <d v="2024-11-15T00:00:00"/>
        <d v="2024-12-06T00:00:00"/>
        <d v="2024-08-10T00:00:00"/>
        <d v="2024-08-09T00:00:00"/>
        <d v="2024-02-10T00:00:00"/>
        <d v="2024-08-08T00:00:00"/>
        <d v="2024-09-08T00:00:00"/>
        <d v="2024-12-07T00:00:00"/>
        <d v="2024-11-28T00:00:00"/>
        <d v="2024-05-25T00:00:00"/>
        <d v="2024-09-22T00:00:00"/>
        <d v="2024-09-06T00:00:00"/>
        <d v="2024-06-28T00:00:00"/>
        <d v="2024-12-12T00:00:00"/>
        <d v="2024-06-25T00:00:00"/>
        <d v="2024-11-01T00:00:00"/>
        <d v="2024-09-30T00:00:00"/>
        <d v="2024-02-23T00:00:00"/>
        <d v="2024-04-15T00:00:00"/>
        <d v="2024-01-23T00:00:00"/>
        <d v="2024-10-30T00:00:00"/>
        <d v="2024-09-05T00:00:00"/>
        <d v="2024-07-31T00:00:00"/>
        <d v="2024-08-02T00:00:00"/>
        <d v="2024-05-15T00:00:00"/>
        <d v="2024-05-20T00:00:00"/>
        <d v="2024-07-12T00:00:00"/>
        <d v="2024-01-17T00:00:00"/>
        <d v="2024-10-10T00:00:00"/>
        <d v="2024-02-25T00:00:00"/>
        <d v="2024-03-30T00:00:00"/>
        <d v="2024-04-06T00:00:00"/>
        <d v="2024-04-30T00:00:00"/>
        <d v="2024-07-20T00:00:00"/>
        <d v="2024-10-01T00:00:00"/>
        <d v="2024-07-21T00:00:00"/>
        <d v="2024-03-14T00:00:00"/>
        <d v="2024-08-03T00:00:00"/>
        <d v="2024-08-11T00:00:00"/>
        <d v="2024-07-16T00:00:00"/>
        <d v="2024-07-11T00:00:00"/>
        <d v="2024-07-10T00:00:00"/>
        <d v="2024-09-20T00:00:00"/>
        <d v="2024-10-14T00:00:00"/>
        <d v="2023-12-19T00:00:00"/>
        <d v="2024-10-31T00:00:00"/>
        <d v="2024-04-28T00:00:00"/>
        <d v="2024-03-25T00:00:00"/>
        <d v="2024-11-17T00:00:00"/>
        <d v="2024-07-23T00:00:00"/>
        <d v="2024-09-25T00:00:00"/>
        <d v="2024-02-13T00:00:00"/>
        <d v="2024-05-02T00:00:00"/>
        <d v="2024-01-21T00:00:00"/>
        <d v="2024-08-06T00:00:00"/>
        <d v="2024-09-10T00:00:00"/>
        <d v="2024-05-24T00:00:00"/>
        <d v="2024-09-03T00:00:00"/>
        <d v="2024-07-01T00:00:00"/>
        <d v="2024-04-14T00:00:00"/>
        <d v="2024-07-24T00:00:00"/>
        <d v="2024-01-15T00:00:00"/>
        <d v="2024-03-12T00:00:00"/>
        <d v="2024-03-27T00:00:00"/>
        <d v="2024-02-26T00:00:00"/>
        <d v="2024-09-09T00:00:00"/>
        <d v="2024-06-02T00:00:00"/>
        <d v="2024-01-06T00:00:00"/>
        <d v="2024-04-19T00:00:00"/>
        <d v="2024-05-27T00:00:00"/>
        <d v="2024-09-15T00:00:00"/>
        <d v="2024-08-13T00:00:00"/>
        <d v="2024-01-30T00:00:00"/>
        <d v="2024-10-24T00:00:00"/>
        <d v="2024-10-02T00:00:00"/>
        <d v="2024-02-17T00:00:00"/>
        <d v="2024-01-03T00:00:00"/>
        <d v="2024-11-06T00:00:00"/>
        <d v="2024-03-21T00:00:00"/>
        <d v="2024-03-11T00:00:00"/>
        <d v="2024-10-06T00:00:00"/>
        <d v="2024-10-19T00:00:00"/>
        <d v="2024-11-24T00:00:00"/>
        <d v="2024-09-13T00:00:00"/>
        <d v="2024-03-20T00:00:00"/>
        <d v="2024-11-16T00:00:00"/>
        <d v="2024-04-05T00:00:00"/>
        <d v="2024-02-03T00:00:00"/>
        <d v="2024-09-27T00:00:00"/>
        <d v="2024-02-29T00:00:00"/>
        <d v="2024-07-05T00:00:00"/>
        <d v="2024-06-30T00:00:00"/>
        <d v="2024-02-19T00:00:00"/>
        <d v="2024-05-13T00:00:00"/>
        <d v="2024-04-07T00:00:00"/>
        <d v="2024-11-20T00:00:00"/>
        <d v="2024-01-04T00:00:00"/>
        <d v="2024-04-04T00:00:00"/>
        <d v="2024-06-03T00:00:00"/>
        <d v="2023-12-18T00:00:00"/>
        <d v="2024-05-31T00:00:00"/>
        <d v="2024-03-24T00:00:00"/>
        <d v="2024-01-19T00:00:00"/>
        <d v="2024-03-10T00:00:00"/>
        <d v="2024-06-18T00:00:00"/>
        <d v="2024-09-29T00:00:00"/>
        <d v="2024-10-15T00:00:00"/>
        <d v="2024-04-11T00:00:00"/>
        <d v="2024-01-24T00:00:00"/>
        <d v="2024-07-14T00:00:00"/>
        <d v="2024-12-15T00:00:00"/>
        <d v="2024-07-18T00:00:00"/>
        <d v="2024-12-05T00:00:00"/>
        <d v="2024-06-08T00:00:00"/>
        <d v="2024-01-22T00:00:00"/>
        <d v="2024-03-29T00:00:00"/>
        <d v="2023-12-25T00:00:00"/>
        <d v="2024-08-14T00:00:00"/>
        <d v="2024-01-25T00:00:00"/>
        <d v="2024-09-24T00:00:00"/>
        <d v="2024-08-12T00:00:00"/>
        <d v="2024-02-15T00:00:00"/>
        <d v="2024-04-16T00:00:00"/>
        <d v="2024-07-15T00:00:00"/>
        <d v="2024-10-28T00:00:00"/>
        <d v="2024-09-14T00:00:00"/>
        <d v="2024-03-03T00:00:00"/>
        <d v="2024-04-23T00:00:00"/>
        <d v="2024-04-27T00:00:00"/>
        <d v="2024-07-07T00:00:00"/>
        <d v="2024-05-10T00:00:00"/>
        <d v="2024-03-07T00:00:00"/>
        <d v="2024-04-03T00:00:00"/>
        <d v="2024-03-13T00:00:00"/>
        <d v="2024-10-26T00:00:00"/>
        <d v="2024-11-19T00:00:00"/>
        <d v="2024-11-25T00:00:00"/>
        <d v="2023-12-22T00:00:00"/>
        <d v="2024-02-08T00:00:00"/>
        <d v="2024-06-16T00:00:00"/>
        <d v="2024-12-02T00:00:00"/>
        <d v="2024-07-25T00:00:00"/>
        <d v="2024-06-19T00:00:00"/>
        <d v="2024-10-25T00:00:00"/>
        <d v="2024-07-19T00:00:00"/>
        <d v="2024-01-27T00:00:00"/>
        <d v="2024-03-04T00:00:00"/>
        <d v="2024-03-01T00:00:00"/>
        <d v="2024-11-18T00:00:00"/>
        <d v="2023-12-28T00:00:00"/>
        <d v="2024-01-16T00:00:00"/>
        <d v="2024-01-29T00:00:00"/>
        <d v="2024-08-21T00:00:00"/>
        <d v="2024-11-30T00:00:00"/>
        <d v="2024-09-11T00:00:00"/>
      </sharedItems>
      <fieldGroup par="22"/>
    </cacheField>
    <cacheField name="Sale Price" numFmtId="0">
      <sharedItems containsString="0" containsBlank="1" containsNumber="1" containsInteger="1" minValue="320344" maxValue="1043883"/>
    </cacheField>
    <cacheField name="Sq Ft" numFmtId="0">
      <sharedItems containsSemiMixedTypes="0" containsString="0" containsNumber="1" containsInteger="1" minValue="1003" maxValue="5000"/>
    </cacheField>
    <cacheField name="Revenue" numFmtId="165">
      <sharedItems containsString="0" containsBlank="1" containsNumber="1" containsInteger="1" minValue="372529180" maxValue="4831782636" count="760">
        <n v="2909981880"/>
        <m/>
        <n v="2541284040"/>
        <n v="2496063500"/>
        <n v="2601049990"/>
        <n v="612855550"/>
        <n v="2099805957"/>
        <n v="1333601248"/>
        <n v="1671119120"/>
        <n v="885964615"/>
        <n v="634978553"/>
        <n v="3478714566"/>
        <n v="372529180"/>
        <n v="2751407340"/>
        <n v="690965665"/>
        <n v="1904744471"/>
        <n v="644428398"/>
        <n v="3262152693"/>
        <n v="2784597816"/>
        <n v="708683360"/>
        <n v="2810556576"/>
        <n v="1054242450"/>
        <n v="2734394424"/>
        <n v="1239927351"/>
        <n v="4073662032"/>
        <n v="2341482080"/>
        <n v="885522540"/>
        <n v="2160920452"/>
        <n v="1386135765"/>
        <n v="717539200"/>
        <n v="1716068697"/>
        <n v="1200396366"/>
        <n v="1943824194"/>
        <n v="988073900"/>
        <n v="3175386588"/>
        <n v="1226555260"/>
        <n v="575473405"/>
        <n v="2993396350"/>
        <n v="1346261800"/>
        <n v="1678938338"/>
        <n v="2035231968"/>
        <n v="836325945"/>
        <n v="1124370288"/>
        <n v="2623277979"/>
        <n v="1980625648"/>
        <n v="2007155985"/>
        <n v="1330645204"/>
        <n v="534728790"/>
        <n v="1418543555"/>
        <n v="3444267871"/>
        <n v="3190076136"/>
        <n v="519858270"/>
        <n v="2825441730"/>
        <n v="1446075812"/>
        <n v="1330570852"/>
        <n v="2407741875"/>
        <n v="2265820924"/>
        <n v="1582567513"/>
        <n v="1743978196"/>
        <n v="2367625986"/>
        <n v="2961301968"/>
        <n v="1544073455"/>
        <n v="1125593163"/>
        <n v="944940355"/>
        <n v="1747091895"/>
        <n v="2740307504"/>
        <n v="1325954700"/>
        <n v="1143027400"/>
        <n v="2856701926"/>
        <n v="2529555120"/>
        <n v="1444520334"/>
        <n v="1013643808"/>
        <n v="1194927552"/>
        <n v="2012261196"/>
        <n v="870926895"/>
        <n v="1584667700"/>
        <n v="2389442755"/>
        <n v="2575603938"/>
        <n v="478014284"/>
        <n v="2041522936"/>
        <n v="2888047650"/>
        <n v="1625578815"/>
        <n v="4706663736"/>
        <n v="2257568579"/>
        <n v="1731287234"/>
        <n v="1066895388"/>
        <n v="2181085418"/>
        <n v="2684319729"/>
        <n v="1041044316"/>
        <n v="1435325850"/>
        <n v="1843771050"/>
        <n v="2183489144"/>
        <n v="931732766"/>
        <n v="2258739444"/>
        <n v="1451294250"/>
        <n v="3285463940"/>
        <n v="1610065250"/>
        <n v="1596925560"/>
        <n v="2080744200"/>
        <n v="2155078321"/>
        <n v="1622697340"/>
        <n v="1641737223"/>
        <n v="1060601760"/>
        <n v="1756925982"/>
        <n v="555710930"/>
        <n v="858838640"/>
        <n v="2002762675"/>
        <n v="2619664214"/>
        <n v="1718661858"/>
        <n v="2016913268"/>
        <n v="2332244390"/>
        <n v="1099450789"/>
        <n v="1237634464"/>
        <n v="669233862"/>
        <n v="380049050"/>
        <n v="1272226186"/>
        <n v="2374178099"/>
        <n v="743069005"/>
        <n v="2277910765"/>
        <n v="1024327682"/>
        <n v="1870740861"/>
        <n v="2383119981"/>
        <n v="710744272"/>
        <n v="4519234152"/>
        <n v="2038377556"/>
        <n v="2074550100"/>
        <n v="3452993454"/>
        <n v="2284339904"/>
        <n v="1068652760"/>
        <n v="1689202884"/>
        <n v="1222481536"/>
        <n v="1205390970"/>
        <n v="2832043368"/>
        <n v="2414645800"/>
        <n v="1041973068"/>
        <n v="2217994628"/>
        <n v="903083420"/>
        <n v="1969117872"/>
        <n v="2307915440"/>
        <n v="1248889304"/>
        <n v="1165600980"/>
        <n v="2089148958"/>
        <n v="1954358460"/>
        <n v="3056074425"/>
        <n v="1605647575"/>
        <n v="2747928152"/>
        <n v="1760077728"/>
        <n v="1912683168"/>
        <n v="2173783446"/>
        <n v="1379221764"/>
        <n v="3013972010"/>
        <n v="588151584"/>
        <n v="3771493032"/>
        <n v="1286508150"/>
        <n v="1932616122"/>
        <n v="1242489762"/>
        <n v="1223831430"/>
        <n v="1929668720"/>
        <n v="3956747496"/>
        <n v="3606397960"/>
        <n v="823553288"/>
        <n v="2498020800"/>
        <n v="1029530320"/>
        <n v="824034195"/>
        <n v="2087343300"/>
        <n v="1112528585"/>
        <n v="904307808"/>
        <n v="2284263417"/>
        <n v="3489046720"/>
        <n v="578107090"/>
        <n v="3600886550"/>
        <n v="3021737840"/>
        <n v="1218537775"/>
        <n v="709188490"/>
        <n v="919278041"/>
        <n v="3337622670"/>
        <n v="1389746258"/>
        <n v="3302657488"/>
        <n v="3318768578"/>
        <n v="2297464251"/>
        <n v="1435254750"/>
        <n v="1222897236"/>
        <n v="2945374263"/>
        <n v="3629001726"/>
        <n v="1034336979"/>
        <n v="1186908129"/>
        <n v="2139683301"/>
        <n v="2970774807"/>
        <n v="1072752750"/>
        <n v="1102184112"/>
        <n v="1018507689"/>
        <n v="3721292000"/>
        <n v="1012499928"/>
        <n v="1733284146"/>
        <n v="4132562291"/>
        <n v="2466044406"/>
        <n v="2857240692"/>
        <n v="1033261717"/>
        <n v="2146073482"/>
        <n v="2663552238"/>
        <n v="1315441576"/>
        <n v="1565621005"/>
        <n v="2086249178"/>
        <n v="3330497081"/>
        <n v="709009683"/>
        <n v="1278245348"/>
        <n v="3323955447"/>
        <n v="2150051364"/>
        <n v="1230247705"/>
        <n v="3711425380"/>
        <n v="4322758986"/>
        <n v="1069471628"/>
        <n v="1438543131"/>
        <n v="1923426960"/>
        <n v="3511699776"/>
        <n v="1707608160"/>
        <n v="1625112880"/>
        <n v="2528127996"/>
        <n v="2455713670"/>
        <n v="1921756680"/>
        <n v="2178626575"/>
        <n v="1838703456"/>
        <n v="4112642745"/>
        <n v="2492661897"/>
        <n v="3338750830"/>
        <n v="1282304767"/>
        <n v="1414702516"/>
        <n v="1207289754"/>
        <n v="726763880"/>
        <n v="1822771510"/>
        <n v="537140975"/>
        <n v="2218360308"/>
        <n v="1402028800"/>
        <n v="3988304958"/>
        <n v="965586846"/>
        <n v="3425405865"/>
        <n v="2033645952"/>
        <n v="2050735200"/>
        <n v="921505221"/>
        <n v="1817217856"/>
        <n v="1010630327"/>
        <n v="1929189584"/>
        <n v="1559015640"/>
        <n v="1530391928"/>
        <n v="1847104938"/>
        <n v="969464800"/>
        <n v="1517980497"/>
        <n v="3066622500"/>
        <n v="1051119638"/>
        <n v="1439332901"/>
        <n v="1122583977"/>
        <n v="1646834200"/>
        <n v="4645734390"/>
        <n v="1201011604"/>
        <n v="1949207832"/>
        <n v="1113661738"/>
        <n v="805490096"/>
        <n v="3503104436"/>
        <n v="2371033600"/>
        <n v="1027166096"/>
        <n v="4622108988"/>
        <n v="1801465820"/>
        <n v="3634293746"/>
        <n v="2313931840"/>
        <n v="1422642273"/>
        <n v="2439289136"/>
        <n v="2040738406"/>
        <n v="1571893380"/>
        <n v="876440460"/>
        <n v="1499724752"/>
        <n v="2800413528"/>
        <n v="1977415616"/>
        <n v="880941936"/>
        <n v="1819037324"/>
        <n v="494667088"/>
        <n v="2544257036"/>
        <n v="2276639880"/>
        <n v="1363103406"/>
        <n v="1600397050"/>
        <n v="538595296"/>
        <n v="1631605638"/>
        <n v="3237101890"/>
        <n v="2674747285"/>
        <n v="1601080452"/>
        <n v="2025679150"/>
        <n v="3328198944"/>
        <n v="3382913436"/>
        <n v="1924254360"/>
        <n v="4344272716"/>
        <n v="2276665272"/>
        <n v="2145933626"/>
        <n v="2362299524"/>
        <n v="4362513996"/>
        <n v="2734499800"/>
        <n v="2892614916"/>
        <n v="3343954356"/>
        <n v="685481310"/>
        <n v="1845632745"/>
        <n v="1602444896"/>
        <n v="2530540822"/>
        <n v="507042090"/>
        <n v="604435328"/>
        <n v="809702649"/>
        <n v="1837387858"/>
        <n v="2874928540"/>
        <n v="3433502706"/>
        <n v="950477280"/>
        <n v="1626274230"/>
        <n v="2040752594"/>
        <n v="1726672906"/>
        <n v="1760889164"/>
        <n v="2360828882"/>
        <n v="780151631"/>
        <n v="2152513902"/>
        <n v="3516316076"/>
        <n v="3916530912"/>
        <n v="3101466804"/>
        <n v="2125437920"/>
        <n v="1467266980"/>
        <n v="1594283871"/>
        <n v="846420400"/>
        <n v="4745988459"/>
        <n v="3173163371"/>
        <n v="2064591800"/>
        <n v="1170920600"/>
        <n v="777907539"/>
        <n v="3080521472"/>
        <n v="503582547"/>
        <n v="1697566312"/>
        <n v="1387709631"/>
        <n v="1467619190"/>
        <n v="3829857221"/>
        <n v="1859562308"/>
        <n v="1196093650"/>
        <n v="2394747160"/>
        <n v="1561633587"/>
        <n v="1131315876"/>
        <n v="1236509586"/>
        <n v="2860018200"/>
        <n v="1771564860"/>
        <n v="2544126678"/>
        <n v="4301380880"/>
        <n v="1563251756"/>
        <n v="3739189680"/>
        <n v="1250453834"/>
        <n v="2706609343"/>
        <n v="1212836120"/>
        <n v="3396942678"/>
        <n v="831459648"/>
        <n v="3545867718"/>
        <n v="706408802"/>
        <n v="2282510052"/>
        <n v="2358692083"/>
        <n v="689801314"/>
        <n v="3579498360"/>
        <n v="2687047200"/>
        <n v="1206300504"/>
        <n v="1799271198"/>
        <n v="1838396070"/>
        <n v="1379016800"/>
        <n v="921772724"/>
        <n v="3429655984"/>
        <n v="2044050822"/>
        <n v="2586695058"/>
        <n v="2125024320"/>
        <n v="2111004178"/>
        <n v="2375750197"/>
        <n v="2296029849"/>
        <n v="1797111468"/>
        <n v="1809618004"/>
        <n v="2813474724"/>
        <n v="2367101907"/>
        <n v="1617706830"/>
        <n v="947166462"/>
        <n v="1822634192"/>
        <n v="809685084"/>
        <n v="2059345230"/>
        <n v="3278293320"/>
        <n v="1525245732"/>
        <n v="543775938"/>
        <n v="1546345177"/>
        <n v="2146456125"/>
        <n v="2251404078"/>
        <n v="2432499680"/>
        <n v="2469149124"/>
        <n v="1731346931"/>
        <n v="2114336112"/>
        <n v="1144443675"/>
        <n v="1283539712"/>
        <n v="2264173527"/>
        <n v="610872026"/>
        <n v="2158984800"/>
        <n v="1595730020"/>
        <n v="3208575184"/>
        <n v="1683732272"/>
        <n v="3178597357"/>
        <n v="4200485100"/>
        <n v="2647240132"/>
        <n v="1039890816"/>
        <n v="3853060000"/>
        <n v="957839744"/>
        <n v="833937372"/>
        <n v="554607366"/>
        <n v="3313214737"/>
        <n v="1422575672"/>
        <n v="2769132170"/>
        <n v="514974999"/>
        <n v="2568878624"/>
        <n v="1132136672"/>
        <n v="1704206070"/>
        <n v="3591447980"/>
        <n v="2618261178"/>
        <n v="1639841295"/>
        <n v="1578721584"/>
        <n v="1623381991"/>
        <n v="1019397405"/>
        <n v="2073098461"/>
        <n v="3120019760"/>
        <n v="774126080"/>
        <n v="3267794611"/>
        <n v="3478260044"/>
        <n v="2281082100"/>
        <n v="3293745444"/>
        <n v="4647056158"/>
        <n v="863556499"/>
        <n v="3547728990"/>
        <n v="672271425"/>
        <n v="1300809900"/>
        <n v="1351526632"/>
        <n v="3751850390"/>
        <n v="1438347820"/>
        <n v="2144435671"/>
        <n v="2142433755"/>
        <n v="779646285"/>
        <n v="1070757576"/>
        <n v="761355054"/>
        <n v="2057531663"/>
        <n v="1237844645"/>
        <n v="2983398556"/>
        <n v="1820391076"/>
        <n v="826785000"/>
        <n v="3084746976"/>
        <n v="1812700432"/>
        <n v="1758472032"/>
        <n v="1377676890"/>
        <n v="900536000"/>
        <n v="1279514250"/>
        <n v="885364800"/>
        <n v="1731214852"/>
        <n v="4270488831"/>
        <n v="1796137912"/>
        <n v="1476809880"/>
        <n v="2675807244"/>
        <n v="1079526315"/>
        <n v="3445630793"/>
        <n v="1144431288"/>
        <n v="1243968864"/>
        <n v="2678193144"/>
        <n v="1381789585"/>
        <n v="1032939516"/>
        <n v="1424380824"/>
        <n v="2997052299"/>
        <n v="1045263105"/>
        <n v="4275950796"/>
        <n v="1763207973"/>
        <n v="831039720"/>
        <n v="3483228447"/>
        <n v="3046659837"/>
        <n v="3360730080"/>
        <n v="1724325848"/>
        <n v="2411152398"/>
        <n v="696821482"/>
        <n v="2548971540"/>
        <n v="3513487050"/>
        <n v="2235211888"/>
        <n v="2690477160"/>
        <n v="1713410389"/>
        <n v="978328323"/>
        <n v="1318020548"/>
        <n v="3012336900"/>
        <n v="1530288500"/>
        <n v="2920991899"/>
        <n v="4234259060"/>
        <n v="1909334130"/>
        <n v="2359067704"/>
        <n v="2103144318"/>
        <n v="2931756162"/>
        <n v="3366054171"/>
        <n v="2059347720"/>
        <n v="3130318868"/>
        <n v="3260638953"/>
        <n v="1011546950"/>
        <n v="519298962"/>
        <n v="2783729802"/>
        <n v="3280141568"/>
        <n v="2358645250"/>
        <n v="1400902710"/>
        <n v="2128441482"/>
        <n v="811441664"/>
        <n v="1469155100"/>
        <n v="3641036136"/>
        <n v="1681206466"/>
        <n v="2144571705"/>
        <n v="1504324696"/>
        <n v="1017722772"/>
        <n v="3149642750"/>
        <n v="3436139370"/>
        <n v="2114732490"/>
        <n v="533023128"/>
        <n v="484386250"/>
        <n v="2310600380"/>
        <n v="2844378570"/>
        <n v="1546708353"/>
        <n v="664949642"/>
        <n v="1955738568"/>
        <n v="2131074351"/>
        <n v="2598051295"/>
        <n v="1911005446"/>
        <n v="1725261064"/>
        <n v="3705082172"/>
        <n v="3311248958"/>
        <n v="508861315"/>
        <n v="2710711517"/>
        <n v="2602418484"/>
        <n v="1491187712"/>
        <n v="3572048610"/>
        <n v="2975999040"/>
        <n v="2620583176"/>
        <n v="1180912624"/>
        <n v="1948500198"/>
        <n v="3737637400"/>
        <n v="3650256444"/>
        <n v="1669004134"/>
        <n v="1364400664"/>
        <n v="859635315"/>
        <n v="1083493256"/>
        <n v="3640628472"/>
        <n v="2031499629"/>
        <n v="906314148"/>
        <n v="3032310642"/>
        <n v="2281777256"/>
        <n v="1661015905"/>
        <n v="1729705131"/>
        <n v="2030240808"/>
        <n v="1550596800"/>
        <n v="2734289250"/>
        <n v="2392652709"/>
        <n v="2429999059"/>
        <n v="954224236"/>
        <n v="1984142034"/>
        <n v="3263308880"/>
        <n v="1147568664"/>
        <n v="2510279235"/>
        <n v="735261792"/>
        <n v="1328567025"/>
        <n v="3713637564"/>
        <n v="1877376990"/>
        <n v="2854615116"/>
        <n v="2854931160"/>
        <n v="1507286002"/>
        <n v="1673079225"/>
        <n v="470365877"/>
        <n v="2022576480"/>
        <n v="2120953660"/>
        <n v="3701022030"/>
        <n v="4303470911"/>
        <n v="1322277495"/>
        <n v="3438210362"/>
        <n v="1102540460"/>
        <n v="1790190336"/>
        <n v="2110309212"/>
        <n v="806385696"/>
        <n v="3477646502"/>
        <n v="1216059022"/>
        <n v="2352599944"/>
        <n v="2112293416"/>
        <n v="4526600928"/>
        <n v="2005328762"/>
        <n v="1239558635"/>
        <n v="2818287432"/>
        <n v="1816990719"/>
        <n v="3197285568"/>
        <n v="2227995645"/>
        <n v="3115762690"/>
        <n v="2444216032"/>
        <n v="952337445"/>
        <n v="2343777341"/>
        <n v="2670044322"/>
        <n v="2667888792"/>
        <n v="2780725325"/>
        <n v="1684731048"/>
        <n v="1062222363"/>
        <n v="3603108138"/>
        <n v="549051420"/>
        <n v="774861419"/>
        <n v="1261165746"/>
        <n v="2683547650"/>
        <n v="1379365596"/>
        <n v="591714308"/>
        <n v="1092377220"/>
        <n v="1066303275"/>
        <n v="911706688"/>
        <n v="757629040"/>
        <n v="1125902128"/>
        <n v="2300006814"/>
        <n v="1613332376"/>
        <n v="1129944816"/>
        <n v="3343040064"/>
        <n v="675554304"/>
        <n v="4829038632"/>
        <n v="1061019897"/>
        <n v="1473845772"/>
        <n v="2599342056"/>
        <n v="1412979253"/>
        <n v="1318864248"/>
        <n v="3166760373"/>
        <n v="2984962906"/>
        <n v="1913686438"/>
        <n v="3813623264"/>
        <n v="565506918"/>
        <n v="1707064930"/>
        <n v="1845146614"/>
        <n v="491135998"/>
        <n v="555005352"/>
        <n v="1803978404"/>
        <n v="1146441882"/>
        <n v="4140543550"/>
        <n v="1975949897"/>
        <n v="2834549788"/>
        <n v="1599138450"/>
        <n v="2664668160"/>
        <n v="2405883292"/>
        <n v="1440955764"/>
        <n v="1983193152"/>
        <n v="1403783612"/>
        <n v="2335943610"/>
        <n v="4365650864"/>
        <n v="395339672"/>
        <n v="436527830"/>
        <n v="1162950516"/>
        <n v="876099246"/>
        <n v="841151883"/>
        <n v="1493974590"/>
        <n v="1540775244"/>
        <n v="764160098"/>
        <n v="1383241485"/>
        <n v="2905926387"/>
        <n v="2826819312"/>
        <n v="1119305516"/>
        <n v="2499119870"/>
        <n v="630662760"/>
        <n v="1070820688"/>
        <n v="4679924856"/>
        <n v="1403994268"/>
        <n v="2220101278"/>
        <n v="1208588616"/>
        <n v="1464431098"/>
        <n v="2445146700"/>
        <n v="488573730"/>
        <n v="857523316"/>
        <n v="2322631120"/>
        <n v="953133480"/>
        <n v="2779477176"/>
        <n v="3035034263"/>
        <n v="2098371744"/>
        <n v="2836273920"/>
        <n v="1566007369"/>
        <n v="716638230"/>
        <n v="1392172210"/>
        <n v="1391718385"/>
        <n v="2174924538"/>
        <n v="3635059150"/>
        <n v="4831782636"/>
        <n v="2323129915"/>
        <n v="3757829604"/>
        <n v="1457030824"/>
        <n v="1883223407"/>
        <n v="3097864464"/>
        <n v="1267455563"/>
        <n v="1184210964"/>
        <n v="1016143772"/>
        <n v="2477660960"/>
        <n v="3173509051"/>
        <n v="1775143552"/>
        <n v="1048505975"/>
        <n v="1248330784"/>
        <n v="1399651512"/>
        <n v="1930347936"/>
        <n v="2611784496"/>
        <n v="854049616"/>
        <n v="739214665"/>
        <n v="1395573344"/>
        <n v="4642375000"/>
        <n v="1127884550"/>
        <n v="776298688"/>
        <n v="4253225725"/>
        <n v="1547144225"/>
        <n v="2432174882"/>
        <n v="1660506144"/>
        <n v="1323883264"/>
        <n v="732638630"/>
        <n v="4386822528"/>
        <n v="1371618687"/>
        <n v="1869321185"/>
        <n v="1338492624"/>
        <n v="2002855188"/>
        <n v="1116624328"/>
        <n v="2087959749"/>
        <n v="3297764694"/>
        <n v="1221063046"/>
        <n v="3242631010"/>
        <n v="1720573656"/>
        <n v="1462112262"/>
        <n v="3223781340"/>
        <n v="2805731988"/>
        <n v="783940680"/>
        <n v="4176412350"/>
        <n v="1136552282"/>
        <n v="4273046820"/>
        <n v="4033495207"/>
        <n v="4367712450"/>
        <n v="3472032060"/>
        <n v="3271344576"/>
        <n v="652269105"/>
        <n v="1095523695"/>
        <n v="3426032580"/>
        <n v="1872187200"/>
        <n v="1592276316"/>
        <n v="1679151495"/>
        <n v="639246270"/>
        <n v="1710143356"/>
        <n v="3877743836"/>
        <n v="1042034400"/>
        <n v="3511207098"/>
        <n v="1056151113"/>
        <n v="1600579136"/>
        <n v="1183033272"/>
        <n v="2205208992"/>
        <n v="1333434816"/>
        <n v="2554288349"/>
        <n v="3962416521"/>
        <n v="2838113124"/>
        <n v="1133271967"/>
        <n v="1520200425"/>
        <n v="2567619072"/>
        <n v="3864896175"/>
        <n v="2309021596"/>
        <n v="2064274285"/>
        <n v="1685970717"/>
        <n v="1240410808"/>
        <n v="1230122865"/>
        <n v="2449243251"/>
        <n v="1737143518"/>
        <n v="988341753"/>
        <n v="1475467872"/>
        <n v="2251822200"/>
        <n v="3590975062"/>
        <n v="902802968"/>
        <n v="3688884990"/>
        <n v="1809844320"/>
      </sharedItems>
    </cacheField>
    <cacheField name="Bedrooms" numFmtId="0">
      <sharedItems containsSemiMixedTypes="0" containsString="0" containsNumber="1" containsInteger="1" minValue="2" maxValue="6"/>
    </cacheField>
    <cacheField name="Bathrooms" numFmtId="0">
      <sharedItems containsSemiMixedTypes="0" containsString="0" containsNumber="1" containsInteger="1" minValue="2" maxValue="5"/>
    </cacheField>
    <cacheField name="Building Type" numFmtId="0">
      <sharedItems count="4">
        <s v="Detached"/>
        <s v="Ranch"/>
        <s v="Office Building"/>
        <s v="Condo"/>
      </sharedItems>
    </cacheField>
    <cacheField name="Year Built" numFmtId="0">
      <sharedItems containsSemiMixedTypes="0" containsString="0" containsNumber="1" containsInteger="1" minValue="2000" maxValue="2023"/>
    </cacheField>
    <cacheField name="Floor Level" numFmtId="0">
      <sharedItems containsString="0" containsBlank="1" containsNumber="1" containsInteger="1" minValue="1" maxValue="10"/>
    </cacheField>
    <cacheField name="Parking Spaces" numFmtId="0">
      <sharedItems containsSemiMixedTypes="0" containsString="0" containsNumber="1" containsInteger="1" minValue="1" maxValue="4"/>
    </cacheField>
    <cacheField name="Agent Name" numFmtId="0">
      <sharedItems count="10">
        <s v="Jane Smith"/>
        <s v="Laura Taylor"/>
        <s v="Kevin Martinez"/>
        <s v="Sarah Johnson"/>
        <s v="Robert Black"/>
        <s v="Michael Green"/>
        <s v="Emily Brown"/>
        <s v="Alice White"/>
        <s v="David Lee"/>
        <s v="John Doe"/>
      </sharedItems>
    </cacheField>
    <cacheField name="Agent Contact Info" numFmtId="0">
      <sharedItems/>
    </cacheField>
    <cacheField name="Property Status" numFmtId="0">
      <sharedItems count="2">
        <s v="Sold"/>
        <s v="Available"/>
      </sharedItems>
    </cacheField>
    <cacheField name="Property Features" numFmtId="0">
      <sharedItems/>
    </cacheField>
    <cacheField name="Months (Date Sold)" numFmtId="0" databaseField="0">
      <fieldGroup base="6">
        <rangePr groupBy="months" startDate="2023-12-18T00:00:00" endDate="2024-12-17T00:00:00"/>
        <groupItems count="14">
          <s v="&lt;18-12-2023"/>
          <s v="Jan"/>
          <s v="Feb"/>
          <s v="Mar"/>
          <s v="Apr"/>
          <s v="May"/>
          <s v="Jun"/>
          <s v="Jul"/>
          <s v="Aug"/>
          <s v="Sep"/>
          <s v="Oct"/>
          <s v="Nov"/>
          <s v="Dec"/>
          <s v="&gt;17-12-2024"/>
        </groupItems>
      </fieldGroup>
    </cacheField>
    <cacheField name="Quarters (Date Sold)" numFmtId="0" databaseField="0">
      <fieldGroup base="6">
        <rangePr groupBy="quarters" startDate="2023-12-18T00:00:00" endDate="2024-12-17T00:00:00"/>
        <groupItems count="6">
          <s v="&lt;18-12-2023"/>
          <s v="Qtr1"/>
          <s v="Qtr2"/>
          <s v="Qtr3"/>
          <s v="Qtr4"/>
          <s v="&gt;17-12-2024"/>
        </groupItems>
      </fieldGroup>
    </cacheField>
    <cacheField name="Years (Date Sold)" numFmtId="0" databaseField="0">
      <fieldGroup base="6">
        <rangePr groupBy="years" startDate="2023-12-18T00:00:00" endDate="2024-12-17T00:00:00"/>
        <groupItems count="4">
          <s v="&lt;18-12-2023"/>
          <s v="2023"/>
          <s v="2024"/>
          <s v="&gt;17-12-2024"/>
        </groupItems>
      </fieldGroup>
    </cacheField>
  </cacheFields>
  <extLst>
    <ext xmlns:x14="http://schemas.microsoft.com/office/spreadsheetml/2009/9/main" uri="{725AE2AE-9491-48be-B2B4-4EB974FC3084}">
      <x14:pivotCacheDefinition pivotCacheId="441464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1"/>
    <s v="Property 1001"/>
    <x v="0"/>
    <x v="0"/>
    <n v="585544"/>
    <d v="2024-09-04T00:00:00"/>
    <x v="0"/>
    <n v="600120"/>
    <n v="4849"/>
    <x v="0"/>
    <n v="3"/>
    <n v="5"/>
    <x v="0"/>
    <n v="2020"/>
    <m/>
    <n v="3"/>
    <x v="0"/>
    <s v="555-3573"/>
    <x v="0"/>
    <s v="Sauna|Elevator|Garden|Garage"/>
  </r>
  <r>
    <n v="1002"/>
    <s v="Property 1002"/>
    <x v="1"/>
    <x v="1"/>
    <n v="903593"/>
    <d v="2024-02-01T00:00:00"/>
    <x v="1"/>
    <m/>
    <n v="4217"/>
    <x v="1"/>
    <n v="5"/>
    <n v="5"/>
    <x v="1"/>
    <n v="2018"/>
    <n v="9"/>
    <n v="1"/>
    <x v="1"/>
    <s v="555-8240"/>
    <x v="1"/>
    <s v="Sauna|Elevator|Garden|Gym"/>
  </r>
  <r>
    <n v="1003"/>
    <s v="Property 1003"/>
    <x v="2"/>
    <x v="0"/>
    <n v="974633"/>
    <d v="2024-01-27T00:00:00"/>
    <x v="2"/>
    <n v="1020596"/>
    <n v="2490"/>
    <x v="2"/>
    <n v="6"/>
    <n v="5"/>
    <x v="2"/>
    <n v="2005"/>
    <n v="4"/>
    <n v="4"/>
    <x v="2"/>
    <s v="555-7674"/>
    <x v="0"/>
    <s v="Garden"/>
  </r>
  <r>
    <n v="1004"/>
    <s v="Property 1004"/>
    <x v="1"/>
    <x v="2"/>
    <n v="566049"/>
    <d v="2024-06-15T00:00:00"/>
    <x v="1"/>
    <m/>
    <n v="4840"/>
    <x v="1"/>
    <n v="3"/>
    <n v="2"/>
    <x v="2"/>
    <n v="2008"/>
    <n v="6"/>
    <n v="2"/>
    <x v="3"/>
    <s v="555-7018"/>
    <x v="1"/>
    <s v="Elevator|Barn"/>
  </r>
  <r>
    <n v="1005"/>
    <s v="Property 1005"/>
    <x v="3"/>
    <x v="1"/>
    <n v="672813"/>
    <d v="2024-02-22T00:00:00"/>
    <x v="3"/>
    <n v="706100"/>
    <n v="3535"/>
    <x v="3"/>
    <n v="6"/>
    <n v="5"/>
    <x v="2"/>
    <n v="2015"/>
    <n v="8"/>
    <n v="3"/>
    <x v="3"/>
    <s v="555-3385"/>
    <x v="0"/>
    <s v="Pool|Elevator|Gym|Sauna"/>
  </r>
  <r>
    <n v="1006"/>
    <s v="Property 1006"/>
    <x v="4"/>
    <x v="0"/>
    <n v="713565"/>
    <d v="2024-01-31T00:00:00"/>
    <x v="4"/>
    <n v="734345"/>
    <n v="3542"/>
    <x v="4"/>
    <n v="4"/>
    <n v="3"/>
    <x v="2"/>
    <n v="2007"/>
    <n v="6"/>
    <n v="2"/>
    <x v="1"/>
    <s v="555-9230"/>
    <x v="0"/>
    <s v="Barn|Garden|Gym|Fireplace"/>
  </r>
  <r>
    <n v="1007"/>
    <s v="Property 1007"/>
    <x v="4"/>
    <x v="2"/>
    <n v="942067"/>
    <d v="2024-08-31T00:00:00"/>
    <x v="1"/>
    <m/>
    <n v="2473"/>
    <x v="1"/>
    <n v="4"/>
    <n v="2"/>
    <x v="0"/>
    <n v="2012"/>
    <m/>
    <n v="2"/>
    <x v="1"/>
    <s v="555-8619"/>
    <x v="1"/>
    <s v="Gym|Elevator"/>
  </r>
  <r>
    <n v="1008"/>
    <s v="Property 1008"/>
    <x v="3"/>
    <x v="0"/>
    <n v="354160"/>
    <d v="2024-02-17T00:00:00"/>
    <x v="5"/>
    <n v="375985"/>
    <n v="1630"/>
    <x v="5"/>
    <n v="6"/>
    <n v="5"/>
    <x v="2"/>
    <n v="2001"/>
    <n v="8"/>
    <n v="2"/>
    <x v="4"/>
    <s v="555-9358"/>
    <x v="0"/>
    <s v="Garden|Garage|Gym|Sauna"/>
  </r>
  <r>
    <n v="1009"/>
    <s v="Property 1009"/>
    <x v="0"/>
    <x v="2"/>
    <n v="653564"/>
    <d v="2024-08-22T00:00:00"/>
    <x v="6"/>
    <n v="685539"/>
    <n v="3063"/>
    <x v="6"/>
    <n v="2"/>
    <n v="2"/>
    <x v="3"/>
    <n v="2005"/>
    <n v="5"/>
    <n v="2"/>
    <x v="3"/>
    <s v="555-7214"/>
    <x v="0"/>
    <s v="Garden|Barn|Pool|Sauna"/>
  </r>
  <r>
    <n v="1010"/>
    <s v="Property 1010"/>
    <x v="3"/>
    <x v="1"/>
    <n v="556165"/>
    <d v="2024-05-01T00:00:00"/>
    <x v="1"/>
    <m/>
    <n v="4833"/>
    <x v="1"/>
    <n v="2"/>
    <n v="3"/>
    <x v="1"/>
    <n v="2008"/>
    <n v="9"/>
    <n v="4"/>
    <x v="4"/>
    <s v="555-7305"/>
    <x v="1"/>
    <s v="Garage|Elevator|Garden"/>
  </r>
  <r>
    <n v="1011"/>
    <s v="Property 1011"/>
    <x v="4"/>
    <x v="2"/>
    <n v="817687"/>
    <d v="2024-11-16T00:00:00"/>
    <x v="7"/>
    <n v="850511"/>
    <n v="1568"/>
    <x v="7"/>
    <n v="6"/>
    <n v="5"/>
    <x v="3"/>
    <n v="2017"/>
    <n v="4"/>
    <n v="3"/>
    <x v="3"/>
    <s v="555-3196"/>
    <x v="0"/>
    <s v="Elevator"/>
  </r>
  <r>
    <n v="1012"/>
    <s v="Property 1012"/>
    <x v="3"/>
    <x v="1"/>
    <n v="516233"/>
    <d v="2024-01-11T00:00:00"/>
    <x v="1"/>
    <m/>
    <n v="2845"/>
    <x v="1"/>
    <n v="4"/>
    <n v="3"/>
    <x v="3"/>
    <n v="2017"/>
    <n v="8"/>
    <n v="2"/>
    <x v="0"/>
    <s v="555-6593"/>
    <x v="1"/>
    <s v="Sauna|Garden|Barn"/>
  </r>
  <r>
    <n v="1013"/>
    <s v="Property 1013"/>
    <x v="1"/>
    <x v="2"/>
    <n v="371492"/>
    <d v="2024-02-22T00:00:00"/>
    <x v="1"/>
    <m/>
    <n v="1803"/>
    <x v="1"/>
    <n v="2"/>
    <n v="3"/>
    <x v="2"/>
    <n v="2007"/>
    <n v="9"/>
    <n v="4"/>
    <x v="5"/>
    <s v="555-7158"/>
    <x v="1"/>
    <s v="Gym"/>
  </r>
  <r>
    <n v="1014"/>
    <s v="Property 1014"/>
    <x v="2"/>
    <x v="1"/>
    <n v="358298"/>
    <d v="2024-03-27T00:00:00"/>
    <x v="1"/>
    <m/>
    <n v="1680"/>
    <x v="1"/>
    <n v="3"/>
    <n v="3"/>
    <x v="0"/>
    <n v="2000"/>
    <m/>
    <n v="1"/>
    <x v="5"/>
    <s v="555-9108"/>
    <x v="1"/>
    <s v="Sauna|Garage|Barn|Pool"/>
  </r>
  <r>
    <n v="1015"/>
    <s v="Property 1015"/>
    <x v="4"/>
    <x v="0"/>
    <n v="712723"/>
    <d v="2024-10-28T00:00:00"/>
    <x v="8"/>
    <n v="742060"/>
    <n v="2252"/>
    <x v="8"/>
    <n v="6"/>
    <n v="5"/>
    <x v="1"/>
    <n v="2001"/>
    <n v="3"/>
    <n v="2"/>
    <x v="3"/>
    <s v="555-7635"/>
    <x v="0"/>
    <s v="Elevator"/>
  </r>
  <r>
    <n v="1016"/>
    <s v="Property 1016"/>
    <x v="0"/>
    <x v="2"/>
    <n v="564591"/>
    <d v="2024-09-01T00:00:00"/>
    <x v="1"/>
    <m/>
    <n v="2797"/>
    <x v="1"/>
    <n v="3"/>
    <n v="2"/>
    <x v="0"/>
    <n v="2015"/>
    <m/>
    <n v="4"/>
    <x v="4"/>
    <s v="555-1294"/>
    <x v="1"/>
    <s v="Garden"/>
  </r>
  <r>
    <n v="1017"/>
    <s v="Property 1017"/>
    <x v="3"/>
    <x v="0"/>
    <n v="313147"/>
    <d v="2024-09-07T00:00:00"/>
    <x v="9"/>
    <n v="338801"/>
    <n v="2615"/>
    <x v="9"/>
    <n v="4"/>
    <n v="5"/>
    <x v="0"/>
    <n v="2020"/>
    <m/>
    <n v="3"/>
    <x v="6"/>
    <s v="555-7889"/>
    <x v="0"/>
    <s v="Garage|Sauna"/>
  </r>
  <r>
    <n v="1018"/>
    <s v="Property 1018"/>
    <x v="2"/>
    <x v="0"/>
    <n v="747303"/>
    <d v="2024-06-06T00:00:00"/>
    <x v="1"/>
    <m/>
    <n v="3449"/>
    <x v="1"/>
    <n v="6"/>
    <n v="2"/>
    <x v="3"/>
    <n v="2005"/>
    <n v="6"/>
    <n v="3"/>
    <x v="3"/>
    <s v="555-2411"/>
    <x v="1"/>
    <s v="Pool"/>
  </r>
  <r>
    <n v="1019"/>
    <s v="Property 1019"/>
    <x v="3"/>
    <x v="0"/>
    <n v="544031"/>
    <d v="2024-11-22T00:00:00"/>
    <x v="1"/>
    <m/>
    <n v="2678"/>
    <x v="1"/>
    <n v="2"/>
    <n v="2"/>
    <x v="0"/>
    <n v="2001"/>
    <m/>
    <n v="1"/>
    <x v="7"/>
    <s v="555-2747"/>
    <x v="1"/>
    <s v="Garden"/>
  </r>
  <r>
    <n v="1020"/>
    <s v="Property 1020"/>
    <x v="3"/>
    <x v="0"/>
    <n v="526245"/>
    <d v="2024-06-22T00:00:00"/>
    <x v="10"/>
    <n v="539489"/>
    <n v="1177"/>
    <x v="10"/>
    <n v="5"/>
    <n v="2"/>
    <x v="3"/>
    <n v="2001"/>
    <n v="5"/>
    <n v="1"/>
    <x v="2"/>
    <s v="555-6781"/>
    <x v="0"/>
    <s v="Garage|Pool|Garden"/>
  </r>
  <r>
    <n v="1021"/>
    <s v="Property 1021"/>
    <x v="4"/>
    <x v="1"/>
    <n v="637007"/>
    <d v="2024-10-03T00:00:00"/>
    <x v="1"/>
    <m/>
    <n v="1854"/>
    <x v="1"/>
    <n v="3"/>
    <n v="4"/>
    <x v="1"/>
    <n v="2006"/>
    <n v="5"/>
    <n v="2"/>
    <x v="6"/>
    <s v="555-7037"/>
    <x v="1"/>
    <s v="Barn|Gym|Sauna"/>
  </r>
  <r>
    <n v="1022"/>
    <s v="Property 1022"/>
    <x v="1"/>
    <x v="0"/>
    <n v="776161"/>
    <d v="2024-08-29T00:00:00"/>
    <x v="1"/>
    <m/>
    <n v="2353"/>
    <x v="1"/>
    <n v="3"/>
    <n v="5"/>
    <x v="0"/>
    <n v="2002"/>
    <m/>
    <n v="4"/>
    <x v="7"/>
    <s v="555-6013"/>
    <x v="1"/>
    <s v="Elevator"/>
  </r>
  <r>
    <n v="1023"/>
    <s v="Property 1023"/>
    <x v="0"/>
    <x v="0"/>
    <n v="766360"/>
    <d v="2024-04-13T00:00:00"/>
    <x v="11"/>
    <n v="779806"/>
    <n v="4461"/>
    <x v="11"/>
    <n v="2"/>
    <n v="4"/>
    <x v="2"/>
    <n v="2014"/>
    <n v="10"/>
    <n v="4"/>
    <x v="7"/>
    <s v="555-9482"/>
    <x v="0"/>
    <s v="Pool"/>
  </r>
  <r>
    <n v="1024"/>
    <s v="Property 1024"/>
    <x v="2"/>
    <x v="0"/>
    <n v="335304"/>
    <d v="2024-09-23T00:00:00"/>
    <x v="12"/>
    <n v="371045"/>
    <n v="1004"/>
    <x v="12"/>
    <n v="4"/>
    <n v="2"/>
    <x v="2"/>
    <n v="2020"/>
    <n v="7"/>
    <n v="1"/>
    <x v="3"/>
    <s v="555-2205"/>
    <x v="0"/>
    <s v="Barn|Fireplace"/>
  </r>
  <r>
    <n v="1025"/>
    <s v="Property 1025"/>
    <x v="2"/>
    <x v="2"/>
    <n v="871320"/>
    <d v="2024-12-06T00:00:00"/>
    <x v="1"/>
    <m/>
    <n v="3778"/>
    <x v="1"/>
    <n v="4"/>
    <n v="4"/>
    <x v="1"/>
    <n v="2005"/>
    <n v="5"/>
    <n v="1"/>
    <x v="5"/>
    <s v="555-7126"/>
    <x v="1"/>
    <s v="Sauna|Garage"/>
  </r>
  <r>
    <n v="1026"/>
    <s v="Property 1026"/>
    <x v="4"/>
    <x v="1"/>
    <n v="704935"/>
    <d v="2024-04-15T00:00:00"/>
    <x v="13"/>
    <n v="726924"/>
    <n v="3785"/>
    <x v="13"/>
    <n v="4"/>
    <n v="4"/>
    <x v="1"/>
    <n v="2014"/>
    <n v="8"/>
    <n v="3"/>
    <x v="0"/>
    <s v="555-3580"/>
    <x v="0"/>
    <s v="Garage|Fireplace|Sauna|Garden"/>
  </r>
  <r>
    <n v="1027"/>
    <s v="Property 1027"/>
    <x v="1"/>
    <x v="2"/>
    <n v="301691"/>
    <d v="2024-03-24T00:00:00"/>
    <x v="14"/>
    <n v="342911"/>
    <n v="2015"/>
    <x v="14"/>
    <n v="3"/>
    <n v="5"/>
    <x v="2"/>
    <n v="2011"/>
    <n v="3"/>
    <n v="4"/>
    <x v="4"/>
    <s v="555-1656"/>
    <x v="0"/>
    <s v="Fireplace|Pool"/>
  </r>
  <r>
    <n v="1028"/>
    <s v="Property 1028"/>
    <x v="1"/>
    <x v="2"/>
    <n v="924767"/>
    <d v="2024-03-19T00:00:00"/>
    <x v="1"/>
    <m/>
    <n v="4224"/>
    <x v="1"/>
    <n v="4"/>
    <n v="3"/>
    <x v="2"/>
    <n v="2009"/>
    <n v="2"/>
    <n v="2"/>
    <x v="2"/>
    <s v="555-5664"/>
    <x v="1"/>
    <s v="Garden|Barn|Gym|Fireplace"/>
  </r>
  <r>
    <n v="1029"/>
    <s v="Property 1029"/>
    <x v="4"/>
    <x v="1"/>
    <n v="577544"/>
    <d v="2024-08-13T00:00:00"/>
    <x v="15"/>
    <n v="622669"/>
    <n v="3059"/>
    <x v="15"/>
    <n v="2"/>
    <n v="5"/>
    <x v="1"/>
    <n v="2020"/>
    <n v="9"/>
    <n v="2"/>
    <x v="1"/>
    <s v="555-6489"/>
    <x v="0"/>
    <s v="Pool|Fireplace"/>
  </r>
  <r>
    <n v="1030"/>
    <s v="Property 1030"/>
    <x v="0"/>
    <x v="1"/>
    <n v="404952"/>
    <d v="2024-01-05T00:00:00"/>
    <x v="16"/>
    <n v="448454"/>
    <n v="1437"/>
    <x v="16"/>
    <n v="4"/>
    <n v="2"/>
    <x v="1"/>
    <n v="2016"/>
    <n v="7"/>
    <n v="1"/>
    <x v="4"/>
    <s v="555-7329"/>
    <x v="0"/>
    <s v="Gym|Garage|Elevator"/>
  </r>
  <r>
    <n v="1031"/>
    <s v="Property 1031"/>
    <x v="0"/>
    <x v="0"/>
    <n v="896764"/>
    <d v="2024-11-25T00:00:00"/>
    <x v="17"/>
    <n v="938209"/>
    <n v="3477"/>
    <x v="17"/>
    <n v="4"/>
    <n v="3"/>
    <x v="1"/>
    <n v="2023"/>
    <n v="10"/>
    <n v="1"/>
    <x v="3"/>
    <s v="555-1302"/>
    <x v="0"/>
    <s v="Barn"/>
  </r>
  <r>
    <n v="1032"/>
    <s v="Property 1032"/>
    <x v="2"/>
    <x v="1"/>
    <n v="629419"/>
    <d v="2024-07-16T00:00:00"/>
    <x v="1"/>
    <m/>
    <n v="1272"/>
    <x v="1"/>
    <n v="3"/>
    <n v="3"/>
    <x v="0"/>
    <n v="2009"/>
    <m/>
    <n v="1"/>
    <x v="6"/>
    <s v="555-6018"/>
    <x v="1"/>
    <s v="Garden"/>
  </r>
  <r>
    <n v="1033"/>
    <s v="Property 1033"/>
    <x v="4"/>
    <x v="1"/>
    <n v="724241"/>
    <d v="2024-09-08T00:00:00"/>
    <x v="18"/>
    <n v="744744"/>
    <n v="3739"/>
    <x v="18"/>
    <n v="3"/>
    <n v="5"/>
    <x v="1"/>
    <n v="2015"/>
    <n v="1"/>
    <n v="1"/>
    <x v="8"/>
    <s v="555-1080"/>
    <x v="0"/>
    <s v="Garden|Gym|Barn|Fireplace"/>
  </r>
  <r>
    <n v="1034"/>
    <s v="Property 1034"/>
    <x v="0"/>
    <x v="2"/>
    <n v="574249"/>
    <d v="2024-06-24T00:00:00"/>
    <x v="1"/>
    <m/>
    <n v="1993"/>
    <x v="1"/>
    <n v="5"/>
    <n v="2"/>
    <x v="0"/>
    <n v="2006"/>
    <m/>
    <n v="1"/>
    <x v="2"/>
    <s v="555-7689"/>
    <x v="1"/>
    <s v="Fireplace"/>
  </r>
  <r>
    <n v="1035"/>
    <s v="Property 1035"/>
    <x v="2"/>
    <x v="0"/>
    <n v="552866"/>
    <d v="2024-01-28T00:00:00"/>
    <x v="19"/>
    <n v="575230"/>
    <n v="1232"/>
    <x v="19"/>
    <n v="2"/>
    <n v="3"/>
    <x v="2"/>
    <n v="2004"/>
    <n v="6"/>
    <n v="3"/>
    <x v="2"/>
    <s v="555-9330"/>
    <x v="0"/>
    <s v="Barn"/>
  </r>
  <r>
    <n v="1036"/>
    <s v="Property 1036"/>
    <x v="3"/>
    <x v="1"/>
    <n v="680850"/>
    <d v="2024-07-05T00:00:00"/>
    <x v="20"/>
    <n v="702288"/>
    <n v="4002"/>
    <x v="20"/>
    <n v="3"/>
    <n v="3"/>
    <x v="2"/>
    <n v="2015"/>
    <n v="6"/>
    <n v="3"/>
    <x v="8"/>
    <s v="555-4114"/>
    <x v="0"/>
    <s v="Sauna|Gym|Barn|Fireplace"/>
  </r>
  <r>
    <n v="1037"/>
    <s v="Property 1037"/>
    <x v="0"/>
    <x v="1"/>
    <n v="825586"/>
    <d v="2024-07-30T00:00:00"/>
    <x v="21"/>
    <n v="874890"/>
    <n v="1205"/>
    <x v="21"/>
    <n v="6"/>
    <n v="5"/>
    <x v="0"/>
    <n v="2001"/>
    <m/>
    <n v="3"/>
    <x v="6"/>
    <s v="555-9836"/>
    <x v="0"/>
    <s v="Barn|Sauna|Gym"/>
  </r>
  <r>
    <n v="1038"/>
    <s v="Property 1038"/>
    <x v="3"/>
    <x v="2"/>
    <n v="305473"/>
    <d v="2024-07-21T00:00:00"/>
    <x v="1"/>
    <m/>
    <n v="2096"/>
    <x v="1"/>
    <n v="4"/>
    <n v="4"/>
    <x v="3"/>
    <n v="2003"/>
    <n v="9"/>
    <n v="3"/>
    <x v="7"/>
    <s v="555-5542"/>
    <x v="1"/>
    <s v="Garden"/>
  </r>
  <r>
    <n v="1039"/>
    <s v="Property 1039"/>
    <x v="0"/>
    <x v="0"/>
    <n v="790220"/>
    <d v="2024-05-16T00:00:00"/>
    <x v="22"/>
    <n v="836718"/>
    <n v="3268"/>
    <x v="22"/>
    <n v="2"/>
    <n v="4"/>
    <x v="2"/>
    <n v="2017"/>
    <n v="7"/>
    <n v="3"/>
    <x v="7"/>
    <s v="555-4759"/>
    <x v="0"/>
    <s v="Barn"/>
  </r>
  <r>
    <n v="1040"/>
    <s v="Property 1040"/>
    <x v="1"/>
    <x v="0"/>
    <n v="458395"/>
    <d v="2024-03-27T00:00:00"/>
    <x v="1"/>
    <m/>
    <n v="2406"/>
    <x v="1"/>
    <n v="5"/>
    <n v="4"/>
    <x v="2"/>
    <n v="2018"/>
    <n v="7"/>
    <n v="4"/>
    <x v="3"/>
    <s v="555-9405"/>
    <x v="1"/>
    <s v="Sauna|Fireplace"/>
  </r>
  <r>
    <n v="1041"/>
    <s v="Property 1041"/>
    <x v="3"/>
    <x v="2"/>
    <n v="602623"/>
    <d v="2024-09-04T00:00:00"/>
    <x v="1"/>
    <m/>
    <n v="2464"/>
    <x v="1"/>
    <n v="6"/>
    <n v="3"/>
    <x v="1"/>
    <n v="2000"/>
    <n v="4"/>
    <n v="2"/>
    <x v="6"/>
    <s v="555-3061"/>
    <x v="1"/>
    <s v="Pool|Fireplace|Elevator|Gym"/>
  </r>
  <r>
    <n v="1042"/>
    <s v="Property 1042"/>
    <x v="3"/>
    <x v="2"/>
    <n v="808632"/>
    <d v="2024-05-05T00:00:00"/>
    <x v="1"/>
    <m/>
    <n v="1275"/>
    <x v="1"/>
    <n v="3"/>
    <n v="2"/>
    <x v="3"/>
    <n v="2012"/>
    <n v="2"/>
    <n v="2"/>
    <x v="7"/>
    <s v="555-2235"/>
    <x v="1"/>
    <s v="Garden|Gym"/>
  </r>
  <r>
    <n v="1043"/>
    <s v="Property 1043"/>
    <x v="2"/>
    <x v="2"/>
    <n v="946776"/>
    <d v="2024-11-09T00:00:00"/>
    <x v="1"/>
    <m/>
    <n v="3867"/>
    <x v="1"/>
    <n v="2"/>
    <n v="2"/>
    <x v="3"/>
    <n v="2002"/>
    <n v="2"/>
    <n v="4"/>
    <x v="4"/>
    <s v="555-3041"/>
    <x v="1"/>
    <s v="Elevator"/>
  </r>
  <r>
    <n v="1044"/>
    <s v="Property 1044"/>
    <x v="3"/>
    <x v="1"/>
    <n v="498847"/>
    <d v="2024-02-27T00:00:00"/>
    <x v="23"/>
    <n v="517283"/>
    <n v="2397"/>
    <x v="23"/>
    <n v="5"/>
    <n v="5"/>
    <x v="1"/>
    <n v="2005"/>
    <n v="9"/>
    <n v="4"/>
    <x v="9"/>
    <s v="555-5353"/>
    <x v="0"/>
    <s v="Sauna|Fireplace|Elevator"/>
  </r>
  <r>
    <n v="1045"/>
    <s v="Property 1045"/>
    <x v="1"/>
    <x v="1"/>
    <n v="927649"/>
    <d v="2024-01-22T00:00:00"/>
    <x v="24"/>
    <n v="945604"/>
    <n v="4308"/>
    <x v="24"/>
    <n v="4"/>
    <n v="4"/>
    <x v="2"/>
    <n v="2018"/>
    <n v="5"/>
    <n v="4"/>
    <x v="2"/>
    <s v="555-5353"/>
    <x v="0"/>
    <s v="Pool|Garage|Gym"/>
  </r>
  <r>
    <n v="1046"/>
    <s v="Property 1046"/>
    <x v="0"/>
    <x v="2"/>
    <n v="459259"/>
    <d v="2024-04-12T00:00:00"/>
    <x v="25"/>
    <n v="472073"/>
    <n v="4960"/>
    <x v="25"/>
    <n v="5"/>
    <n v="3"/>
    <x v="0"/>
    <n v="2017"/>
    <m/>
    <n v="1"/>
    <x v="3"/>
    <s v="555-8480"/>
    <x v="0"/>
    <s v="Garden|Garage|Gym"/>
  </r>
  <r>
    <n v="1047"/>
    <s v="Property 1047"/>
    <x v="2"/>
    <x v="2"/>
    <n v="823416"/>
    <d v="2024-01-01T00:00:00"/>
    <x v="26"/>
    <n v="872436"/>
    <n v="1015"/>
    <x v="26"/>
    <n v="4"/>
    <n v="3"/>
    <x v="0"/>
    <n v="2008"/>
    <m/>
    <n v="2"/>
    <x v="8"/>
    <s v="555-5715"/>
    <x v="0"/>
    <s v="Elevator|Garage"/>
  </r>
  <r>
    <n v="1048"/>
    <s v="Property 1048"/>
    <x v="1"/>
    <x v="2"/>
    <n v="757601"/>
    <d v="2024-06-01T00:00:00"/>
    <x v="1"/>
    <m/>
    <n v="1948"/>
    <x v="1"/>
    <n v="3"/>
    <n v="4"/>
    <x v="3"/>
    <n v="2008"/>
    <n v="5"/>
    <n v="3"/>
    <x v="0"/>
    <s v="555-4194"/>
    <x v="1"/>
    <s v="Fireplace"/>
  </r>
  <r>
    <n v="1049"/>
    <s v="Property 1049"/>
    <x v="0"/>
    <x v="1"/>
    <n v="552138"/>
    <d v="2024-01-04T00:00:00"/>
    <x v="1"/>
    <m/>
    <n v="1155"/>
    <x v="1"/>
    <n v="3"/>
    <n v="3"/>
    <x v="1"/>
    <n v="2008"/>
    <n v="9"/>
    <n v="1"/>
    <x v="0"/>
    <s v="555-3538"/>
    <x v="1"/>
    <s v="Fireplace|Sauna|Garage|Pool"/>
  </r>
  <r>
    <n v="1050"/>
    <s v="Property 1050"/>
    <x v="2"/>
    <x v="2"/>
    <n v="942378"/>
    <d v="2024-09-28T00:00:00"/>
    <x v="1"/>
    <m/>
    <n v="1162"/>
    <x v="1"/>
    <n v="3"/>
    <n v="4"/>
    <x v="0"/>
    <n v="2002"/>
    <m/>
    <n v="1"/>
    <x v="0"/>
    <s v="555-4328"/>
    <x v="1"/>
    <s v="Sauna"/>
  </r>
  <r>
    <n v="1051"/>
    <s v="Property 1051"/>
    <x v="0"/>
    <x v="0"/>
    <n v="689096"/>
    <d v="2024-02-05T00:00:00"/>
    <x v="1"/>
    <m/>
    <n v="4297"/>
    <x v="1"/>
    <n v="2"/>
    <n v="3"/>
    <x v="3"/>
    <n v="2022"/>
    <n v="4"/>
    <n v="2"/>
    <x v="2"/>
    <s v="555-9899"/>
    <x v="1"/>
    <s v="Garage"/>
  </r>
  <r>
    <n v="1052"/>
    <s v="Property 1052"/>
    <x v="4"/>
    <x v="0"/>
    <n v="364074"/>
    <d v="2024-06-21T00:00:00"/>
    <x v="1"/>
    <m/>
    <n v="1437"/>
    <x v="1"/>
    <n v="5"/>
    <n v="5"/>
    <x v="0"/>
    <n v="2008"/>
    <m/>
    <n v="1"/>
    <x v="5"/>
    <s v="555-5035"/>
    <x v="1"/>
    <s v="Sauna|Barn|Gym"/>
  </r>
  <r>
    <n v="1053"/>
    <s v="Property 1053"/>
    <x v="1"/>
    <x v="1"/>
    <n v="448458"/>
    <d v="2024-01-06T00:00:00"/>
    <x v="27"/>
    <n v="460358"/>
    <n v="4694"/>
    <x v="27"/>
    <n v="5"/>
    <n v="4"/>
    <x v="2"/>
    <n v="2016"/>
    <n v="7"/>
    <n v="3"/>
    <x v="5"/>
    <s v="555-1033"/>
    <x v="0"/>
    <s v="Fireplace"/>
  </r>
  <r>
    <n v="1054"/>
    <s v="Property 1054"/>
    <x v="0"/>
    <x v="2"/>
    <n v="594315"/>
    <d v="2024-11-03T00:00:00"/>
    <x v="1"/>
    <m/>
    <n v="4588"/>
    <x v="1"/>
    <n v="4"/>
    <n v="5"/>
    <x v="0"/>
    <n v="2004"/>
    <m/>
    <n v="3"/>
    <x v="7"/>
    <s v="555-5550"/>
    <x v="1"/>
    <s v="Fireplace|Garage|Barn"/>
  </r>
  <r>
    <n v="1055"/>
    <s v="Property 1055"/>
    <x v="1"/>
    <x v="1"/>
    <n v="354502"/>
    <d v="2024-09-28T00:00:00"/>
    <x v="28"/>
    <n v="376565"/>
    <n v="3681"/>
    <x v="28"/>
    <n v="3"/>
    <n v="3"/>
    <x v="2"/>
    <n v="2002"/>
    <n v="7"/>
    <n v="4"/>
    <x v="5"/>
    <s v="555-5508"/>
    <x v="0"/>
    <s v="Garden|Barn|Fireplace"/>
  </r>
  <r>
    <n v="1056"/>
    <s v="Property 1056"/>
    <x v="3"/>
    <x v="0"/>
    <n v="404671"/>
    <d v="2024-11-28T00:00:00"/>
    <x v="1"/>
    <m/>
    <n v="2305"/>
    <x v="1"/>
    <n v="3"/>
    <n v="2"/>
    <x v="1"/>
    <n v="2003"/>
    <n v="4"/>
    <n v="1"/>
    <x v="9"/>
    <s v="555-7024"/>
    <x v="1"/>
    <s v="Sauna"/>
  </r>
  <r>
    <n v="1057"/>
    <s v="Property 1057"/>
    <x v="1"/>
    <x v="1"/>
    <n v="915042"/>
    <d v="2024-10-01T00:00:00"/>
    <x v="1"/>
    <m/>
    <n v="3523"/>
    <x v="1"/>
    <n v="2"/>
    <n v="2"/>
    <x v="2"/>
    <n v="2015"/>
    <n v="7"/>
    <n v="2"/>
    <x v="7"/>
    <s v="555-1536"/>
    <x v="1"/>
    <s v="Gym"/>
  </r>
  <r>
    <n v="1058"/>
    <s v="Property 1058"/>
    <x v="2"/>
    <x v="1"/>
    <n v="599153"/>
    <d v="2024-04-28T00:00:00"/>
    <x v="29"/>
    <n v="640660"/>
    <n v="1120"/>
    <x v="29"/>
    <n v="6"/>
    <n v="5"/>
    <x v="3"/>
    <n v="2007"/>
    <n v="9"/>
    <n v="3"/>
    <x v="7"/>
    <s v="555-3231"/>
    <x v="0"/>
    <s v="Pool|Sauna|Garden"/>
  </r>
  <r>
    <n v="1059"/>
    <s v="Property 1059"/>
    <x v="0"/>
    <x v="1"/>
    <n v="942222"/>
    <d v="2024-01-26T00:00:00"/>
    <x v="1"/>
    <m/>
    <n v="2017"/>
    <x v="1"/>
    <n v="6"/>
    <n v="5"/>
    <x v="1"/>
    <n v="2016"/>
    <n v="6"/>
    <n v="3"/>
    <x v="0"/>
    <s v="555-1260"/>
    <x v="1"/>
    <s v="Elevator"/>
  </r>
  <r>
    <n v="1060"/>
    <s v="Property 1060"/>
    <x v="3"/>
    <x v="0"/>
    <n v="566746"/>
    <d v="2024-09-26T00:00:00"/>
    <x v="1"/>
    <m/>
    <n v="1398"/>
    <x v="1"/>
    <n v="6"/>
    <n v="4"/>
    <x v="1"/>
    <n v="2020"/>
    <n v="6"/>
    <n v="3"/>
    <x v="7"/>
    <s v="555-7914"/>
    <x v="1"/>
    <s v="Elevator"/>
  </r>
  <r>
    <n v="1061"/>
    <s v="Property 1061"/>
    <x v="3"/>
    <x v="0"/>
    <n v="419353"/>
    <d v="2024-02-03T00:00:00"/>
    <x v="1"/>
    <m/>
    <n v="3973"/>
    <x v="1"/>
    <n v="5"/>
    <n v="3"/>
    <x v="0"/>
    <n v="2004"/>
    <m/>
    <n v="3"/>
    <x v="5"/>
    <s v="555-1407"/>
    <x v="1"/>
    <s v="Pool|Gym|Fireplace|Elevator"/>
  </r>
  <r>
    <n v="1062"/>
    <s v="Property 1062"/>
    <x v="2"/>
    <x v="0"/>
    <n v="981898"/>
    <d v="2024-02-03T00:00:00"/>
    <x v="30"/>
    <n v="1017231"/>
    <n v="1687"/>
    <x v="30"/>
    <n v="2"/>
    <n v="3"/>
    <x v="0"/>
    <n v="2015"/>
    <m/>
    <n v="2"/>
    <x v="4"/>
    <s v="555-6955"/>
    <x v="0"/>
    <s v="Gym"/>
  </r>
  <r>
    <n v="1063"/>
    <s v="Property 1063"/>
    <x v="4"/>
    <x v="2"/>
    <n v="590415"/>
    <d v="2024-05-05T00:00:00"/>
    <x v="31"/>
    <n v="633789"/>
    <n v="1894"/>
    <x v="31"/>
    <n v="4"/>
    <n v="2"/>
    <x v="1"/>
    <n v="2005"/>
    <n v="7"/>
    <n v="3"/>
    <x v="2"/>
    <s v="555-6348"/>
    <x v="0"/>
    <s v="Barn|Fireplace|Garage|Garden"/>
  </r>
  <r>
    <n v="1064"/>
    <s v="Property 1064"/>
    <x v="3"/>
    <x v="1"/>
    <n v="829559"/>
    <d v="2024-06-15T00:00:00"/>
    <x v="1"/>
    <m/>
    <n v="3692"/>
    <x v="1"/>
    <n v="5"/>
    <n v="5"/>
    <x v="2"/>
    <n v="2008"/>
    <n v="4"/>
    <n v="2"/>
    <x v="9"/>
    <s v="555-9060"/>
    <x v="1"/>
    <s v="Fireplace|Gym|Pool|Sauna"/>
  </r>
  <r>
    <n v="1065"/>
    <s v="Property 1065"/>
    <x v="3"/>
    <x v="2"/>
    <n v="381283"/>
    <d v="2024-11-27T00:00:00"/>
    <x v="1"/>
    <m/>
    <n v="1819"/>
    <x v="1"/>
    <n v="2"/>
    <n v="3"/>
    <x v="0"/>
    <n v="2000"/>
    <m/>
    <n v="1"/>
    <x v="3"/>
    <s v="555-4522"/>
    <x v="1"/>
    <s v="Barn|Fireplace|Sauna|Garden"/>
  </r>
  <r>
    <n v="1066"/>
    <s v="Property 1066"/>
    <x v="3"/>
    <x v="1"/>
    <n v="664053"/>
    <d v="2024-08-12T00:00:00"/>
    <x v="1"/>
    <m/>
    <n v="3681"/>
    <x v="1"/>
    <n v="3"/>
    <n v="5"/>
    <x v="2"/>
    <n v="2011"/>
    <n v="7"/>
    <n v="1"/>
    <x v="9"/>
    <s v="555-5731"/>
    <x v="1"/>
    <s v="Garden|Elevator|Pool|Barn"/>
  </r>
  <r>
    <n v="1067"/>
    <s v="Property 1067"/>
    <x v="0"/>
    <x v="2"/>
    <n v="756203"/>
    <d v="2024-05-07T00:00:00"/>
    <x v="1"/>
    <m/>
    <n v="4889"/>
    <x v="1"/>
    <n v="4"/>
    <n v="3"/>
    <x v="3"/>
    <n v="2008"/>
    <n v="7"/>
    <n v="1"/>
    <x v="0"/>
    <s v="555-4112"/>
    <x v="1"/>
    <s v="Gym"/>
  </r>
  <r>
    <n v="1068"/>
    <s v="Property 1068"/>
    <x v="1"/>
    <x v="2"/>
    <n v="958984"/>
    <d v="2024-07-06T00:00:00"/>
    <x v="1"/>
    <m/>
    <n v="1374"/>
    <x v="1"/>
    <n v="6"/>
    <n v="4"/>
    <x v="1"/>
    <n v="2001"/>
    <n v="3"/>
    <n v="3"/>
    <x v="3"/>
    <s v="555-2626"/>
    <x v="1"/>
    <s v="Barn|Pool|Gym|Sauna"/>
  </r>
  <r>
    <n v="1069"/>
    <s v="Property 1069"/>
    <x v="2"/>
    <x v="2"/>
    <n v="844015"/>
    <d v="2024-02-14T00:00:00"/>
    <x v="32"/>
    <n v="864306"/>
    <n v="2249"/>
    <x v="32"/>
    <n v="2"/>
    <n v="3"/>
    <x v="2"/>
    <n v="2022"/>
    <n v="2"/>
    <n v="4"/>
    <x v="2"/>
    <s v="555-9357"/>
    <x v="0"/>
    <s v="Garden|Sauna"/>
  </r>
  <r>
    <n v="1070"/>
    <s v="Property 1070"/>
    <x v="0"/>
    <x v="1"/>
    <n v="421420"/>
    <d v="2024-06-15T00:00:00"/>
    <x v="33"/>
    <n v="447700"/>
    <n v="2207"/>
    <x v="33"/>
    <n v="5"/>
    <n v="2"/>
    <x v="1"/>
    <n v="2018"/>
    <n v="2"/>
    <n v="1"/>
    <x v="3"/>
    <s v="555-8491"/>
    <x v="0"/>
    <s v="Elevator|Sauna|Gym|Garage"/>
  </r>
  <r>
    <n v="1071"/>
    <s v="Property 1071"/>
    <x v="0"/>
    <x v="0"/>
    <n v="308316"/>
    <d v="2024-06-01T00:00:00"/>
    <x v="1"/>
    <m/>
    <n v="2725"/>
    <x v="1"/>
    <n v="5"/>
    <n v="2"/>
    <x v="2"/>
    <n v="2021"/>
    <n v="5"/>
    <n v="4"/>
    <x v="5"/>
    <s v="555-9688"/>
    <x v="1"/>
    <s v="Gym|Garden"/>
  </r>
  <r>
    <n v="1072"/>
    <s v="Property 1072"/>
    <x v="3"/>
    <x v="0"/>
    <n v="481134"/>
    <d v="2024-06-16T00:00:00"/>
    <x v="1"/>
    <m/>
    <n v="3438"/>
    <x v="1"/>
    <n v="4"/>
    <n v="4"/>
    <x v="0"/>
    <n v="2002"/>
    <m/>
    <n v="3"/>
    <x v="0"/>
    <s v="555-7465"/>
    <x v="1"/>
    <s v="Garden|Gym"/>
  </r>
  <r>
    <n v="1073"/>
    <s v="Property 1073"/>
    <x v="2"/>
    <x v="0"/>
    <n v="662391"/>
    <d v="2024-05-14T00:00:00"/>
    <x v="34"/>
    <n v="700659"/>
    <n v="4532"/>
    <x v="34"/>
    <n v="4"/>
    <n v="5"/>
    <x v="3"/>
    <n v="2020"/>
    <n v="5"/>
    <n v="1"/>
    <x v="7"/>
    <s v="555-1909"/>
    <x v="0"/>
    <s v="Garden|Gym|Elevator"/>
  </r>
  <r>
    <n v="1074"/>
    <s v="Property 1074"/>
    <x v="2"/>
    <x v="2"/>
    <n v="651629"/>
    <d v="2024-06-29T00:00:00"/>
    <x v="1"/>
    <m/>
    <n v="2260"/>
    <x v="1"/>
    <n v="4"/>
    <n v="3"/>
    <x v="3"/>
    <n v="2023"/>
    <n v="9"/>
    <n v="4"/>
    <x v="2"/>
    <s v="555-7208"/>
    <x v="1"/>
    <s v="Garage"/>
  </r>
  <r>
    <n v="1075"/>
    <s v="Property 1075"/>
    <x v="4"/>
    <x v="2"/>
    <n v="637499"/>
    <d v="2024-10-15T00:00:00"/>
    <x v="1"/>
    <m/>
    <n v="3331"/>
    <x v="1"/>
    <n v="3"/>
    <n v="5"/>
    <x v="3"/>
    <n v="2010"/>
    <n v="10"/>
    <n v="1"/>
    <x v="1"/>
    <s v="555-4009"/>
    <x v="1"/>
    <s v="Gym"/>
  </r>
  <r>
    <n v="1076"/>
    <s v="Property 1076"/>
    <x v="3"/>
    <x v="2"/>
    <n v="713273"/>
    <d v="2024-02-29T00:00:00"/>
    <x v="1"/>
    <m/>
    <n v="3450"/>
    <x v="1"/>
    <n v="3"/>
    <n v="4"/>
    <x v="3"/>
    <n v="2012"/>
    <n v="1"/>
    <n v="3"/>
    <x v="3"/>
    <s v="555-2303"/>
    <x v="1"/>
    <s v="Barn"/>
  </r>
  <r>
    <n v="1077"/>
    <s v="Property 1077"/>
    <x v="3"/>
    <x v="1"/>
    <n v="778885"/>
    <d v="2024-04-07T00:00:00"/>
    <x v="1"/>
    <m/>
    <n v="4019"/>
    <x v="1"/>
    <n v="5"/>
    <n v="4"/>
    <x v="3"/>
    <n v="2014"/>
    <n v="1"/>
    <n v="4"/>
    <x v="6"/>
    <s v="555-7694"/>
    <x v="1"/>
    <s v="Garage|Garden|Gym|Barn"/>
  </r>
  <r>
    <n v="1078"/>
    <s v="Property 1078"/>
    <x v="3"/>
    <x v="1"/>
    <n v="524826"/>
    <d v="2024-02-05T00:00:00"/>
    <x v="1"/>
    <m/>
    <n v="1458"/>
    <x v="1"/>
    <n v="4"/>
    <n v="5"/>
    <x v="0"/>
    <n v="2010"/>
    <m/>
    <n v="1"/>
    <x v="4"/>
    <s v="555-4031"/>
    <x v="1"/>
    <s v="Garage|Elevator"/>
  </r>
  <r>
    <n v="1079"/>
    <s v="Property 1079"/>
    <x v="3"/>
    <x v="0"/>
    <n v="804639"/>
    <d v="2024-03-10T00:00:00"/>
    <x v="1"/>
    <m/>
    <n v="1162"/>
    <x v="1"/>
    <n v="6"/>
    <n v="2"/>
    <x v="1"/>
    <n v="2001"/>
    <n v="7"/>
    <n v="4"/>
    <x v="7"/>
    <s v="555-2741"/>
    <x v="1"/>
    <s v="Garden|Pool"/>
  </r>
  <r>
    <n v="1080"/>
    <s v="Property 1080"/>
    <x v="2"/>
    <x v="1"/>
    <n v="832258"/>
    <d v="2024-04-20T00:00:00"/>
    <x v="1"/>
    <m/>
    <n v="4338"/>
    <x v="1"/>
    <n v="6"/>
    <n v="2"/>
    <x v="1"/>
    <n v="2009"/>
    <n v="9"/>
    <n v="1"/>
    <x v="9"/>
    <s v="555-4820"/>
    <x v="1"/>
    <s v="Pool|Barn|Garden"/>
  </r>
  <r>
    <n v="1081"/>
    <s v="Property 1081"/>
    <x v="0"/>
    <x v="2"/>
    <n v="311942"/>
    <d v="2024-06-11T00:00:00"/>
    <x v="35"/>
    <n v="353780"/>
    <n v="3467"/>
    <x v="35"/>
    <n v="4"/>
    <n v="2"/>
    <x v="3"/>
    <n v="2019"/>
    <n v="7"/>
    <n v="1"/>
    <x v="0"/>
    <s v="555-4794"/>
    <x v="0"/>
    <s v="Gym|Sauna|Barn"/>
  </r>
  <r>
    <n v="1082"/>
    <s v="Property 1082"/>
    <x v="1"/>
    <x v="1"/>
    <n v="324221"/>
    <d v="2024-11-05T00:00:00"/>
    <x v="36"/>
    <n v="345215"/>
    <n v="1667"/>
    <x v="36"/>
    <n v="4"/>
    <n v="4"/>
    <x v="3"/>
    <n v="2017"/>
    <n v="10"/>
    <n v="1"/>
    <x v="5"/>
    <s v="555-7160"/>
    <x v="0"/>
    <s v="Garage"/>
  </r>
  <r>
    <n v="1083"/>
    <s v="Property 1083"/>
    <x v="3"/>
    <x v="1"/>
    <n v="880717"/>
    <d v="2024-06-08T00:00:00"/>
    <x v="1"/>
    <m/>
    <n v="1118"/>
    <x v="1"/>
    <n v="2"/>
    <n v="5"/>
    <x v="2"/>
    <n v="2000"/>
    <n v="5"/>
    <n v="4"/>
    <x v="0"/>
    <s v="555-4249"/>
    <x v="1"/>
    <s v="Gym|Sauna|Fireplace|Elevator"/>
  </r>
  <r>
    <n v="1084"/>
    <s v="Property 1084"/>
    <x v="0"/>
    <x v="2"/>
    <n v="644807"/>
    <d v="2024-04-01T00:00:00"/>
    <x v="37"/>
    <n v="673430"/>
    <n v="4445"/>
    <x v="37"/>
    <n v="5"/>
    <n v="4"/>
    <x v="1"/>
    <n v="2020"/>
    <n v="1"/>
    <n v="4"/>
    <x v="8"/>
    <s v="555-6806"/>
    <x v="0"/>
    <s v="Barn|Garage|Garden|Gym"/>
  </r>
  <r>
    <n v="1085"/>
    <s v="Property 1085"/>
    <x v="0"/>
    <x v="0"/>
    <n v="472191"/>
    <d v="2024-06-23T00:00:00"/>
    <x v="1"/>
    <m/>
    <n v="1249"/>
    <x v="1"/>
    <n v="6"/>
    <n v="5"/>
    <x v="3"/>
    <n v="2005"/>
    <n v="9"/>
    <n v="4"/>
    <x v="4"/>
    <s v="555-3484"/>
    <x v="1"/>
    <s v="Sauna|Garage"/>
  </r>
  <r>
    <n v="1086"/>
    <s v="Property 1086"/>
    <x v="4"/>
    <x v="2"/>
    <n v="431070"/>
    <d v="2024-11-03T00:00:00"/>
    <x v="1"/>
    <m/>
    <n v="2009"/>
    <x v="1"/>
    <n v="6"/>
    <n v="2"/>
    <x v="2"/>
    <n v="2014"/>
    <n v="5"/>
    <n v="1"/>
    <x v="9"/>
    <s v="555-3743"/>
    <x v="1"/>
    <s v="Garage|Gym"/>
  </r>
  <r>
    <n v="1087"/>
    <s v="Property 1087"/>
    <x v="3"/>
    <x v="1"/>
    <n v="706837"/>
    <d v="2024-02-10T00:00:00"/>
    <x v="1"/>
    <m/>
    <n v="1244"/>
    <x v="1"/>
    <n v="2"/>
    <n v="4"/>
    <x v="1"/>
    <n v="2020"/>
    <n v="9"/>
    <n v="2"/>
    <x v="7"/>
    <s v="555-8054"/>
    <x v="1"/>
    <s v="Garage|Sauna|Fireplace"/>
  </r>
  <r>
    <n v="1088"/>
    <s v="Property 1088"/>
    <x v="4"/>
    <x v="2"/>
    <n v="814372"/>
    <d v="2024-04-28T00:00:00"/>
    <x v="38"/>
    <n v="835150"/>
    <n v="1612"/>
    <x v="38"/>
    <n v="5"/>
    <n v="5"/>
    <x v="2"/>
    <n v="2012"/>
    <n v="6"/>
    <n v="2"/>
    <x v="3"/>
    <s v="555-5704"/>
    <x v="0"/>
    <s v="Pool|Fireplace|Gym|Sauna"/>
  </r>
  <r>
    <n v="1089"/>
    <s v="Property 1089"/>
    <x v="4"/>
    <x v="2"/>
    <n v="370947"/>
    <d v="2024-08-08T00:00:00"/>
    <x v="1"/>
    <m/>
    <n v="1906"/>
    <x v="1"/>
    <n v="4"/>
    <n v="5"/>
    <x v="2"/>
    <n v="2007"/>
    <n v="4"/>
    <n v="4"/>
    <x v="2"/>
    <s v="555-5069"/>
    <x v="1"/>
    <s v="Elevator|Fireplace"/>
  </r>
  <r>
    <n v="1090"/>
    <s v="Property 1090"/>
    <x v="4"/>
    <x v="2"/>
    <n v="349522"/>
    <d v="2024-11-25T00:00:00"/>
    <x v="39"/>
    <n v="369566"/>
    <n v="4543"/>
    <x v="39"/>
    <n v="5"/>
    <n v="5"/>
    <x v="1"/>
    <n v="2008"/>
    <n v="8"/>
    <n v="4"/>
    <x v="8"/>
    <s v="555-2507"/>
    <x v="0"/>
    <s v="Barn|Gym"/>
  </r>
  <r>
    <n v="1091"/>
    <s v="Property 1091"/>
    <x v="3"/>
    <x v="2"/>
    <n v="963122"/>
    <d v="2024-04-27T00:00:00"/>
    <x v="40"/>
    <n v="986062"/>
    <n v="2064"/>
    <x v="40"/>
    <n v="3"/>
    <n v="3"/>
    <x v="2"/>
    <n v="2001"/>
    <n v="10"/>
    <n v="4"/>
    <x v="5"/>
    <s v="555-8682"/>
    <x v="0"/>
    <s v="Garden"/>
  </r>
  <r>
    <n v="1092"/>
    <s v="Property 1092"/>
    <x v="3"/>
    <x v="1"/>
    <n v="305555"/>
    <d v="2024-05-23T00:00:00"/>
    <x v="41"/>
    <n v="326053"/>
    <n v="2565"/>
    <x v="41"/>
    <n v="3"/>
    <n v="2"/>
    <x v="2"/>
    <n v="2000"/>
    <n v="6"/>
    <n v="2"/>
    <x v="9"/>
    <s v="555-1613"/>
    <x v="0"/>
    <s v="Pool|Barn|Gym"/>
  </r>
  <r>
    <n v="1093"/>
    <s v="Property 1093"/>
    <x v="2"/>
    <x v="1"/>
    <n v="414118"/>
    <d v="2024-05-15T00:00:00"/>
    <x v="42"/>
    <n v="437328"/>
    <n v="2571"/>
    <x v="42"/>
    <n v="6"/>
    <n v="4"/>
    <x v="3"/>
    <n v="2015"/>
    <n v="8"/>
    <n v="4"/>
    <x v="5"/>
    <s v="555-5048"/>
    <x v="0"/>
    <s v="Elevator"/>
  </r>
  <r>
    <n v="1094"/>
    <s v="Property 1094"/>
    <x v="4"/>
    <x v="1"/>
    <n v="991215"/>
    <d v="2024-02-23T00:00:00"/>
    <x v="1"/>
    <m/>
    <n v="1690"/>
    <x v="1"/>
    <n v="3"/>
    <n v="3"/>
    <x v="0"/>
    <n v="2020"/>
    <m/>
    <n v="3"/>
    <x v="1"/>
    <s v="555-4756"/>
    <x v="1"/>
    <s v="Elevator"/>
  </r>
  <r>
    <n v="1095"/>
    <s v="Property 1095"/>
    <x v="1"/>
    <x v="1"/>
    <n v="998822"/>
    <d v="2024-09-06T00:00:00"/>
    <x v="43"/>
    <n v="1043883"/>
    <n v="2513"/>
    <x v="43"/>
    <n v="3"/>
    <n v="5"/>
    <x v="3"/>
    <n v="2005"/>
    <n v="4"/>
    <n v="3"/>
    <x v="7"/>
    <s v="555-2085"/>
    <x v="0"/>
    <s v="Garage"/>
  </r>
  <r>
    <n v="1096"/>
    <s v="Property 1096"/>
    <x v="1"/>
    <x v="0"/>
    <n v="911549"/>
    <d v="2024-09-30T00:00:00"/>
    <x v="44"/>
    <n v="941362"/>
    <n v="2104"/>
    <x v="44"/>
    <n v="5"/>
    <n v="2"/>
    <x v="0"/>
    <n v="2005"/>
    <m/>
    <n v="2"/>
    <x v="6"/>
    <s v="555-3934"/>
    <x v="0"/>
    <s v="Garage|Garden|Pool|Barn"/>
  </r>
  <r>
    <n v="1097"/>
    <s v="Property 1097"/>
    <x v="3"/>
    <x v="2"/>
    <n v="711652"/>
    <d v="2024-02-18T00:00:00"/>
    <x v="45"/>
    <n v="742017"/>
    <n v="2705"/>
    <x v="45"/>
    <n v="5"/>
    <n v="4"/>
    <x v="0"/>
    <n v="2006"/>
    <m/>
    <n v="1"/>
    <x v="4"/>
    <s v="555-9053"/>
    <x v="0"/>
    <s v="Garage|Fireplace|Gym"/>
  </r>
  <r>
    <n v="1098"/>
    <s v="Property 1098"/>
    <x v="3"/>
    <x v="0"/>
    <n v="921362"/>
    <d v="2024-07-10T00:00:00"/>
    <x v="1"/>
    <m/>
    <n v="3655"/>
    <x v="1"/>
    <n v="4"/>
    <n v="5"/>
    <x v="0"/>
    <n v="2008"/>
    <m/>
    <n v="2"/>
    <x v="4"/>
    <s v="555-9662"/>
    <x v="1"/>
    <s v="Pool|Sauna|Garden"/>
  </r>
  <r>
    <n v="1099"/>
    <s v="Property 1099"/>
    <x v="0"/>
    <x v="2"/>
    <n v="816278"/>
    <d v="2024-07-21T00:00:00"/>
    <x v="1"/>
    <m/>
    <n v="3233"/>
    <x v="1"/>
    <n v="3"/>
    <n v="4"/>
    <x v="2"/>
    <n v="2023"/>
    <n v="4"/>
    <n v="2"/>
    <x v="0"/>
    <s v="555-9394"/>
    <x v="1"/>
    <s v="Garden|Garage|Sauna"/>
  </r>
  <r>
    <n v="1100"/>
    <s v="Property 1100"/>
    <x v="4"/>
    <x v="0"/>
    <n v="372812"/>
    <d v="2024-10-07T00:00:00"/>
    <x v="46"/>
    <n v="408926"/>
    <n v="3254"/>
    <x v="46"/>
    <n v="3"/>
    <n v="5"/>
    <x v="0"/>
    <n v="2012"/>
    <m/>
    <n v="1"/>
    <x v="3"/>
    <s v="555-1345"/>
    <x v="0"/>
    <s v="Sauna|Elevator|Garage"/>
  </r>
  <r>
    <n v="1101"/>
    <s v="Property 1101"/>
    <x v="2"/>
    <x v="2"/>
    <n v="392190"/>
    <d v="2024-10-15T00:00:00"/>
    <x v="47"/>
    <n v="440106"/>
    <n v="1215"/>
    <x v="47"/>
    <n v="3"/>
    <n v="3"/>
    <x v="3"/>
    <n v="2020"/>
    <n v="7"/>
    <n v="1"/>
    <x v="3"/>
    <s v="555-3780"/>
    <x v="0"/>
    <s v="Garage|Barn|Sauna|Garden"/>
  </r>
  <r>
    <n v="1102"/>
    <s v="Property 1102"/>
    <x v="1"/>
    <x v="2"/>
    <n v="376017"/>
    <d v="2024-03-29T00:00:00"/>
    <x v="1"/>
    <m/>
    <n v="2255"/>
    <x v="1"/>
    <n v="5"/>
    <n v="3"/>
    <x v="1"/>
    <n v="2017"/>
    <n v="6"/>
    <n v="3"/>
    <x v="3"/>
    <s v="555-4001"/>
    <x v="1"/>
    <s v="Elevator"/>
  </r>
  <r>
    <n v="1103"/>
    <s v="Property 1103"/>
    <x v="1"/>
    <x v="1"/>
    <n v="707641"/>
    <d v="2024-03-03T00:00:00"/>
    <x v="1"/>
    <m/>
    <n v="2665"/>
    <x v="1"/>
    <n v="6"/>
    <n v="5"/>
    <x v="1"/>
    <n v="2022"/>
    <n v="3"/>
    <n v="4"/>
    <x v="3"/>
    <s v="555-3059"/>
    <x v="1"/>
    <s v="Pool|Garage|Elevator"/>
  </r>
  <r>
    <n v="1104"/>
    <s v="Property 1104"/>
    <x v="1"/>
    <x v="1"/>
    <n v="649268"/>
    <d v="2024-08-20T00:00:00"/>
    <x v="48"/>
    <n v="697073"/>
    <n v="2035"/>
    <x v="48"/>
    <n v="2"/>
    <n v="4"/>
    <x v="0"/>
    <n v="2005"/>
    <m/>
    <n v="3"/>
    <x v="1"/>
    <s v="555-3633"/>
    <x v="0"/>
    <s v="Sauna|Garage"/>
  </r>
  <r>
    <n v="1105"/>
    <s v="Property 1105"/>
    <x v="3"/>
    <x v="1"/>
    <n v="965868"/>
    <d v="2024-08-15T00:00:00"/>
    <x v="49"/>
    <n v="991727"/>
    <n v="3473"/>
    <x v="49"/>
    <n v="4"/>
    <n v="2"/>
    <x v="3"/>
    <n v="2002"/>
    <n v="7"/>
    <n v="2"/>
    <x v="5"/>
    <s v="555-9639"/>
    <x v="0"/>
    <s v="Barn|Elevator|Garden|Pool"/>
  </r>
  <r>
    <n v="1106"/>
    <s v="Property 1106"/>
    <x v="2"/>
    <x v="2"/>
    <n v="742256"/>
    <d v="2024-07-29T00:00:00"/>
    <x v="50"/>
    <n v="777309"/>
    <n v="4104"/>
    <x v="50"/>
    <n v="2"/>
    <n v="5"/>
    <x v="2"/>
    <n v="2005"/>
    <n v="10"/>
    <n v="2"/>
    <x v="6"/>
    <s v="555-9848"/>
    <x v="0"/>
    <s v="Pool"/>
  </r>
  <r>
    <n v="1107"/>
    <s v="Property 1107"/>
    <x v="2"/>
    <x v="1"/>
    <n v="519702"/>
    <d v="2024-10-15T00:00:00"/>
    <x v="1"/>
    <m/>
    <n v="3545"/>
    <x v="1"/>
    <n v="5"/>
    <n v="3"/>
    <x v="2"/>
    <n v="2001"/>
    <n v="8"/>
    <n v="1"/>
    <x v="8"/>
    <s v="555-9982"/>
    <x v="1"/>
    <s v="Fireplace|Barn|Sauna|Pool"/>
  </r>
  <r>
    <n v="1108"/>
    <s v="Property 1108"/>
    <x v="3"/>
    <x v="2"/>
    <n v="350108"/>
    <d v="2024-06-03T00:00:00"/>
    <x v="1"/>
    <m/>
    <n v="2428"/>
    <x v="1"/>
    <n v="3"/>
    <n v="4"/>
    <x v="0"/>
    <n v="2009"/>
    <m/>
    <n v="3"/>
    <x v="2"/>
    <s v="555-8471"/>
    <x v="1"/>
    <s v="Garage"/>
  </r>
  <r>
    <n v="1109"/>
    <s v="Property 1109"/>
    <x v="4"/>
    <x v="1"/>
    <n v="443932"/>
    <d v="2024-04-20T00:00:00"/>
    <x v="3"/>
    <n v="469610"/>
    <n v="1107"/>
    <x v="51"/>
    <n v="6"/>
    <n v="2"/>
    <x v="2"/>
    <n v="2017"/>
    <n v="4"/>
    <n v="2"/>
    <x v="0"/>
    <s v="555-4353"/>
    <x v="0"/>
    <s v="Garage|Elevator|Pool"/>
  </r>
  <r>
    <n v="1110"/>
    <s v="Property 1110"/>
    <x v="1"/>
    <x v="1"/>
    <n v="541113"/>
    <d v="2024-11-22T00:00:00"/>
    <x v="1"/>
    <m/>
    <n v="3012"/>
    <x v="1"/>
    <n v="2"/>
    <n v="3"/>
    <x v="1"/>
    <n v="2003"/>
    <n v="8"/>
    <n v="3"/>
    <x v="5"/>
    <s v="555-4012"/>
    <x v="1"/>
    <s v="Barn|Fireplace|Garden"/>
  </r>
  <r>
    <n v="1111"/>
    <s v="Property 1111"/>
    <x v="4"/>
    <x v="1"/>
    <n v="546329"/>
    <d v="2024-06-11T00:00:00"/>
    <x v="51"/>
    <n v="565654"/>
    <n v="4995"/>
    <x v="52"/>
    <n v="4"/>
    <n v="5"/>
    <x v="3"/>
    <n v="2003"/>
    <n v="1"/>
    <n v="2"/>
    <x v="4"/>
    <s v="555-9615"/>
    <x v="0"/>
    <s v="Garden|Pool|Fireplace"/>
  </r>
  <r>
    <n v="1112"/>
    <s v="Property 1112"/>
    <x v="2"/>
    <x v="2"/>
    <n v="570525"/>
    <d v="2024-01-25T00:00:00"/>
    <x v="52"/>
    <n v="588314"/>
    <n v="2458"/>
    <x v="53"/>
    <n v="2"/>
    <n v="5"/>
    <x v="1"/>
    <n v="2012"/>
    <n v="10"/>
    <n v="1"/>
    <x v="3"/>
    <s v="555-6166"/>
    <x v="0"/>
    <s v="Pool|Elevator|Fireplace"/>
  </r>
  <r>
    <n v="1113"/>
    <s v="Property 1113"/>
    <x v="0"/>
    <x v="1"/>
    <n v="697682"/>
    <d v="2024-11-22T00:00:00"/>
    <x v="53"/>
    <n v="747092"/>
    <n v="1781"/>
    <x v="54"/>
    <n v="4"/>
    <n v="3"/>
    <x v="0"/>
    <n v="2006"/>
    <m/>
    <n v="4"/>
    <x v="3"/>
    <s v="555-7855"/>
    <x v="0"/>
    <s v="Pool"/>
  </r>
  <r>
    <n v="1114"/>
    <s v="Property 1114"/>
    <x v="4"/>
    <x v="0"/>
    <n v="565076"/>
    <d v="2024-02-24T00:00:00"/>
    <x v="54"/>
    <n v="583695"/>
    <n v="4125"/>
    <x v="55"/>
    <n v="5"/>
    <n v="5"/>
    <x v="0"/>
    <n v="2022"/>
    <m/>
    <n v="4"/>
    <x v="0"/>
    <s v="555-2354"/>
    <x v="0"/>
    <s v="Elevator|Fireplace|Garage"/>
  </r>
  <r>
    <n v="1115"/>
    <s v="Property 1115"/>
    <x v="0"/>
    <x v="1"/>
    <n v="700354"/>
    <d v="2024-03-14T00:00:00"/>
    <x v="1"/>
    <m/>
    <n v="2187"/>
    <x v="1"/>
    <n v="6"/>
    <n v="4"/>
    <x v="0"/>
    <n v="2002"/>
    <m/>
    <n v="2"/>
    <x v="6"/>
    <s v="555-8690"/>
    <x v="1"/>
    <s v="Fireplace|Garage|Garden|Sauna"/>
  </r>
  <r>
    <n v="1116"/>
    <s v="Property 1116"/>
    <x v="4"/>
    <x v="1"/>
    <n v="552374"/>
    <d v="2024-04-24T00:00:00"/>
    <x v="1"/>
    <m/>
    <n v="1864"/>
    <x v="1"/>
    <n v="4"/>
    <n v="3"/>
    <x v="0"/>
    <n v="2013"/>
    <m/>
    <n v="2"/>
    <x v="7"/>
    <s v="555-6665"/>
    <x v="1"/>
    <s v="Fireplace"/>
  </r>
  <r>
    <n v="1117"/>
    <s v="Property 1117"/>
    <x v="3"/>
    <x v="1"/>
    <n v="665781"/>
    <d v="2024-05-08T00:00:00"/>
    <x v="1"/>
    <m/>
    <n v="4511"/>
    <x v="1"/>
    <n v="5"/>
    <n v="4"/>
    <x v="3"/>
    <n v="2022"/>
    <n v="10"/>
    <n v="1"/>
    <x v="9"/>
    <s v="555-6610"/>
    <x v="1"/>
    <s v="Fireplace|Gym|Sauna"/>
  </r>
  <r>
    <n v="1118"/>
    <s v="Property 1118"/>
    <x v="0"/>
    <x v="2"/>
    <n v="907199"/>
    <d v="2024-02-26T00:00:00"/>
    <x v="55"/>
    <n v="933974"/>
    <n v="2426"/>
    <x v="56"/>
    <n v="5"/>
    <n v="4"/>
    <x v="2"/>
    <n v="2000"/>
    <n v="7"/>
    <n v="2"/>
    <x v="4"/>
    <s v="555-8577"/>
    <x v="0"/>
    <s v="Gym|Barn|Fireplace"/>
  </r>
  <r>
    <n v="1119"/>
    <s v="Property 1119"/>
    <x v="4"/>
    <x v="2"/>
    <n v="333112"/>
    <d v="2024-08-10T00:00:00"/>
    <x v="1"/>
    <m/>
    <n v="2602"/>
    <x v="1"/>
    <n v="3"/>
    <n v="3"/>
    <x v="0"/>
    <n v="2000"/>
    <m/>
    <n v="1"/>
    <x v="0"/>
    <s v="555-8123"/>
    <x v="1"/>
    <s v="Gym|Garden|Pool"/>
  </r>
  <r>
    <n v="1120"/>
    <s v="Property 1120"/>
    <x v="2"/>
    <x v="1"/>
    <n v="847872"/>
    <d v="2024-12-14T00:00:00"/>
    <x v="56"/>
    <n v="858691"/>
    <n v="1843"/>
    <x v="57"/>
    <n v="2"/>
    <n v="5"/>
    <x v="3"/>
    <n v="2010"/>
    <n v="6"/>
    <n v="4"/>
    <x v="0"/>
    <s v="555-7732"/>
    <x v="0"/>
    <s v="Garage|Barn|Fireplace|Gym"/>
  </r>
  <r>
    <n v="1121"/>
    <s v="Property 1121"/>
    <x v="2"/>
    <x v="0"/>
    <n v="860651"/>
    <d v="2024-02-14T00:00:00"/>
    <x v="1"/>
    <m/>
    <n v="2396"/>
    <x v="1"/>
    <n v="3"/>
    <n v="5"/>
    <x v="1"/>
    <n v="2004"/>
    <n v="8"/>
    <n v="1"/>
    <x v="7"/>
    <s v="555-3457"/>
    <x v="1"/>
    <s v="Garage"/>
  </r>
  <r>
    <n v="1122"/>
    <s v="Property 1122"/>
    <x v="1"/>
    <x v="1"/>
    <n v="560813"/>
    <d v="2024-08-03T00:00:00"/>
    <x v="57"/>
    <n v="608506"/>
    <n v="2866"/>
    <x v="58"/>
    <n v="6"/>
    <n v="2"/>
    <x v="3"/>
    <n v="2007"/>
    <n v="10"/>
    <n v="1"/>
    <x v="3"/>
    <s v="555-2475"/>
    <x v="0"/>
    <s v="Fireplace"/>
  </r>
  <r>
    <n v="1123"/>
    <s v="Property 1123"/>
    <x v="2"/>
    <x v="1"/>
    <n v="686118"/>
    <d v="2024-08-03T00:00:00"/>
    <x v="32"/>
    <n v="704022"/>
    <n v="3363"/>
    <x v="59"/>
    <n v="6"/>
    <n v="4"/>
    <x v="1"/>
    <n v="2019"/>
    <n v="3"/>
    <n v="1"/>
    <x v="2"/>
    <s v="555-1536"/>
    <x v="0"/>
    <s v="Pool|Gym"/>
  </r>
  <r>
    <n v="1124"/>
    <s v="Property 1124"/>
    <x v="0"/>
    <x v="0"/>
    <n v="971193"/>
    <d v="2024-02-12T00:00:00"/>
    <x v="1"/>
    <m/>
    <n v="1150"/>
    <x v="1"/>
    <n v="4"/>
    <n v="2"/>
    <x v="2"/>
    <n v="2003"/>
    <n v="7"/>
    <n v="1"/>
    <x v="2"/>
    <s v="555-7335"/>
    <x v="1"/>
    <s v="Gym|Elevator|Garden"/>
  </r>
  <r>
    <n v="1125"/>
    <s v="Property 1125"/>
    <x v="3"/>
    <x v="0"/>
    <n v="502707"/>
    <d v="2024-11-20T00:00:00"/>
    <x v="1"/>
    <m/>
    <n v="3805"/>
    <x v="1"/>
    <n v="3"/>
    <n v="3"/>
    <x v="2"/>
    <n v="2016"/>
    <n v="3"/>
    <n v="1"/>
    <x v="8"/>
    <s v="555-1224"/>
    <x v="1"/>
    <s v="Fireplace|Garage|Garden|Pool"/>
  </r>
  <r>
    <n v="1126"/>
    <s v="Property 1126"/>
    <x v="4"/>
    <x v="0"/>
    <n v="670924"/>
    <d v="2024-07-07T00:00:00"/>
    <x v="58"/>
    <n v="687396"/>
    <n v="4308"/>
    <x v="60"/>
    <n v="2"/>
    <n v="3"/>
    <x v="1"/>
    <n v="2010"/>
    <n v="3"/>
    <n v="4"/>
    <x v="8"/>
    <s v="555-2871"/>
    <x v="0"/>
    <s v="Pool|Fireplace"/>
  </r>
  <r>
    <n v="1127"/>
    <s v="Property 1127"/>
    <x v="0"/>
    <x v="1"/>
    <n v="449740"/>
    <d v="2024-10-13T00:00:00"/>
    <x v="1"/>
    <m/>
    <n v="3010"/>
    <x v="1"/>
    <n v="4"/>
    <n v="3"/>
    <x v="3"/>
    <n v="2005"/>
    <n v="2"/>
    <n v="2"/>
    <x v="1"/>
    <s v="555-5477"/>
    <x v="1"/>
    <s v="Garage"/>
  </r>
  <r>
    <n v="1128"/>
    <s v="Property 1128"/>
    <x v="2"/>
    <x v="1"/>
    <n v="942605"/>
    <d v="2023-12-21T00:00:00"/>
    <x v="59"/>
    <n v="970505"/>
    <n v="1591"/>
    <x v="61"/>
    <n v="5"/>
    <n v="5"/>
    <x v="0"/>
    <n v="2010"/>
    <m/>
    <n v="4"/>
    <x v="0"/>
    <s v="555-3222"/>
    <x v="0"/>
    <s v="Pool|Barn|Sauna|Gym"/>
  </r>
  <r>
    <n v="1129"/>
    <s v="Property 1129"/>
    <x v="1"/>
    <x v="1"/>
    <n v="775444"/>
    <d v="2024-09-21T00:00:00"/>
    <x v="1"/>
    <m/>
    <n v="3787"/>
    <x v="1"/>
    <n v="6"/>
    <n v="4"/>
    <x v="3"/>
    <n v="2016"/>
    <n v="1"/>
    <n v="3"/>
    <x v="4"/>
    <s v="555-2976"/>
    <x v="1"/>
    <s v="Garage|Garden"/>
  </r>
  <r>
    <n v="1130"/>
    <s v="Property 1130"/>
    <x v="0"/>
    <x v="1"/>
    <n v="536327"/>
    <d v="2024-11-29T00:00:00"/>
    <x v="1"/>
    <m/>
    <n v="3881"/>
    <x v="1"/>
    <n v="5"/>
    <n v="4"/>
    <x v="0"/>
    <n v="2000"/>
    <m/>
    <n v="2"/>
    <x v="1"/>
    <s v="555-5708"/>
    <x v="1"/>
    <s v="Gym|Pool|Elevator|Fireplace"/>
  </r>
  <r>
    <n v="1131"/>
    <s v="Property 1131"/>
    <x v="2"/>
    <x v="0"/>
    <n v="431448"/>
    <d v="2024-12-04T00:00:00"/>
    <x v="60"/>
    <n v="441929"/>
    <n v="2547"/>
    <x v="62"/>
    <n v="2"/>
    <n v="5"/>
    <x v="1"/>
    <n v="2002"/>
    <n v="7"/>
    <n v="2"/>
    <x v="6"/>
    <s v="555-9076"/>
    <x v="0"/>
    <s v="Fireplace|Barn|Pool|Sauna"/>
  </r>
  <r>
    <n v="1132"/>
    <s v="Property 1132"/>
    <x v="3"/>
    <x v="2"/>
    <n v="325178"/>
    <d v="2024-11-11T00:00:00"/>
    <x v="61"/>
    <n v="349331"/>
    <n v="2705"/>
    <x v="63"/>
    <n v="4"/>
    <n v="4"/>
    <x v="0"/>
    <n v="2011"/>
    <m/>
    <n v="4"/>
    <x v="0"/>
    <s v="555-1077"/>
    <x v="0"/>
    <s v="Barn"/>
  </r>
  <r>
    <n v="1133"/>
    <s v="Property 1133"/>
    <x v="3"/>
    <x v="2"/>
    <n v="382374"/>
    <d v="2024-10-21T00:00:00"/>
    <x v="1"/>
    <m/>
    <n v="2287"/>
    <x v="1"/>
    <n v="5"/>
    <n v="2"/>
    <x v="3"/>
    <n v="2014"/>
    <n v="5"/>
    <n v="2"/>
    <x v="2"/>
    <s v="555-5079"/>
    <x v="1"/>
    <s v="Pool|Barn|Garden|Elevator"/>
  </r>
  <r>
    <n v="1134"/>
    <s v="Property 1134"/>
    <x v="3"/>
    <x v="0"/>
    <n v="799297"/>
    <d v="2024-11-25T00:00:00"/>
    <x v="1"/>
    <m/>
    <n v="2842"/>
    <x v="1"/>
    <n v="5"/>
    <n v="4"/>
    <x v="0"/>
    <n v="2013"/>
    <m/>
    <n v="2"/>
    <x v="7"/>
    <s v="555-6350"/>
    <x v="1"/>
    <s v="Gym"/>
  </r>
  <r>
    <n v="1135"/>
    <s v="Property 1135"/>
    <x v="0"/>
    <x v="2"/>
    <n v="891717"/>
    <d v="2024-11-28T00:00:00"/>
    <x v="1"/>
    <m/>
    <n v="2955"/>
    <x v="1"/>
    <n v="4"/>
    <n v="3"/>
    <x v="2"/>
    <n v="2021"/>
    <n v="4"/>
    <n v="4"/>
    <x v="8"/>
    <s v="555-1048"/>
    <x v="1"/>
    <s v="Garden|Barn|Fireplace|Garage"/>
  </r>
  <r>
    <n v="1136"/>
    <s v="Property 1136"/>
    <x v="2"/>
    <x v="0"/>
    <n v="761189"/>
    <d v="2024-11-08T00:00:00"/>
    <x v="62"/>
    <n v="771343"/>
    <n v="2265"/>
    <x v="64"/>
    <n v="2"/>
    <n v="4"/>
    <x v="2"/>
    <n v="2015"/>
    <n v="1"/>
    <n v="3"/>
    <x v="2"/>
    <s v="555-7737"/>
    <x v="0"/>
    <s v="Sauna|Pool|Fireplace"/>
  </r>
  <r>
    <n v="1137"/>
    <s v="Property 1137"/>
    <x v="4"/>
    <x v="2"/>
    <n v="586729"/>
    <d v="2024-07-23T00:00:00"/>
    <x v="1"/>
    <m/>
    <n v="1870"/>
    <x v="1"/>
    <n v="3"/>
    <n v="3"/>
    <x v="2"/>
    <n v="2004"/>
    <n v="6"/>
    <n v="1"/>
    <x v="3"/>
    <s v="555-7652"/>
    <x v="1"/>
    <s v="Sauna|Fireplace"/>
  </r>
  <r>
    <n v="1138"/>
    <s v="Property 1138"/>
    <x v="0"/>
    <x v="0"/>
    <n v="938832"/>
    <d v="2024-04-05T00:00:00"/>
    <x v="1"/>
    <m/>
    <n v="2998"/>
    <x v="1"/>
    <n v="5"/>
    <n v="4"/>
    <x v="2"/>
    <n v="2007"/>
    <n v="7"/>
    <n v="2"/>
    <x v="7"/>
    <s v="555-9869"/>
    <x v="1"/>
    <s v="Pool|Gym|Sauna"/>
  </r>
  <r>
    <n v="1139"/>
    <s v="Property 1139"/>
    <x v="4"/>
    <x v="1"/>
    <n v="892516"/>
    <d v="2024-07-06T00:00:00"/>
    <x v="63"/>
    <n v="929548"/>
    <n v="2948"/>
    <x v="65"/>
    <n v="6"/>
    <n v="4"/>
    <x v="1"/>
    <n v="2005"/>
    <n v="10"/>
    <n v="1"/>
    <x v="3"/>
    <s v="555-1378"/>
    <x v="0"/>
    <s v="Barn"/>
  </r>
  <r>
    <n v="1140"/>
    <s v="Property 1140"/>
    <x v="3"/>
    <x v="0"/>
    <n v="553633"/>
    <d v="2024-11-07T00:00:00"/>
    <x v="64"/>
    <n v="590100"/>
    <n v="2247"/>
    <x v="66"/>
    <n v="6"/>
    <n v="2"/>
    <x v="1"/>
    <n v="2007"/>
    <n v="5"/>
    <n v="1"/>
    <x v="1"/>
    <s v="555-1959"/>
    <x v="0"/>
    <s v="Sauna|Garden|Garage|Barn"/>
  </r>
  <r>
    <n v="1141"/>
    <s v="Property 1141"/>
    <x v="2"/>
    <x v="0"/>
    <n v="335855"/>
    <d v="2024-01-08T00:00:00"/>
    <x v="65"/>
    <n v="349016"/>
    <n v="3275"/>
    <x v="67"/>
    <n v="4"/>
    <n v="4"/>
    <x v="1"/>
    <n v="2006"/>
    <n v="2"/>
    <n v="3"/>
    <x v="1"/>
    <s v="555-3151"/>
    <x v="0"/>
    <s v="Garden"/>
  </r>
  <r>
    <n v="1142"/>
    <s v="Property 1142"/>
    <x v="3"/>
    <x v="2"/>
    <n v="589729"/>
    <d v="2024-03-14T00:00:00"/>
    <x v="1"/>
    <m/>
    <n v="1774"/>
    <x v="1"/>
    <n v="4"/>
    <n v="3"/>
    <x v="1"/>
    <n v="2003"/>
    <n v="6"/>
    <n v="2"/>
    <x v="3"/>
    <s v="555-3584"/>
    <x v="1"/>
    <s v="Gym"/>
  </r>
  <r>
    <n v="1143"/>
    <s v="Property 1143"/>
    <x v="1"/>
    <x v="0"/>
    <n v="898705"/>
    <d v="2024-08-27T00:00:00"/>
    <x v="1"/>
    <m/>
    <n v="2027"/>
    <x v="1"/>
    <n v="3"/>
    <n v="4"/>
    <x v="1"/>
    <n v="2014"/>
    <n v="5"/>
    <n v="4"/>
    <x v="7"/>
    <s v="555-9619"/>
    <x v="1"/>
    <s v="Gym|Garden"/>
  </r>
  <r>
    <n v="1144"/>
    <s v="Property 1144"/>
    <x v="2"/>
    <x v="2"/>
    <n v="639380"/>
    <d v="2024-10-28T00:00:00"/>
    <x v="1"/>
    <m/>
    <n v="4594"/>
    <x v="1"/>
    <n v="5"/>
    <n v="3"/>
    <x v="1"/>
    <n v="2002"/>
    <n v="4"/>
    <n v="3"/>
    <x v="6"/>
    <s v="555-7441"/>
    <x v="1"/>
    <s v="Gym|Pool"/>
  </r>
  <r>
    <n v="1145"/>
    <s v="Property 1145"/>
    <x v="3"/>
    <x v="2"/>
    <n v="650038"/>
    <d v="2024-10-01T00:00:00"/>
    <x v="66"/>
    <n v="693206"/>
    <n v="4121"/>
    <x v="68"/>
    <n v="2"/>
    <n v="4"/>
    <x v="3"/>
    <n v="2022"/>
    <n v="2"/>
    <n v="3"/>
    <x v="5"/>
    <s v="555-1390"/>
    <x v="0"/>
    <s v="Gym"/>
  </r>
  <r>
    <n v="1146"/>
    <s v="Property 1146"/>
    <x v="0"/>
    <x v="1"/>
    <n v="546552"/>
    <d v="2024-06-15T00:00:00"/>
    <x v="1"/>
    <m/>
    <n v="2437"/>
    <x v="1"/>
    <n v="3"/>
    <n v="4"/>
    <x v="2"/>
    <n v="2023"/>
    <n v="7"/>
    <n v="2"/>
    <x v="0"/>
    <s v="555-6490"/>
    <x v="1"/>
    <s v="Barn"/>
  </r>
  <r>
    <n v="1147"/>
    <s v="Property 1147"/>
    <x v="3"/>
    <x v="0"/>
    <n v="963953"/>
    <d v="2023-12-23T00:00:00"/>
    <x v="1"/>
    <m/>
    <n v="4908"/>
    <x v="1"/>
    <n v="6"/>
    <n v="2"/>
    <x v="0"/>
    <n v="2018"/>
    <m/>
    <n v="2"/>
    <x v="4"/>
    <s v="555-3374"/>
    <x v="1"/>
    <s v="Pool|Garden|Garage"/>
  </r>
  <r>
    <n v="1148"/>
    <s v="Property 1148"/>
    <x v="3"/>
    <x v="2"/>
    <n v="510260"/>
    <d v="2024-10-29T00:00:00"/>
    <x v="15"/>
    <n v="554727"/>
    <n v="4560"/>
    <x v="69"/>
    <n v="3"/>
    <n v="2"/>
    <x v="2"/>
    <n v="2004"/>
    <n v="5"/>
    <n v="1"/>
    <x v="8"/>
    <s v="555-7212"/>
    <x v="0"/>
    <s v="Garage|Sauna"/>
  </r>
  <r>
    <n v="1149"/>
    <s v="Property 1149"/>
    <x v="4"/>
    <x v="2"/>
    <n v="310575"/>
    <d v="2024-06-30T00:00:00"/>
    <x v="1"/>
    <m/>
    <n v="1576"/>
    <x v="1"/>
    <n v="3"/>
    <n v="4"/>
    <x v="0"/>
    <n v="2020"/>
    <m/>
    <n v="2"/>
    <x v="1"/>
    <s v="555-3455"/>
    <x v="1"/>
    <s v="Fireplace|Garden|Garage|Elevator"/>
  </r>
  <r>
    <n v="1150"/>
    <s v="Property 1150"/>
    <x v="3"/>
    <x v="0"/>
    <n v="399956"/>
    <d v="2024-02-10T00:00:00"/>
    <x v="67"/>
    <n v="436939"/>
    <n v="3306"/>
    <x v="70"/>
    <n v="3"/>
    <n v="3"/>
    <x v="2"/>
    <n v="2005"/>
    <n v="9"/>
    <n v="1"/>
    <x v="9"/>
    <s v="555-6505"/>
    <x v="0"/>
    <s v="Fireplace|Elevator"/>
  </r>
  <r>
    <n v="1151"/>
    <s v="Property 1151"/>
    <x v="0"/>
    <x v="1"/>
    <n v="842851"/>
    <d v="2024-08-13T00:00:00"/>
    <x v="4"/>
    <n v="879136"/>
    <n v="1153"/>
    <x v="71"/>
    <n v="5"/>
    <n v="4"/>
    <x v="0"/>
    <n v="2015"/>
    <m/>
    <n v="2"/>
    <x v="5"/>
    <s v="555-3606"/>
    <x v="0"/>
    <s v="Pool|Garage"/>
  </r>
  <r>
    <n v="1152"/>
    <s v="Property 1152"/>
    <x v="0"/>
    <x v="1"/>
    <n v="353329"/>
    <d v="2024-03-16T00:00:00"/>
    <x v="68"/>
    <n v="381888"/>
    <n v="3129"/>
    <x v="72"/>
    <n v="4"/>
    <n v="4"/>
    <x v="3"/>
    <n v="2014"/>
    <n v="5"/>
    <n v="3"/>
    <x v="2"/>
    <s v="555-4593"/>
    <x v="0"/>
    <s v="Elevator|Sauna|Pool|Fireplace"/>
  </r>
  <r>
    <n v="1153"/>
    <s v="Property 1153"/>
    <x v="1"/>
    <x v="1"/>
    <n v="820507"/>
    <d v="2024-07-16T00:00:00"/>
    <x v="1"/>
    <m/>
    <n v="1139"/>
    <x v="1"/>
    <n v="5"/>
    <n v="3"/>
    <x v="1"/>
    <n v="2019"/>
    <n v="4"/>
    <n v="3"/>
    <x v="2"/>
    <s v="555-3048"/>
    <x v="1"/>
    <s v="Barn|Sauna|Garage|Garden"/>
  </r>
  <r>
    <n v="1154"/>
    <s v="Property 1154"/>
    <x v="2"/>
    <x v="2"/>
    <n v="792937"/>
    <d v="2024-05-04T00:00:00"/>
    <x v="1"/>
    <m/>
    <n v="3723"/>
    <x v="1"/>
    <n v="5"/>
    <n v="4"/>
    <x v="0"/>
    <n v="2021"/>
    <m/>
    <n v="4"/>
    <x v="8"/>
    <s v="555-8011"/>
    <x v="1"/>
    <s v="Garden|Garage|Pool"/>
  </r>
  <r>
    <n v="1155"/>
    <s v="Property 1155"/>
    <x v="2"/>
    <x v="1"/>
    <n v="566626"/>
    <d v="2024-06-25T00:00:00"/>
    <x v="1"/>
    <m/>
    <n v="2552"/>
    <x v="1"/>
    <n v="5"/>
    <n v="4"/>
    <x v="3"/>
    <n v="2008"/>
    <n v="3"/>
    <n v="4"/>
    <x v="3"/>
    <s v="555-7830"/>
    <x v="1"/>
    <s v="Garden|Sauna"/>
  </r>
  <r>
    <n v="1156"/>
    <s v="Property 1156"/>
    <x v="2"/>
    <x v="0"/>
    <n v="340104"/>
    <d v="2024-02-08T00:00:00"/>
    <x v="1"/>
    <m/>
    <n v="1676"/>
    <x v="1"/>
    <n v="3"/>
    <n v="2"/>
    <x v="2"/>
    <n v="2007"/>
    <n v="10"/>
    <n v="3"/>
    <x v="3"/>
    <s v="555-7788"/>
    <x v="1"/>
    <s v="Garden|Sauna"/>
  </r>
  <r>
    <n v="1157"/>
    <s v="Property 1157"/>
    <x v="2"/>
    <x v="1"/>
    <n v="684510"/>
    <d v="2024-07-06T00:00:00"/>
    <x v="1"/>
    <m/>
    <n v="2162"/>
    <x v="1"/>
    <n v="3"/>
    <n v="5"/>
    <x v="2"/>
    <n v="2022"/>
    <n v="2"/>
    <n v="1"/>
    <x v="2"/>
    <s v="555-3739"/>
    <x v="1"/>
    <s v="Fireplace|Garage"/>
  </r>
  <r>
    <n v="1158"/>
    <s v="Property 1158"/>
    <x v="3"/>
    <x v="2"/>
    <n v="349039"/>
    <d v="2024-07-12T00:00:00"/>
    <x v="1"/>
    <m/>
    <n v="4369"/>
    <x v="1"/>
    <n v="2"/>
    <n v="3"/>
    <x v="1"/>
    <n v="2023"/>
    <n v="2"/>
    <n v="2"/>
    <x v="8"/>
    <s v="555-3251"/>
    <x v="1"/>
    <s v="Sauna|Fireplace|Pool"/>
  </r>
  <r>
    <n v="1159"/>
    <s v="Property 1159"/>
    <x v="4"/>
    <x v="0"/>
    <n v="833686"/>
    <d v="2024-04-24T00:00:00"/>
    <x v="1"/>
    <m/>
    <n v="2943"/>
    <x v="1"/>
    <n v="2"/>
    <n v="2"/>
    <x v="1"/>
    <n v="2011"/>
    <n v="2"/>
    <n v="1"/>
    <x v="0"/>
    <s v="555-2260"/>
    <x v="1"/>
    <s v="Sauna|Fireplace"/>
  </r>
  <r>
    <n v="1160"/>
    <s v="Property 1160"/>
    <x v="0"/>
    <x v="2"/>
    <n v="532089"/>
    <d v="2024-05-02T00:00:00"/>
    <x v="1"/>
    <m/>
    <n v="4163"/>
    <x v="1"/>
    <n v="6"/>
    <n v="3"/>
    <x v="1"/>
    <n v="2021"/>
    <n v="1"/>
    <n v="4"/>
    <x v="1"/>
    <s v="555-5567"/>
    <x v="1"/>
    <s v="Barn|Fireplace"/>
  </r>
  <r>
    <n v="1161"/>
    <s v="Property 1161"/>
    <x v="4"/>
    <x v="0"/>
    <n v="846141"/>
    <d v="2024-08-02T00:00:00"/>
    <x v="1"/>
    <m/>
    <n v="2379"/>
    <x v="1"/>
    <n v="5"/>
    <n v="5"/>
    <x v="1"/>
    <n v="2014"/>
    <n v="6"/>
    <n v="4"/>
    <x v="1"/>
    <s v="555-2056"/>
    <x v="1"/>
    <s v="Barn"/>
  </r>
  <r>
    <n v="1162"/>
    <s v="Property 1162"/>
    <x v="1"/>
    <x v="1"/>
    <n v="977579"/>
    <d v="2024-01-13T00:00:00"/>
    <x v="1"/>
    <m/>
    <n v="3410"/>
    <x v="1"/>
    <n v="3"/>
    <n v="4"/>
    <x v="0"/>
    <n v="2013"/>
    <m/>
    <n v="3"/>
    <x v="1"/>
    <s v="555-5041"/>
    <x v="1"/>
    <s v="Pool|Sauna|Garage"/>
  </r>
  <r>
    <n v="1163"/>
    <s v="Property 1163"/>
    <x v="2"/>
    <x v="1"/>
    <n v="550341"/>
    <d v="2024-06-04T00:00:00"/>
    <x v="1"/>
    <m/>
    <n v="4949"/>
    <x v="1"/>
    <n v="3"/>
    <n v="4"/>
    <x v="1"/>
    <n v="2004"/>
    <n v="4"/>
    <n v="3"/>
    <x v="7"/>
    <s v="555-1783"/>
    <x v="1"/>
    <s v="Garage|Barn"/>
  </r>
  <r>
    <n v="1164"/>
    <s v="Property 1164"/>
    <x v="1"/>
    <x v="2"/>
    <n v="796175"/>
    <d v="2023-12-23T00:00:00"/>
    <x v="1"/>
    <m/>
    <n v="2325"/>
    <x v="1"/>
    <n v="2"/>
    <n v="2"/>
    <x v="2"/>
    <n v="2010"/>
    <n v="7"/>
    <n v="4"/>
    <x v="9"/>
    <s v="555-3953"/>
    <x v="1"/>
    <s v="Elevator"/>
  </r>
  <r>
    <n v="1165"/>
    <s v="Property 1165"/>
    <x v="4"/>
    <x v="0"/>
    <n v="747221"/>
    <d v="2024-03-22T00:00:00"/>
    <x v="1"/>
    <m/>
    <n v="4367"/>
    <x v="1"/>
    <n v="5"/>
    <n v="4"/>
    <x v="1"/>
    <n v="2003"/>
    <n v="1"/>
    <n v="2"/>
    <x v="3"/>
    <s v="555-4978"/>
    <x v="1"/>
    <s v="Garage|Barn|Gym"/>
  </r>
  <r>
    <n v="1166"/>
    <s v="Property 1166"/>
    <x v="2"/>
    <x v="0"/>
    <n v="671772"/>
    <d v="2024-05-10T00:00:00"/>
    <x v="69"/>
    <n v="709042"/>
    <n v="2838"/>
    <x v="73"/>
    <n v="5"/>
    <n v="4"/>
    <x v="0"/>
    <n v="2023"/>
    <m/>
    <n v="1"/>
    <x v="3"/>
    <s v="555-2875"/>
    <x v="0"/>
    <s v="Garden"/>
  </r>
  <r>
    <n v="1167"/>
    <s v="Property 1167"/>
    <x v="3"/>
    <x v="2"/>
    <n v="478983"/>
    <d v="2024-08-05T00:00:00"/>
    <x v="1"/>
    <m/>
    <n v="1322"/>
    <x v="1"/>
    <n v="2"/>
    <n v="2"/>
    <x v="0"/>
    <n v="2003"/>
    <m/>
    <n v="4"/>
    <x v="4"/>
    <s v="555-1557"/>
    <x v="1"/>
    <s v="Garage"/>
  </r>
  <r>
    <n v="1168"/>
    <s v="Property 1168"/>
    <x v="2"/>
    <x v="1"/>
    <n v="560964"/>
    <d v="2024-01-26T00:00:00"/>
    <x v="1"/>
    <m/>
    <n v="2341"/>
    <x v="1"/>
    <n v="2"/>
    <n v="5"/>
    <x v="2"/>
    <n v="2006"/>
    <n v="2"/>
    <n v="2"/>
    <x v="3"/>
    <s v="555-7116"/>
    <x v="1"/>
    <s v="Pool|Gym"/>
  </r>
  <r>
    <n v="1169"/>
    <s v="Property 1169"/>
    <x v="1"/>
    <x v="1"/>
    <n v="502853"/>
    <d v="2024-02-25T00:00:00"/>
    <x v="1"/>
    <m/>
    <n v="4220"/>
    <x v="1"/>
    <n v="3"/>
    <n v="2"/>
    <x v="0"/>
    <n v="2020"/>
    <m/>
    <n v="4"/>
    <x v="3"/>
    <s v="555-4987"/>
    <x v="1"/>
    <s v="Garden"/>
  </r>
  <r>
    <n v="1170"/>
    <s v="Property 1170"/>
    <x v="2"/>
    <x v="0"/>
    <n v="573865"/>
    <d v="2024-08-11T00:00:00"/>
    <x v="1"/>
    <m/>
    <n v="2435"/>
    <x v="1"/>
    <n v="6"/>
    <n v="2"/>
    <x v="1"/>
    <n v="2014"/>
    <n v="8"/>
    <n v="2"/>
    <x v="1"/>
    <s v="555-2718"/>
    <x v="1"/>
    <s v="Sauna"/>
  </r>
  <r>
    <n v="1171"/>
    <s v="Property 1171"/>
    <x v="1"/>
    <x v="2"/>
    <n v="421507"/>
    <d v="2024-08-07T00:00:00"/>
    <x v="1"/>
    <m/>
    <n v="1562"/>
    <x v="1"/>
    <n v="6"/>
    <n v="5"/>
    <x v="3"/>
    <n v="2011"/>
    <n v="7"/>
    <n v="4"/>
    <x v="7"/>
    <s v="555-1726"/>
    <x v="1"/>
    <s v="Garden|Garage"/>
  </r>
  <r>
    <n v="1172"/>
    <s v="Property 1172"/>
    <x v="0"/>
    <x v="1"/>
    <n v="789518"/>
    <d v="2024-09-11T00:00:00"/>
    <x v="70"/>
    <n v="822405"/>
    <n v="1059"/>
    <x v="74"/>
    <n v="6"/>
    <n v="5"/>
    <x v="2"/>
    <n v="2009"/>
    <n v="5"/>
    <n v="2"/>
    <x v="4"/>
    <s v="555-7024"/>
    <x v="0"/>
    <s v="Pool"/>
  </r>
  <r>
    <n v="1173"/>
    <s v="Property 1173"/>
    <x v="2"/>
    <x v="0"/>
    <n v="415781"/>
    <d v="2024-03-15T00:00:00"/>
    <x v="71"/>
    <n v="432025"/>
    <n v="3668"/>
    <x v="75"/>
    <n v="6"/>
    <n v="4"/>
    <x v="0"/>
    <n v="2018"/>
    <m/>
    <n v="4"/>
    <x v="1"/>
    <s v="555-3933"/>
    <x v="0"/>
    <s v="Gym|Pool|Garden|Elevator"/>
  </r>
  <r>
    <n v="1174"/>
    <s v="Property 1174"/>
    <x v="1"/>
    <x v="0"/>
    <n v="431837"/>
    <d v="2024-07-18T00:00:00"/>
    <x v="1"/>
    <m/>
    <n v="2154"/>
    <x v="1"/>
    <n v="4"/>
    <n v="4"/>
    <x v="0"/>
    <n v="2018"/>
    <m/>
    <n v="2"/>
    <x v="9"/>
    <s v="555-2069"/>
    <x v="1"/>
    <s v="Gym|Sauna"/>
  </r>
  <r>
    <n v="1175"/>
    <s v="Property 1175"/>
    <x v="0"/>
    <x v="2"/>
    <n v="671696"/>
    <d v="2024-11-06T00:00:00"/>
    <x v="72"/>
    <n v="710087"/>
    <n v="3365"/>
    <x v="76"/>
    <n v="5"/>
    <n v="3"/>
    <x v="3"/>
    <n v="2001"/>
    <n v="10"/>
    <n v="1"/>
    <x v="1"/>
    <s v="555-9936"/>
    <x v="0"/>
    <s v="Elevator|Pool|Barn|Gym"/>
  </r>
  <r>
    <n v="1176"/>
    <s v="Property 1176"/>
    <x v="0"/>
    <x v="2"/>
    <n v="682333"/>
    <d v="2024-11-05T00:00:00"/>
    <x v="2"/>
    <n v="728807"/>
    <n v="3534"/>
    <x v="77"/>
    <n v="4"/>
    <n v="5"/>
    <x v="1"/>
    <n v="2007"/>
    <n v="3"/>
    <n v="4"/>
    <x v="4"/>
    <s v="555-3139"/>
    <x v="0"/>
    <s v="Gym|Fireplace|Elevator"/>
  </r>
  <r>
    <n v="1177"/>
    <s v="Property 1177"/>
    <x v="3"/>
    <x v="0"/>
    <n v="931082"/>
    <d v="2024-07-22T00:00:00"/>
    <x v="1"/>
    <m/>
    <n v="2209"/>
    <x v="1"/>
    <n v="2"/>
    <n v="2"/>
    <x v="2"/>
    <n v="2022"/>
    <n v="3"/>
    <n v="1"/>
    <x v="0"/>
    <s v="555-8138"/>
    <x v="1"/>
    <s v="Garden|Sauna|Pool"/>
  </r>
  <r>
    <n v="1178"/>
    <s v="Property 1178"/>
    <x v="0"/>
    <x v="1"/>
    <n v="698231"/>
    <d v="2024-11-17T00:00:00"/>
    <x v="1"/>
    <m/>
    <n v="2393"/>
    <x v="1"/>
    <n v="5"/>
    <n v="3"/>
    <x v="0"/>
    <n v="2008"/>
    <m/>
    <n v="1"/>
    <x v="2"/>
    <s v="555-3008"/>
    <x v="1"/>
    <s v="Barn|Elevator|Sauna"/>
  </r>
  <r>
    <n v="1179"/>
    <s v="Property 1179"/>
    <x v="3"/>
    <x v="1"/>
    <n v="697729"/>
    <d v="2024-04-06T00:00:00"/>
    <x v="1"/>
    <m/>
    <n v="1596"/>
    <x v="1"/>
    <n v="5"/>
    <n v="4"/>
    <x v="0"/>
    <n v="2014"/>
    <m/>
    <n v="1"/>
    <x v="2"/>
    <s v="555-7977"/>
    <x v="1"/>
    <s v="Gym|Garage"/>
  </r>
  <r>
    <n v="1180"/>
    <s v="Property 1180"/>
    <x v="0"/>
    <x v="0"/>
    <n v="790240"/>
    <d v="2024-10-03T00:00:00"/>
    <x v="1"/>
    <m/>
    <n v="3825"/>
    <x v="1"/>
    <n v="6"/>
    <n v="5"/>
    <x v="1"/>
    <n v="2009"/>
    <n v="3"/>
    <n v="3"/>
    <x v="3"/>
    <s v="555-8831"/>
    <x v="1"/>
    <s v="Pool|Elevator|Gym"/>
  </r>
  <r>
    <n v="1181"/>
    <s v="Property 1181"/>
    <x v="0"/>
    <x v="2"/>
    <n v="760871"/>
    <d v="2024-10-06T00:00:00"/>
    <x v="1"/>
    <m/>
    <n v="3604"/>
    <x v="1"/>
    <n v="6"/>
    <n v="4"/>
    <x v="0"/>
    <n v="2017"/>
    <m/>
    <n v="1"/>
    <x v="9"/>
    <s v="555-5480"/>
    <x v="1"/>
    <s v="Sauna|Pool|Fireplace"/>
  </r>
  <r>
    <n v="1182"/>
    <s v="Property 1182"/>
    <x v="0"/>
    <x v="1"/>
    <n v="342348"/>
    <d v="2024-05-17T00:00:00"/>
    <x v="73"/>
    <n v="366014"/>
    <n v="1306"/>
    <x v="78"/>
    <n v="4"/>
    <n v="3"/>
    <x v="0"/>
    <n v="2010"/>
    <m/>
    <n v="3"/>
    <x v="1"/>
    <s v="555-4082"/>
    <x v="0"/>
    <s v="Barn"/>
  </r>
  <r>
    <n v="1183"/>
    <s v="Property 1183"/>
    <x v="1"/>
    <x v="1"/>
    <n v="757834"/>
    <d v="2024-10-17T00:00:00"/>
    <x v="1"/>
    <m/>
    <n v="2418"/>
    <x v="1"/>
    <n v="4"/>
    <n v="5"/>
    <x v="0"/>
    <n v="2012"/>
    <m/>
    <n v="3"/>
    <x v="5"/>
    <s v="555-8119"/>
    <x v="1"/>
    <s v="Elevator|Barn|Gym|Pool"/>
  </r>
  <r>
    <n v="1184"/>
    <s v="Property 1184"/>
    <x v="2"/>
    <x v="1"/>
    <n v="547528"/>
    <d v="2024-01-06T00:00:00"/>
    <x v="1"/>
    <m/>
    <n v="3851"/>
    <x v="1"/>
    <n v="5"/>
    <n v="2"/>
    <x v="3"/>
    <n v="2009"/>
    <n v="9"/>
    <n v="2"/>
    <x v="2"/>
    <s v="555-6583"/>
    <x v="1"/>
    <s v="Gym|Sauna"/>
  </r>
  <r>
    <n v="1185"/>
    <s v="Property 1185"/>
    <x v="0"/>
    <x v="1"/>
    <n v="971485"/>
    <d v="2024-11-18T00:00:00"/>
    <x v="1"/>
    <m/>
    <n v="1940"/>
    <x v="1"/>
    <n v="5"/>
    <n v="2"/>
    <x v="0"/>
    <n v="2000"/>
    <m/>
    <n v="4"/>
    <x v="9"/>
    <s v="555-5085"/>
    <x v="1"/>
    <s v="Sauna"/>
  </r>
  <r>
    <n v="1186"/>
    <s v="Property 1186"/>
    <x v="0"/>
    <x v="1"/>
    <n v="412579"/>
    <d v="2024-06-10T00:00:00"/>
    <x v="74"/>
    <n v="442271"/>
    <n v="4616"/>
    <x v="79"/>
    <n v="5"/>
    <n v="4"/>
    <x v="3"/>
    <n v="2010"/>
    <n v="6"/>
    <n v="2"/>
    <x v="2"/>
    <s v="555-8332"/>
    <x v="0"/>
    <s v="Barn|Garage|Fireplace"/>
  </r>
  <r>
    <n v="1187"/>
    <s v="Property 1187"/>
    <x v="3"/>
    <x v="2"/>
    <n v="898319"/>
    <d v="2024-08-08T00:00:00"/>
    <x v="24"/>
    <n v="913650"/>
    <n v="3161"/>
    <x v="80"/>
    <n v="4"/>
    <n v="4"/>
    <x v="0"/>
    <n v="2013"/>
    <m/>
    <n v="2"/>
    <x v="9"/>
    <s v="555-8719"/>
    <x v="0"/>
    <s v="Garden"/>
  </r>
  <r>
    <n v="1188"/>
    <s v="Property 1188"/>
    <x v="1"/>
    <x v="2"/>
    <n v="320917"/>
    <d v="2024-12-10T00:00:00"/>
    <x v="75"/>
    <n v="353003"/>
    <n v="4605"/>
    <x v="81"/>
    <n v="6"/>
    <n v="5"/>
    <x v="3"/>
    <n v="2002"/>
    <n v="1"/>
    <n v="4"/>
    <x v="9"/>
    <s v="555-4142"/>
    <x v="0"/>
    <s v="Gym|Garage|Garden"/>
  </r>
  <r>
    <n v="1189"/>
    <s v="Property 1189"/>
    <x v="1"/>
    <x v="1"/>
    <n v="950725"/>
    <d v="2024-09-24T00:00:00"/>
    <x v="76"/>
    <n v="994856"/>
    <n v="4731"/>
    <x v="82"/>
    <n v="3"/>
    <n v="5"/>
    <x v="3"/>
    <n v="2023"/>
    <n v="4"/>
    <n v="2"/>
    <x v="4"/>
    <s v="555-6786"/>
    <x v="0"/>
    <s v="Fireplace|Barn|Pool"/>
  </r>
  <r>
    <n v="1190"/>
    <s v="Property 1190"/>
    <x v="4"/>
    <x v="1"/>
    <n v="994926"/>
    <d v="2024-07-09T00:00:00"/>
    <x v="1"/>
    <m/>
    <n v="3534"/>
    <x v="1"/>
    <n v="5"/>
    <n v="3"/>
    <x v="3"/>
    <n v="2016"/>
    <n v="4"/>
    <n v="1"/>
    <x v="8"/>
    <s v="555-7818"/>
    <x v="1"/>
    <s v="Garage|Pool|Gym"/>
  </r>
  <r>
    <n v="1191"/>
    <s v="Property 1191"/>
    <x v="1"/>
    <x v="2"/>
    <n v="491602"/>
    <d v="2024-07-29T00:00:00"/>
    <x v="77"/>
    <n v="539959"/>
    <n v="4181"/>
    <x v="83"/>
    <n v="5"/>
    <n v="2"/>
    <x v="1"/>
    <n v="2005"/>
    <n v="4"/>
    <n v="1"/>
    <x v="7"/>
    <s v="555-7301"/>
    <x v="0"/>
    <s v="Fireplace|Garage"/>
  </r>
  <r>
    <n v="1192"/>
    <s v="Property 1192"/>
    <x v="2"/>
    <x v="0"/>
    <n v="688646"/>
    <d v="2024-04-28T00:00:00"/>
    <x v="1"/>
    <m/>
    <n v="4960"/>
    <x v="1"/>
    <n v="2"/>
    <n v="5"/>
    <x v="1"/>
    <n v="2014"/>
    <n v="7"/>
    <n v="3"/>
    <x v="0"/>
    <s v="555-3090"/>
    <x v="1"/>
    <s v="Gym|Pool"/>
  </r>
  <r>
    <n v="1193"/>
    <s v="Property 1193"/>
    <x v="2"/>
    <x v="1"/>
    <n v="747219"/>
    <d v="2024-03-10T00:00:00"/>
    <x v="78"/>
    <n v="776014"/>
    <n v="2231"/>
    <x v="84"/>
    <n v="4"/>
    <n v="5"/>
    <x v="2"/>
    <n v="2001"/>
    <n v="2"/>
    <n v="2"/>
    <x v="4"/>
    <s v="555-8590"/>
    <x v="0"/>
    <s v="Fireplace|Garden"/>
  </r>
  <r>
    <n v="1194"/>
    <s v="Property 1194"/>
    <x v="2"/>
    <x v="1"/>
    <n v="413589"/>
    <d v="2024-11-22T00:00:00"/>
    <x v="16"/>
    <n v="429507"/>
    <n v="2484"/>
    <x v="85"/>
    <n v="3"/>
    <n v="2"/>
    <x v="2"/>
    <n v="2018"/>
    <n v="5"/>
    <n v="3"/>
    <x v="4"/>
    <s v="555-1796"/>
    <x v="0"/>
    <s v="Fireplace|Garage"/>
  </r>
  <r>
    <n v="1195"/>
    <s v="Property 1195"/>
    <x v="0"/>
    <x v="1"/>
    <n v="500534"/>
    <d v="2024-11-25T00:00:00"/>
    <x v="79"/>
    <n v="541078"/>
    <n v="4031"/>
    <x v="86"/>
    <n v="3"/>
    <n v="5"/>
    <x v="2"/>
    <n v="2011"/>
    <n v="2"/>
    <n v="2"/>
    <x v="1"/>
    <s v="555-8866"/>
    <x v="0"/>
    <s v="Garden"/>
  </r>
  <r>
    <n v="1196"/>
    <s v="Property 1196"/>
    <x v="0"/>
    <x v="1"/>
    <n v="904177"/>
    <d v="2024-01-07T00:00:00"/>
    <x v="80"/>
    <n v="915213"/>
    <n v="2933"/>
    <x v="87"/>
    <n v="6"/>
    <n v="3"/>
    <x v="3"/>
    <n v="2014"/>
    <n v="6"/>
    <n v="4"/>
    <x v="5"/>
    <s v="555-1698"/>
    <x v="0"/>
    <s v="Garage|Garden|Elevator"/>
  </r>
  <r>
    <n v="1197"/>
    <s v="Property 1197"/>
    <x v="3"/>
    <x v="0"/>
    <n v="321342"/>
    <d v="2024-12-16T00:00:00"/>
    <x v="1"/>
    <m/>
    <n v="4701"/>
    <x v="1"/>
    <n v="2"/>
    <n v="5"/>
    <x v="2"/>
    <n v="2017"/>
    <n v="5"/>
    <n v="4"/>
    <x v="8"/>
    <s v="555-7141"/>
    <x v="1"/>
    <s v="Sauna|Garage|Elevator"/>
  </r>
  <r>
    <n v="1198"/>
    <s v="Property 1198"/>
    <x v="4"/>
    <x v="1"/>
    <n v="428135"/>
    <d v="2024-05-20T00:00:00"/>
    <x v="81"/>
    <n v="449501"/>
    <n v="2316"/>
    <x v="88"/>
    <n v="6"/>
    <n v="2"/>
    <x v="1"/>
    <n v="2006"/>
    <n v="10"/>
    <n v="4"/>
    <x v="9"/>
    <s v="555-1375"/>
    <x v="0"/>
    <s v="Barn"/>
  </r>
  <r>
    <n v="1199"/>
    <s v="Property 1199"/>
    <x v="0"/>
    <x v="1"/>
    <n v="899214"/>
    <d v="2024-10-30T00:00:00"/>
    <x v="80"/>
    <n v="911318"/>
    <n v="1575"/>
    <x v="89"/>
    <n v="6"/>
    <n v="4"/>
    <x v="3"/>
    <n v="2013"/>
    <n v="2"/>
    <n v="2"/>
    <x v="2"/>
    <s v="555-8169"/>
    <x v="0"/>
    <s v="Gym|Pool|Garage"/>
  </r>
  <r>
    <n v="1200"/>
    <s v="Property 1200"/>
    <x v="0"/>
    <x v="1"/>
    <n v="654042"/>
    <d v="2024-09-23T00:00:00"/>
    <x v="1"/>
    <m/>
    <n v="4141"/>
    <x v="1"/>
    <n v="5"/>
    <n v="3"/>
    <x v="0"/>
    <n v="2002"/>
    <m/>
    <n v="4"/>
    <x v="3"/>
    <s v="555-5847"/>
    <x v="1"/>
    <s v="Garden"/>
  </r>
  <r>
    <n v="1201"/>
    <s v="Property 1201"/>
    <x v="2"/>
    <x v="2"/>
    <n v="651991"/>
    <d v="2024-05-20T00:00:00"/>
    <x v="1"/>
    <m/>
    <n v="4162"/>
    <x v="1"/>
    <n v="2"/>
    <n v="4"/>
    <x v="3"/>
    <n v="2023"/>
    <n v="7"/>
    <n v="3"/>
    <x v="2"/>
    <s v="555-1535"/>
    <x v="1"/>
    <s v="Sauna|Garage|Garden"/>
  </r>
  <r>
    <n v="1202"/>
    <s v="Property 1202"/>
    <x v="0"/>
    <x v="0"/>
    <n v="471808"/>
    <d v="2024-12-14T00:00:00"/>
    <x v="1"/>
    <m/>
    <n v="3394"/>
    <x v="1"/>
    <n v="3"/>
    <n v="2"/>
    <x v="1"/>
    <n v="2006"/>
    <n v="3"/>
    <n v="1"/>
    <x v="1"/>
    <s v="555-3141"/>
    <x v="1"/>
    <s v="Sauna|Garden|Barn"/>
  </r>
  <r>
    <n v="1203"/>
    <s v="Property 1203"/>
    <x v="1"/>
    <x v="2"/>
    <n v="633730"/>
    <d v="2024-02-15T00:00:00"/>
    <x v="33"/>
    <n v="664422"/>
    <n v="2775"/>
    <x v="90"/>
    <n v="2"/>
    <n v="4"/>
    <x v="1"/>
    <n v="2011"/>
    <n v="7"/>
    <n v="3"/>
    <x v="6"/>
    <s v="555-4413"/>
    <x v="0"/>
    <s v="Barn|Pool|Elevator|Garage"/>
  </r>
  <r>
    <n v="1204"/>
    <s v="Property 1204"/>
    <x v="0"/>
    <x v="0"/>
    <n v="938804"/>
    <d v="2024-06-19T00:00:00"/>
    <x v="82"/>
    <n v="971303"/>
    <n v="2248"/>
    <x v="91"/>
    <n v="6"/>
    <n v="4"/>
    <x v="1"/>
    <n v="2001"/>
    <n v="1"/>
    <n v="2"/>
    <x v="4"/>
    <s v="555-7693"/>
    <x v="0"/>
    <s v="Fireplace|Sauna|Gym|Pool"/>
  </r>
  <r>
    <n v="1205"/>
    <s v="Property 1205"/>
    <x v="3"/>
    <x v="1"/>
    <n v="922822"/>
    <d v="2024-04-12T00:00:00"/>
    <x v="1"/>
    <m/>
    <n v="1919"/>
    <x v="1"/>
    <n v="4"/>
    <n v="5"/>
    <x v="1"/>
    <n v="2007"/>
    <n v="1"/>
    <n v="4"/>
    <x v="7"/>
    <s v="555-8292"/>
    <x v="1"/>
    <s v="Gym|Barn"/>
  </r>
  <r>
    <n v="1206"/>
    <s v="Property 1206"/>
    <x v="1"/>
    <x v="1"/>
    <n v="593349"/>
    <d v="2024-08-02T00:00:00"/>
    <x v="1"/>
    <m/>
    <n v="2476"/>
    <x v="1"/>
    <n v="6"/>
    <n v="4"/>
    <x v="0"/>
    <n v="2005"/>
    <m/>
    <n v="1"/>
    <x v="8"/>
    <s v="555-6685"/>
    <x v="1"/>
    <s v="Gym|Barn|Garage"/>
  </r>
  <r>
    <n v="1207"/>
    <s v="Property 1207"/>
    <x v="4"/>
    <x v="0"/>
    <n v="382396"/>
    <d v="2024-02-22T00:00:00"/>
    <x v="1"/>
    <m/>
    <n v="3212"/>
    <x v="1"/>
    <n v="4"/>
    <n v="3"/>
    <x v="3"/>
    <n v="2019"/>
    <n v="2"/>
    <n v="3"/>
    <x v="6"/>
    <s v="555-2208"/>
    <x v="1"/>
    <s v="Gym|Sauna|Fireplace"/>
  </r>
  <r>
    <n v="1208"/>
    <s v="Property 1208"/>
    <x v="1"/>
    <x v="1"/>
    <n v="351876"/>
    <d v="2024-02-10T00:00:00"/>
    <x v="83"/>
    <n v="380921"/>
    <n v="2446"/>
    <x v="92"/>
    <n v="2"/>
    <n v="5"/>
    <x v="3"/>
    <n v="2000"/>
    <n v="10"/>
    <n v="1"/>
    <x v="3"/>
    <s v="555-1415"/>
    <x v="0"/>
    <s v="Garage"/>
  </r>
  <r>
    <n v="1209"/>
    <s v="Property 1209"/>
    <x v="4"/>
    <x v="1"/>
    <n v="455478"/>
    <d v="2024-05-10T00:00:00"/>
    <x v="84"/>
    <n v="472342"/>
    <n v="4782"/>
    <x v="93"/>
    <n v="5"/>
    <n v="5"/>
    <x v="1"/>
    <n v="2011"/>
    <n v="3"/>
    <n v="2"/>
    <x v="5"/>
    <s v="555-5310"/>
    <x v="0"/>
    <s v="Sauna|Garden"/>
  </r>
  <r>
    <n v="1210"/>
    <s v="Property 1210"/>
    <x v="0"/>
    <x v="0"/>
    <n v="713282"/>
    <d v="2024-10-26T00:00:00"/>
    <x v="1"/>
    <m/>
    <n v="2046"/>
    <x v="1"/>
    <n v="5"/>
    <n v="5"/>
    <x v="0"/>
    <n v="2015"/>
    <m/>
    <n v="1"/>
    <x v="9"/>
    <s v="555-3656"/>
    <x v="1"/>
    <s v="Elevator|Garden"/>
  </r>
  <r>
    <n v="1211"/>
    <s v="Property 1211"/>
    <x v="2"/>
    <x v="1"/>
    <n v="545352"/>
    <d v="2024-01-31T00:00:00"/>
    <x v="85"/>
    <n v="592365"/>
    <n v="2450"/>
    <x v="94"/>
    <n v="3"/>
    <n v="2"/>
    <x v="3"/>
    <n v="2000"/>
    <n v="7"/>
    <n v="1"/>
    <x v="0"/>
    <s v="555-4453"/>
    <x v="0"/>
    <s v="Fireplace"/>
  </r>
  <r>
    <n v="1212"/>
    <s v="Property 1212"/>
    <x v="1"/>
    <x v="0"/>
    <n v="906375"/>
    <d v="2024-07-16T00:00:00"/>
    <x v="1"/>
    <m/>
    <n v="1070"/>
    <x v="1"/>
    <n v="6"/>
    <n v="3"/>
    <x v="0"/>
    <n v="2020"/>
    <m/>
    <n v="1"/>
    <x v="2"/>
    <s v="555-3775"/>
    <x v="1"/>
    <s v="Garden|Barn|Fireplace|Elevator"/>
  </r>
  <r>
    <n v="1213"/>
    <s v="Property 1213"/>
    <x v="0"/>
    <x v="2"/>
    <n v="787756"/>
    <d v="2024-07-25T00:00:00"/>
    <x v="86"/>
    <n v="797830"/>
    <n v="4118"/>
    <x v="95"/>
    <n v="2"/>
    <n v="2"/>
    <x v="2"/>
    <n v="2017"/>
    <n v="2"/>
    <n v="4"/>
    <x v="8"/>
    <s v="555-5510"/>
    <x v="0"/>
    <s v="Elevator|Gym"/>
  </r>
  <r>
    <n v="1214"/>
    <s v="Property 1214"/>
    <x v="1"/>
    <x v="2"/>
    <n v="854084"/>
    <d v="2024-01-11T00:00:00"/>
    <x v="1"/>
    <m/>
    <n v="2028"/>
    <x v="1"/>
    <n v="6"/>
    <n v="3"/>
    <x v="3"/>
    <n v="2008"/>
    <n v="9"/>
    <n v="4"/>
    <x v="1"/>
    <s v="555-4968"/>
    <x v="1"/>
    <s v="Elevator|Garage"/>
  </r>
  <r>
    <n v="1215"/>
    <s v="Property 1215"/>
    <x v="2"/>
    <x v="1"/>
    <n v="350964"/>
    <d v="2024-04-05T00:00:00"/>
    <x v="87"/>
    <n v="392125"/>
    <n v="4106"/>
    <x v="96"/>
    <n v="4"/>
    <n v="5"/>
    <x v="2"/>
    <n v="2023"/>
    <n v="2"/>
    <n v="3"/>
    <x v="3"/>
    <s v="555-7408"/>
    <x v="0"/>
    <s v="Barn|Garden|Gym|Fireplace"/>
  </r>
  <r>
    <n v="1216"/>
    <s v="Property 1216"/>
    <x v="4"/>
    <x v="0"/>
    <n v="365251"/>
    <d v="2024-03-11T00:00:00"/>
    <x v="1"/>
    <m/>
    <n v="1992"/>
    <x v="1"/>
    <n v="2"/>
    <n v="3"/>
    <x v="1"/>
    <n v="2005"/>
    <n v="8"/>
    <n v="4"/>
    <x v="3"/>
    <s v="555-7414"/>
    <x v="1"/>
    <s v="Pool"/>
  </r>
  <r>
    <n v="1217"/>
    <s v="Property 1217"/>
    <x v="3"/>
    <x v="2"/>
    <n v="351109"/>
    <d v="2024-06-25T00:00:00"/>
    <x v="88"/>
    <n v="368040"/>
    <n v="4339"/>
    <x v="97"/>
    <n v="2"/>
    <n v="4"/>
    <x v="3"/>
    <n v="2021"/>
    <n v="8"/>
    <n v="2"/>
    <x v="9"/>
    <s v="555-1078"/>
    <x v="0"/>
    <s v="Garden|Pool|Barn|Gym"/>
  </r>
  <r>
    <n v="1218"/>
    <s v="Property 1218"/>
    <x v="2"/>
    <x v="1"/>
    <n v="918232"/>
    <d v="2024-12-16T00:00:00"/>
    <x v="41"/>
    <n v="967788"/>
    <n v="2150"/>
    <x v="98"/>
    <n v="2"/>
    <n v="2"/>
    <x v="2"/>
    <n v="2019"/>
    <n v="7"/>
    <n v="1"/>
    <x v="1"/>
    <s v="555-5300"/>
    <x v="0"/>
    <s v="Barn|Elevator|Garage"/>
  </r>
  <r>
    <n v="1219"/>
    <s v="Property 1219"/>
    <x v="0"/>
    <x v="1"/>
    <n v="582156"/>
    <d v="2024-06-14T00:00:00"/>
    <x v="1"/>
    <m/>
    <n v="4030"/>
    <x v="1"/>
    <n v="6"/>
    <n v="5"/>
    <x v="3"/>
    <n v="2012"/>
    <n v="1"/>
    <n v="3"/>
    <x v="2"/>
    <s v="555-7478"/>
    <x v="1"/>
    <s v="Fireplace|Garden|Sauna"/>
  </r>
  <r>
    <n v="1220"/>
    <s v="Property 1220"/>
    <x v="0"/>
    <x v="2"/>
    <n v="537935"/>
    <d v="2024-01-07T00:00:00"/>
    <x v="1"/>
    <m/>
    <n v="3818"/>
    <x v="1"/>
    <n v="3"/>
    <n v="4"/>
    <x v="3"/>
    <n v="2002"/>
    <n v="2"/>
    <n v="2"/>
    <x v="9"/>
    <s v="555-9764"/>
    <x v="1"/>
    <s v="Garage|Garden|Barn|Elevator"/>
  </r>
  <r>
    <n v="1221"/>
    <s v="Property 1221"/>
    <x v="0"/>
    <x v="0"/>
    <n v="811643"/>
    <d v="2024-10-20T00:00:00"/>
    <x v="1"/>
    <m/>
    <n v="1364"/>
    <x v="1"/>
    <n v="3"/>
    <n v="3"/>
    <x v="1"/>
    <n v="2011"/>
    <n v="2"/>
    <n v="1"/>
    <x v="3"/>
    <s v="555-9443"/>
    <x v="1"/>
    <s v="Garage|Elevator|Pool|Gym"/>
  </r>
  <r>
    <n v="1222"/>
    <s v="Property 1222"/>
    <x v="0"/>
    <x v="1"/>
    <n v="482663"/>
    <d v="2024-02-28T00:00:00"/>
    <x v="1"/>
    <m/>
    <n v="3632"/>
    <x v="1"/>
    <n v="6"/>
    <n v="4"/>
    <x v="0"/>
    <n v="2020"/>
    <m/>
    <n v="2"/>
    <x v="9"/>
    <s v="555-3187"/>
    <x v="1"/>
    <s v="Garden|Gym|Garage"/>
  </r>
  <r>
    <n v="1223"/>
    <s v="Property 1223"/>
    <x v="0"/>
    <x v="1"/>
    <n v="391005"/>
    <d v="2024-06-19T00:00:00"/>
    <x v="89"/>
    <n v="436339"/>
    <n v="4939"/>
    <x v="99"/>
    <n v="4"/>
    <n v="4"/>
    <x v="1"/>
    <n v="2022"/>
    <n v="4"/>
    <n v="4"/>
    <x v="7"/>
    <s v="555-5803"/>
    <x v="0"/>
    <s v="Fireplace"/>
  </r>
  <r>
    <n v="1224"/>
    <s v="Property 1224"/>
    <x v="3"/>
    <x v="2"/>
    <n v="935186"/>
    <d v="2024-01-16T00:00:00"/>
    <x v="90"/>
    <n v="976940"/>
    <n v="1661"/>
    <x v="100"/>
    <n v="2"/>
    <n v="4"/>
    <x v="3"/>
    <n v="2001"/>
    <n v="4"/>
    <n v="3"/>
    <x v="7"/>
    <s v="555-5479"/>
    <x v="0"/>
    <s v="Gym|Garage|Barn"/>
  </r>
  <r>
    <n v="1225"/>
    <s v="Property 1225"/>
    <x v="0"/>
    <x v="2"/>
    <n v="319070"/>
    <d v="2024-07-22T00:00:00"/>
    <x v="91"/>
    <n v="356977"/>
    <n v="4599"/>
    <x v="101"/>
    <n v="4"/>
    <n v="5"/>
    <x v="0"/>
    <n v="2002"/>
    <m/>
    <n v="2"/>
    <x v="6"/>
    <s v="555-8276"/>
    <x v="0"/>
    <s v="Pool|Gym|Elevator|Barn"/>
  </r>
  <r>
    <n v="1226"/>
    <s v="Property 1226"/>
    <x v="4"/>
    <x v="0"/>
    <n v="753850"/>
    <d v="2024-11-16T00:00:00"/>
    <x v="1"/>
    <m/>
    <n v="2922"/>
    <x v="1"/>
    <n v="5"/>
    <n v="5"/>
    <x v="1"/>
    <n v="2021"/>
    <n v="1"/>
    <n v="1"/>
    <x v="8"/>
    <s v="555-7208"/>
    <x v="1"/>
    <s v="Pool|Fireplace|Garden|Barn"/>
  </r>
  <r>
    <n v="1227"/>
    <s v="Property 1227"/>
    <x v="1"/>
    <x v="0"/>
    <n v="378856"/>
    <d v="2024-07-08T00:00:00"/>
    <x v="1"/>
    <m/>
    <n v="2750"/>
    <x v="1"/>
    <n v="6"/>
    <n v="2"/>
    <x v="2"/>
    <n v="2020"/>
    <n v="1"/>
    <n v="4"/>
    <x v="0"/>
    <s v="555-3264"/>
    <x v="1"/>
    <s v="Sauna|Elevator|Pool"/>
  </r>
  <r>
    <n v="1228"/>
    <s v="Property 1228"/>
    <x v="2"/>
    <x v="2"/>
    <n v="354266"/>
    <d v="2024-03-02T00:00:00"/>
    <x v="92"/>
    <n v="380144"/>
    <n v="2790"/>
    <x v="102"/>
    <n v="5"/>
    <n v="3"/>
    <x v="0"/>
    <n v="2007"/>
    <m/>
    <n v="2"/>
    <x v="3"/>
    <s v="555-1732"/>
    <x v="0"/>
    <s v="Garage|Elevator|Gym|Pool"/>
  </r>
  <r>
    <n v="1229"/>
    <s v="Property 1229"/>
    <x v="3"/>
    <x v="2"/>
    <n v="909613"/>
    <d v="2024-07-04T00:00:00"/>
    <x v="1"/>
    <m/>
    <n v="2588"/>
    <x v="1"/>
    <n v="4"/>
    <n v="5"/>
    <x v="0"/>
    <n v="2015"/>
    <m/>
    <n v="2"/>
    <x v="5"/>
    <s v="555-1856"/>
    <x v="1"/>
    <s v="Sauna"/>
  </r>
  <r>
    <n v="1230"/>
    <s v="Property 1230"/>
    <x v="2"/>
    <x v="0"/>
    <n v="384295"/>
    <d v="2024-02-22T00:00:00"/>
    <x v="1"/>
    <m/>
    <n v="3237"/>
    <x v="1"/>
    <n v="5"/>
    <n v="2"/>
    <x v="3"/>
    <n v="2001"/>
    <n v="1"/>
    <n v="3"/>
    <x v="4"/>
    <s v="555-5151"/>
    <x v="1"/>
    <s v="Elevator|Barn|Garden"/>
  </r>
  <r>
    <n v="1231"/>
    <s v="Property 1231"/>
    <x v="0"/>
    <x v="2"/>
    <n v="451496"/>
    <d v="2024-01-19T00:00:00"/>
    <x v="1"/>
    <m/>
    <n v="4016"/>
    <x v="1"/>
    <n v="5"/>
    <n v="5"/>
    <x v="3"/>
    <n v="2001"/>
    <n v="10"/>
    <n v="1"/>
    <x v="2"/>
    <s v="555-1941"/>
    <x v="1"/>
    <s v="Garden|Fireplace|Pool|Gym"/>
  </r>
  <r>
    <n v="1232"/>
    <s v="Property 1232"/>
    <x v="4"/>
    <x v="2"/>
    <n v="900070"/>
    <d v="2024-07-12T00:00:00"/>
    <x v="93"/>
    <n v="918414"/>
    <n v="1913"/>
    <x v="103"/>
    <n v="6"/>
    <n v="4"/>
    <x v="3"/>
    <n v="2022"/>
    <n v="9"/>
    <n v="1"/>
    <x v="6"/>
    <s v="555-7320"/>
    <x v="0"/>
    <s v="Fireplace"/>
  </r>
  <r>
    <n v="1233"/>
    <s v="Property 1233"/>
    <x v="0"/>
    <x v="2"/>
    <n v="331489"/>
    <d v="2024-07-23T00:00:00"/>
    <x v="1"/>
    <m/>
    <n v="3062"/>
    <x v="1"/>
    <n v="3"/>
    <n v="5"/>
    <x v="2"/>
    <n v="2013"/>
    <n v="10"/>
    <n v="1"/>
    <x v="9"/>
    <s v="555-6232"/>
    <x v="1"/>
    <s v="Pool|Sauna|Gym"/>
  </r>
  <r>
    <n v="1234"/>
    <s v="Property 1234"/>
    <x v="2"/>
    <x v="0"/>
    <n v="520218"/>
    <d v="2024-08-06T00:00:00"/>
    <x v="94"/>
    <n v="545885"/>
    <n v="1018"/>
    <x v="104"/>
    <n v="6"/>
    <n v="2"/>
    <x v="0"/>
    <n v="2005"/>
    <m/>
    <n v="2"/>
    <x v="7"/>
    <s v="555-9314"/>
    <x v="0"/>
    <s v="Sauna|Garden"/>
  </r>
  <r>
    <n v="1235"/>
    <s v="Property 1235"/>
    <x v="4"/>
    <x v="2"/>
    <n v="533486"/>
    <d v="2024-07-11T00:00:00"/>
    <x v="95"/>
    <n v="574090"/>
    <n v="1496"/>
    <x v="105"/>
    <n v="2"/>
    <n v="2"/>
    <x v="3"/>
    <n v="2005"/>
    <n v="8"/>
    <n v="4"/>
    <x v="4"/>
    <s v="555-6703"/>
    <x v="0"/>
    <s v="Elevator|Barn"/>
  </r>
  <r>
    <n v="1236"/>
    <s v="Property 1236"/>
    <x v="0"/>
    <x v="2"/>
    <n v="626315"/>
    <d v="2024-07-03T00:00:00"/>
    <x v="1"/>
    <m/>
    <n v="2280"/>
    <x v="1"/>
    <n v="5"/>
    <n v="3"/>
    <x v="2"/>
    <n v="2015"/>
    <n v="8"/>
    <n v="1"/>
    <x v="9"/>
    <s v="555-2582"/>
    <x v="1"/>
    <s v="Elevator"/>
  </r>
  <r>
    <n v="1237"/>
    <s v="Property 1237"/>
    <x v="3"/>
    <x v="2"/>
    <n v="579591"/>
    <d v="2024-08-21T00:00:00"/>
    <x v="96"/>
    <n v="619475"/>
    <n v="3233"/>
    <x v="106"/>
    <n v="6"/>
    <n v="5"/>
    <x v="0"/>
    <n v="2015"/>
    <m/>
    <n v="4"/>
    <x v="8"/>
    <s v="555-6544"/>
    <x v="0"/>
    <s v="Garden|Fireplace"/>
  </r>
  <r>
    <n v="1238"/>
    <s v="Property 1238"/>
    <x v="4"/>
    <x v="0"/>
    <n v="622203"/>
    <d v="2024-09-18T00:00:00"/>
    <x v="1"/>
    <m/>
    <n v="3410"/>
    <x v="1"/>
    <n v="2"/>
    <n v="2"/>
    <x v="0"/>
    <n v="2000"/>
    <m/>
    <n v="2"/>
    <x v="8"/>
    <s v="555-1731"/>
    <x v="1"/>
    <s v="Fireplace|Sauna"/>
  </r>
  <r>
    <n v="1239"/>
    <s v="Property 1239"/>
    <x v="3"/>
    <x v="2"/>
    <n v="806927"/>
    <d v="2024-10-04T00:00:00"/>
    <x v="97"/>
    <n v="820954"/>
    <n v="3191"/>
    <x v="107"/>
    <n v="4"/>
    <n v="5"/>
    <x v="1"/>
    <n v="2008"/>
    <n v="2"/>
    <n v="3"/>
    <x v="3"/>
    <s v="555-2100"/>
    <x v="0"/>
    <s v="Garage|Fireplace"/>
  </r>
  <r>
    <n v="1240"/>
    <s v="Property 1240"/>
    <x v="4"/>
    <x v="1"/>
    <n v="770859"/>
    <d v="2024-08-14T00:00:00"/>
    <x v="1"/>
    <m/>
    <n v="4566"/>
    <x v="1"/>
    <n v="3"/>
    <n v="4"/>
    <x v="2"/>
    <n v="2018"/>
    <n v="7"/>
    <n v="3"/>
    <x v="8"/>
    <s v="555-3815"/>
    <x v="1"/>
    <s v="Garage|Barn|Sauna"/>
  </r>
  <r>
    <n v="1241"/>
    <s v="Property 1241"/>
    <x v="1"/>
    <x v="1"/>
    <n v="766884"/>
    <d v="2024-11-27T00:00:00"/>
    <x v="1"/>
    <m/>
    <n v="4897"/>
    <x v="1"/>
    <n v="6"/>
    <n v="4"/>
    <x v="2"/>
    <n v="2020"/>
    <n v="5"/>
    <n v="4"/>
    <x v="6"/>
    <s v="555-3643"/>
    <x v="1"/>
    <s v="Barn"/>
  </r>
  <r>
    <n v="1242"/>
    <s v="Property 1242"/>
    <x v="1"/>
    <x v="2"/>
    <n v="419557"/>
    <d v="2024-10-09T00:00:00"/>
    <x v="1"/>
    <m/>
    <n v="3646"/>
    <x v="1"/>
    <n v="4"/>
    <n v="5"/>
    <x v="2"/>
    <n v="2005"/>
    <n v="9"/>
    <n v="3"/>
    <x v="5"/>
    <s v="555-4717"/>
    <x v="1"/>
    <s v="Pool"/>
  </r>
  <r>
    <n v="1243"/>
    <s v="Property 1243"/>
    <x v="1"/>
    <x v="1"/>
    <n v="487179"/>
    <d v="2024-05-01T00:00:00"/>
    <x v="98"/>
    <n v="502239"/>
    <n v="3422"/>
    <x v="108"/>
    <n v="6"/>
    <n v="2"/>
    <x v="2"/>
    <n v="2021"/>
    <n v="6"/>
    <n v="2"/>
    <x v="2"/>
    <s v="555-8929"/>
    <x v="0"/>
    <s v="Barn|Garden|Fireplace|Gym"/>
  </r>
  <r>
    <n v="1244"/>
    <s v="Property 1244"/>
    <x v="4"/>
    <x v="2"/>
    <n v="816983"/>
    <d v="2024-07-17T00:00:00"/>
    <x v="1"/>
    <m/>
    <n v="3938"/>
    <x v="1"/>
    <n v="5"/>
    <n v="2"/>
    <x v="0"/>
    <n v="2003"/>
    <m/>
    <n v="2"/>
    <x v="0"/>
    <s v="555-7136"/>
    <x v="1"/>
    <s v="Garden|Elevator|Sauna|Pool"/>
  </r>
  <r>
    <n v="1245"/>
    <s v="Property 1245"/>
    <x v="0"/>
    <x v="2"/>
    <n v="635529"/>
    <d v="2024-04-22T00:00:00"/>
    <x v="99"/>
    <n v="678182"/>
    <n v="2974"/>
    <x v="109"/>
    <n v="6"/>
    <n v="3"/>
    <x v="2"/>
    <n v="2002"/>
    <n v="2"/>
    <n v="4"/>
    <x v="2"/>
    <s v="555-8368"/>
    <x v="0"/>
    <s v="Gym|Elevator|Garage|Fireplace"/>
  </r>
  <r>
    <n v="1246"/>
    <s v="Property 1246"/>
    <x v="0"/>
    <x v="0"/>
    <n v="836728"/>
    <d v="2024-11-12T00:00:00"/>
    <x v="1"/>
    <m/>
    <n v="1243"/>
    <x v="1"/>
    <n v="3"/>
    <n v="2"/>
    <x v="0"/>
    <n v="2000"/>
    <m/>
    <n v="1"/>
    <x v="6"/>
    <s v="555-7011"/>
    <x v="1"/>
    <s v="Fireplace|Garage"/>
  </r>
  <r>
    <n v="1247"/>
    <s v="Property 1247"/>
    <x v="3"/>
    <x v="2"/>
    <n v="591793"/>
    <d v="2024-06-25T00:00:00"/>
    <x v="22"/>
    <n v="610855"/>
    <n v="3818"/>
    <x v="110"/>
    <n v="6"/>
    <n v="3"/>
    <x v="2"/>
    <n v="2012"/>
    <n v="7"/>
    <n v="1"/>
    <x v="7"/>
    <s v="555-7067"/>
    <x v="0"/>
    <s v="Fireplace|Gym|Garage|Garden"/>
  </r>
  <r>
    <n v="1248"/>
    <s v="Property 1248"/>
    <x v="1"/>
    <x v="1"/>
    <n v="489321"/>
    <d v="2024-07-13T00:00:00"/>
    <x v="13"/>
    <n v="512087"/>
    <n v="2147"/>
    <x v="111"/>
    <n v="4"/>
    <n v="2"/>
    <x v="2"/>
    <n v="2001"/>
    <n v="6"/>
    <n v="3"/>
    <x v="2"/>
    <s v="555-6561"/>
    <x v="0"/>
    <s v="Pool|Sauna|Elevator"/>
  </r>
  <r>
    <n v="1249"/>
    <s v="Property 1249"/>
    <x v="2"/>
    <x v="0"/>
    <n v="597073"/>
    <d v="2024-09-17T00:00:00"/>
    <x v="100"/>
    <n v="639274"/>
    <n v="1936"/>
    <x v="112"/>
    <n v="3"/>
    <n v="3"/>
    <x v="1"/>
    <n v="2012"/>
    <n v="10"/>
    <n v="1"/>
    <x v="8"/>
    <s v="555-5965"/>
    <x v="0"/>
    <s v="Garage|Pool|Sauna|Elevator"/>
  </r>
  <r>
    <n v="1250"/>
    <s v="Property 1250"/>
    <x v="1"/>
    <x v="1"/>
    <n v="434897"/>
    <d v="2024-05-26T00:00:00"/>
    <x v="1"/>
    <m/>
    <n v="1927"/>
    <x v="1"/>
    <n v="2"/>
    <n v="2"/>
    <x v="0"/>
    <n v="2001"/>
    <m/>
    <n v="3"/>
    <x v="6"/>
    <s v="555-1806"/>
    <x v="1"/>
    <s v="Pool|Elevator|Barn"/>
  </r>
  <r>
    <n v="1251"/>
    <s v="Property 1251"/>
    <x v="2"/>
    <x v="0"/>
    <n v="568008"/>
    <d v="2024-01-13T00:00:00"/>
    <x v="1"/>
    <m/>
    <n v="2481"/>
    <x v="1"/>
    <n v="3"/>
    <n v="3"/>
    <x v="1"/>
    <n v="2018"/>
    <n v="1"/>
    <n v="4"/>
    <x v="2"/>
    <s v="555-3205"/>
    <x v="1"/>
    <s v="Gym|Elevator|Fireplace"/>
  </r>
  <r>
    <n v="1252"/>
    <s v="Property 1252"/>
    <x v="1"/>
    <x v="2"/>
    <n v="562886"/>
    <d v="2024-05-17T00:00:00"/>
    <x v="101"/>
    <n v="573957"/>
    <n v="1166"/>
    <x v="113"/>
    <n v="6"/>
    <n v="4"/>
    <x v="0"/>
    <n v="2000"/>
    <m/>
    <n v="3"/>
    <x v="5"/>
    <s v="555-1542"/>
    <x v="0"/>
    <s v="Elevator"/>
  </r>
  <r>
    <n v="1253"/>
    <s v="Property 1253"/>
    <x v="4"/>
    <x v="2"/>
    <n v="309869"/>
    <d v="2024-05-04T00:00:00"/>
    <x v="102"/>
    <n v="353534"/>
    <n v="1075"/>
    <x v="114"/>
    <n v="5"/>
    <n v="5"/>
    <x v="2"/>
    <n v="2019"/>
    <n v="8"/>
    <n v="4"/>
    <x v="2"/>
    <s v="555-1816"/>
    <x v="0"/>
    <s v="Barn"/>
  </r>
  <r>
    <n v="1254"/>
    <s v="Property 1254"/>
    <x v="0"/>
    <x v="0"/>
    <n v="817975"/>
    <d v="2023-12-20T00:00:00"/>
    <x v="1"/>
    <m/>
    <n v="2471"/>
    <x v="1"/>
    <n v="5"/>
    <n v="4"/>
    <x v="1"/>
    <n v="2007"/>
    <n v="10"/>
    <n v="4"/>
    <x v="3"/>
    <s v="555-1568"/>
    <x v="1"/>
    <s v="Elevator"/>
  </r>
  <r>
    <n v="1255"/>
    <s v="Property 1255"/>
    <x v="3"/>
    <x v="0"/>
    <n v="378118"/>
    <d v="2024-04-05T00:00:00"/>
    <x v="1"/>
    <m/>
    <n v="2583"/>
    <x v="1"/>
    <n v="5"/>
    <n v="5"/>
    <x v="3"/>
    <n v="2016"/>
    <n v="8"/>
    <n v="3"/>
    <x v="7"/>
    <s v="555-6617"/>
    <x v="1"/>
    <s v="Pool"/>
  </r>
  <r>
    <n v="1256"/>
    <s v="Property 1256"/>
    <x v="3"/>
    <x v="0"/>
    <n v="300748"/>
    <d v="2024-07-13T00:00:00"/>
    <x v="1"/>
    <m/>
    <n v="3459"/>
    <x v="1"/>
    <n v="6"/>
    <n v="3"/>
    <x v="0"/>
    <n v="2023"/>
    <m/>
    <n v="4"/>
    <x v="4"/>
    <s v="555-2478"/>
    <x v="1"/>
    <s v="Barn|Gym"/>
  </r>
  <r>
    <n v="1257"/>
    <s v="Property 1257"/>
    <x v="2"/>
    <x v="2"/>
    <n v="414379"/>
    <d v="2024-11-20T00:00:00"/>
    <x v="38"/>
    <n v="457142"/>
    <n v="2783"/>
    <x v="115"/>
    <n v="3"/>
    <n v="4"/>
    <x v="0"/>
    <n v="2019"/>
    <m/>
    <n v="1"/>
    <x v="0"/>
    <s v="555-5048"/>
    <x v="0"/>
    <s v="Sauna"/>
  </r>
  <r>
    <n v="1258"/>
    <s v="Property 1258"/>
    <x v="1"/>
    <x v="2"/>
    <n v="898701"/>
    <d v="2024-05-21T00:00:00"/>
    <x v="103"/>
    <n v="948533"/>
    <n v="2503"/>
    <x v="116"/>
    <n v="6"/>
    <n v="5"/>
    <x v="0"/>
    <n v="2001"/>
    <m/>
    <n v="1"/>
    <x v="7"/>
    <s v="555-7969"/>
    <x v="0"/>
    <s v="Garden|Garage|Pool|Elevator"/>
  </r>
  <r>
    <n v="1259"/>
    <s v="Property 1259"/>
    <x v="1"/>
    <x v="2"/>
    <n v="613313"/>
    <d v="2024-11-26T00:00:00"/>
    <x v="104"/>
    <n v="635645"/>
    <n v="1169"/>
    <x v="117"/>
    <n v="5"/>
    <n v="2"/>
    <x v="3"/>
    <n v="2012"/>
    <n v="8"/>
    <n v="2"/>
    <x v="9"/>
    <s v="555-9432"/>
    <x v="0"/>
    <s v="Pool"/>
  </r>
  <r>
    <n v="1260"/>
    <s v="Property 1260"/>
    <x v="3"/>
    <x v="0"/>
    <n v="866625"/>
    <d v="2024-03-17T00:00:00"/>
    <x v="1"/>
    <m/>
    <n v="3537"/>
    <x v="1"/>
    <n v="5"/>
    <n v="2"/>
    <x v="0"/>
    <n v="2018"/>
    <m/>
    <n v="4"/>
    <x v="9"/>
    <s v="555-4181"/>
    <x v="1"/>
    <s v="Elevator|Barn|Gym"/>
  </r>
  <r>
    <n v="1261"/>
    <s v="Property 1261"/>
    <x v="4"/>
    <x v="1"/>
    <n v="450290"/>
    <d v="2024-09-01T00:00:00"/>
    <x v="105"/>
    <n v="496385"/>
    <n v="4589"/>
    <x v="118"/>
    <n v="3"/>
    <n v="2"/>
    <x v="1"/>
    <n v="2000"/>
    <n v="9"/>
    <n v="2"/>
    <x v="7"/>
    <s v="555-7711"/>
    <x v="0"/>
    <s v="Elevator|Gym|Sauna"/>
  </r>
  <r>
    <n v="1262"/>
    <s v="Property 1262"/>
    <x v="0"/>
    <x v="0"/>
    <n v="480095"/>
    <d v="2024-01-24T00:00:00"/>
    <x v="106"/>
    <n v="506842"/>
    <n v="2021"/>
    <x v="119"/>
    <n v="4"/>
    <n v="5"/>
    <x v="3"/>
    <n v="2014"/>
    <n v="3"/>
    <n v="3"/>
    <x v="4"/>
    <s v="555-3075"/>
    <x v="0"/>
    <s v="Pool"/>
  </r>
  <r>
    <n v="1263"/>
    <s v="Property 1263"/>
    <x v="0"/>
    <x v="2"/>
    <n v="459196"/>
    <d v="2024-05-23T00:00:00"/>
    <x v="107"/>
    <n v="487299"/>
    <n v="3839"/>
    <x v="120"/>
    <n v="4"/>
    <n v="3"/>
    <x v="0"/>
    <n v="2014"/>
    <m/>
    <n v="2"/>
    <x v="7"/>
    <s v="555-6857"/>
    <x v="0"/>
    <s v="Pool|Elevator|Fireplace"/>
  </r>
  <r>
    <n v="1264"/>
    <s v="Property 1264"/>
    <x v="0"/>
    <x v="1"/>
    <n v="561885"/>
    <d v="2024-05-07T00:00:00"/>
    <x v="1"/>
    <m/>
    <n v="4944"/>
    <x v="1"/>
    <n v="2"/>
    <n v="2"/>
    <x v="3"/>
    <n v="2016"/>
    <n v="6"/>
    <n v="2"/>
    <x v="9"/>
    <s v="555-1905"/>
    <x v="1"/>
    <s v="Elevator|Gym|Sauna"/>
  </r>
  <r>
    <n v="1265"/>
    <s v="Property 1265"/>
    <x v="2"/>
    <x v="0"/>
    <n v="961129"/>
    <d v="2024-08-31T00:00:00"/>
    <x v="1"/>
    <m/>
    <n v="2919"/>
    <x v="1"/>
    <n v="5"/>
    <n v="5"/>
    <x v="0"/>
    <n v="2020"/>
    <m/>
    <n v="2"/>
    <x v="2"/>
    <s v="555-8664"/>
    <x v="1"/>
    <s v="Garage|Elevator|Gym|Garden"/>
  </r>
  <r>
    <n v="1266"/>
    <s v="Property 1266"/>
    <x v="3"/>
    <x v="1"/>
    <n v="785049"/>
    <d v="2024-11-11T00:00:00"/>
    <x v="60"/>
    <n v="811413"/>
    <n v="2937"/>
    <x v="121"/>
    <n v="2"/>
    <n v="3"/>
    <x v="3"/>
    <n v="2008"/>
    <n v="3"/>
    <n v="4"/>
    <x v="8"/>
    <s v="555-1004"/>
    <x v="0"/>
    <s v="Garden|Garage|Pool"/>
  </r>
  <r>
    <n v="1267"/>
    <s v="Property 1267"/>
    <x v="2"/>
    <x v="0"/>
    <n v="485996"/>
    <d v="2024-06-06T00:00:00"/>
    <x v="108"/>
    <n v="502648"/>
    <n v="1414"/>
    <x v="122"/>
    <n v="5"/>
    <n v="4"/>
    <x v="0"/>
    <n v="2013"/>
    <m/>
    <n v="2"/>
    <x v="6"/>
    <s v="555-8730"/>
    <x v="0"/>
    <s v="Gym|Pool|Garden|Elevator"/>
  </r>
  <r>
    <n v="1268"/>
    <s v="Property 1268"/>
    <x v="3"/>
    <x v="2"/>
    <n v="924296"/>
    <d v="2024-08-07T00:00:00"/>
    <x v="109"/>
    <n v="936823"/>
    <n v="4824"/>
    <x v="123"/>
    <n v="2"/>
    <n v="3"/>
    <x v="0"/>
    <n v="2012"/>
    <m/>
    <n v="2"/>
    <x v="6"/>
    <s v="555-9268"/>
    <x v="0"/>
    <s v="Fireplace"/>
  </r>
  <r>
    <n v="1269"/>
    <s v="Property 1269"/>
    <x v="3"/>
    <x v="2"/>
    <n v="443711"/>
    <d v="2024-04-19T00:00:00"/>
    <x v="110"/>
    <n v="456217"/>
    <n v="4468"/>
    <x v="124"/>
    <n v="2"/>
    <n v="3"/>
    <x v="0"/>
    <n v="2019"/>
    <m/>
    <n v="1"/>
    <x v="5"/>
    <s v="555-1980"/>
    <x v="0"/>
    <s v="Gym|Barn|Pool|Garden"/>
  </r>
  <r>
    <n v="1270"/>
    <s v="Property 1270"/>
    <x v="1"/>
    <x v="0"/>
    <n v="446468"/>
    <d v="2024-11-18T00:00:00"/>
    <x v="111"/>
    <n v="489050"/>
    <n v="4242"/>
    <x v="125"/>
    <n v="5"/>
    <n v="3"/>
    <x v="2"/>
    <n v="2022"/>
    <n v="3"/>
    <n v="2"/>
    <x v="7"/>
    <s v="555-9372"/>
    <x v="0"/>
    <s v="Sauna|Barn|Garage|Garden"/>
  </r>
  <r>
    <n v="1271"/>
    <s v="Property 1271"/>
    <x v="3"/>
    <x v="1"/>
    <n v="556577"/>
    <d v="2024-10-30T00:00:00"/>
    <x v="1"/>
    <m/>
    <n v="1413"/>
    <x v="1"/>
    <n v="6"/>
    <n v="2"/>
    <x v="0"/>
    <n v="2001"/>
    <m/>
    <n v="2"/>
    <x v="9"/>
    <s v="555-4061"/>
    <x v="1"/>
    <s v="Garage"/>
  </r>
  <r>
    <n v="1272"/>
    <s v="Property 1272"/>
    <x v="3"/>
    <x v="1"/>
    <n v="377319"/>
    <d v="2024-12-11T00:00:00"/>
    <x v="1"/>
    <m/>
    <n v="4194"/>
    <x v="1"/>
    <n v="2"/>
    <n v="3"/>
    <x v="3"/>
    <n v="2010"/>
    <n v="3"/>
    <n v="1"/>
    <x v="8"/>
    <s v="555-9684"/>
    <x v="1"/>
    <s v="Elevator|Garden|Barn"/>
  </r>
  <r>
    <n v="1273"/>
    <s v="Property 1273"/>
    <x v="2"/>
    <x v="1"/>
    <n v="501203"/>
    <d v="2024-08-11T00:00:00"/>
    <x v="1"/>
    <m/>
    <n v="2310"/>
    <x v="1"/>
    <n v="6"/>
    <n v="4"/>
    <x v="3"/>
    <n v="2001"/>
    <n v="3"/>
    <n v="1"/>
    <x v="5"/>
    <s v="555-2625"/>
    <x v="1"/>
    <s v="Garage"/>
  </r>
  <r>
    <n v="1274"/>
    <s v="Property 1274"/>
    <x v="1"/>
    <x v="0"/>
    <n v="773285"/>
    <d v="2024-02-02T00:00:00"/>
    <x v="1"/>
    <m/>
    <n v="4648"/>
    <x v="1"/>
    <n v="3"/>
    <n v="2"/>
    <x v="2"/>
    <n v="2002"/>
    <n v="1"/>
    <n v="2"/>
    <x v="3"/>
    <s v="555-3867"/>
    <x v="1"/>
    <s v="Gym|Garden|Garage"/>
  </r>
  <r>
    <n v="1275"/>
    <s v="Property 1275"/>
    <x v="0"/>
    <x v="0"/>
    <n v="961766"/>
    <d v="2024-03-07T00:00:00"/>
    <x v="112"/>
    <n v="1007879"/>
    <n v="3426"/>
    <x v="126"/>
    <n v="3"/>
    <n v="5"/>
    <x v="0"/>
    <n v="2011"/>
    <m/>
    <n v="3"/>
    <x v="4"/>
    <s v="555-3235"/>
    <x v="0"/>
    <s v="Gym|Elevator|Garden"/>
  </r>
  <r>
    <n v="1276"/>
    <s v="Property 1276"/>
    <x v="3"/>
    <x v="2"/>
    <n v="533082"/>
    <d v="2024-10-27T00:00:00"/>
    <x v="113"/>
    <n v="554048"/>
    <n v="4123"/>
    <x v="127"/>
    <n v="3"/>
    <n v="3"/>
    <x v="2"/>
    <n v="2013"/>
    <n v="5"/>
    <n v="3"/>
    <x v="5"/>
    <s v="555-6877"/>
    <x v="0"/>
    <s v="Garage|Sauna|Fireplace"/>
  </r>
  <r>
    <n v="1277"/>
    <s v="Property 1277"/>
    <x v="1"/>
    <x v="0"/>
    <n v="518573"/>
    <d v="2024-05-22T00:00:00"/>
    <x v="1"/>
    <m/>
    <n v="3242"/>
    <x v="1"/>
    <n v="3"/>
    <n v="3"/>
    <x v="3"/>
    <n v="2021"/>
    <n v="10"/>
    <n v="1"/>
    <x v="7"/>
    <s v="555-1862"/>
    <x v="1"/>
    <s v="Garden|Barn|Garage|Gym"/>
  </r>
  <r>
    <n v="1278"/>
    <s v="Property 1278"/>
    <x v="2"/>
    <x v="2"/>
    <n v="514201"/>
    <d v="2024-10-05T00:00:00"/>
    <x v="114"/>
    <n v="545231"/>
    <n v="1960"/>
    <x v="128"/>
    <n v="6"/>
    <n v="4"/>
    <x v="0"/>
    <n v="2020"/>
    <m/>
    <n v="2"/>
    <x v="7"/>
    <s v="555-2552"/>
    <x v="0"/>
    <s v="Barn"/>
  </r>
  <r>
    <n v="1279"/>
    <s v="Property 1279"/>
    <x v="2"/>
    <x v="2"/>
    <n v="557485"/>
    <d v="2024-08-03T00:00:00"/>
    <x v="1"/>
    <m/>
    <n v="2841"/>
    <x v="1"/>
    <n v="4"/>
    <n v="4"/>
    <x v="1"/>
    <n v="2001"/>
    <n v="4"/>
    <n v="3"/>
    <x v="7"/>
    <s v="555-7186"/>
    <x v="1"/>
    <s v="Sauna"/>
  </r>
  <r>
    <n v="1280"/>
    <s v="Property 1280"/>
    <x v="0"/>
    <x v="0"/>
    <n v="490045"/>
    <d v="2024-04-17T00:00:00"/>
    <x v="31"/>
    <n v="530862"/>
    <n v="3182"/>
    <x v="129"/>
    <n v="4"/>
    <n v="4"/>
    <x v="1"/>
    <n v="2009"/>
    <n v="4"/>
    <n v="1"/>
    <x v="9"/>
    <s v="555-5203"/>
    <x v="0"/>
    <s v="Elevator|Garden"/>
  </r>
  <r>
    <n v="1281"/>
    <s v="Property 1281"/>
    <x v="0"/>
    <x v="0"/>
    <n v="320225"/>
    <d v="2024-11-23T00:00:00"/>
    <x v="115"/>
    <n v="344944"/>
    <n v="3544"/>
    <x v="130"/>
    <n v="5"/>
    <n v="2"/>
    <x v="2"/>
    <n v="2009"/>
    <n v="6"/>
    <n v="2"/>
    <x v="4"/>
    <s v="555-7258"/>
    <x v="0"/>
    <s v="Garage"/>
  </r>
  <r>
    <n v="1282"/>
    <s v="Property 1282"/>
    <x v="0"/>
    <x v="2"/>
    <n v="988741"/>
    <d v="2024-03-20T00:00:00"/>
    <x v="1"/>
    <m/>
    <n v="4050"/>
    <x v="1"/>
    <n v="5"/>
    <n v="4"/>
    <x v="0"/>
    <n v="2013"/>
    <m/>
    <n v="1"/>
    <x v="8"/>
    <s v="555-1035"/>
    <x v="1"/>
    <s v="Elevator"/>
  </r>
  <r>
    <n v="1283"/>
    <s v="Property 1283"/>
    <x v="0"/>
    <x v="2"/>
    <n v="648036"/>
    <d v="2024-08-07T00:00:00"/>
    <x v="1"/>
    <m/>
    <n v="1732"/>
    <x v="1"/>
    <n v="5"/>
    <n v="4"/>
    <x v="2"/>
    <n v="2000"/>
    <n v="3"/>
    <n v="3"/>
    <x v="6"/>
    <s v="555-7571"/>
    <x v="1"/>
    <s v="Gym"/>
  </r>
  <r>
    <n v="1284"/>
    <s v="Property 1284"/>
    <x v="1"/>
    <x v="1"/>
    <n v="940065"/>
    <d v="2024-08-22T00:00:00"/>
    <x v="1"/>
    <m/>
    <n v="2088"/>
    <x v="1"/>
    <n v="4"/>
    <n v="4"/>
    <x v="1"/>
    <n v="2007"/>
    <n v="4"/>
    <n v="1"/>
    <x v="0"/>
    <s v="555-1194"/>
    <x v="1"/>
    <s v="Fireplace|Elevator|Gym|Pool"/>
  </r>
  <r>
    <n v="1285"/>
    <s v="Property 1285"/>
    <x v="0"/>
    <x v="0"/>
    <n v="358776"/>
    <d v="2024-12-07T00:00:00"/>
    <x v="102"/>
    <n v="400995"/>
    <n v="3006"/>
    <x v="131"/>
    <n v="2"/>
    <n v="2"/>
    <x v="1"/>
    <n v="2018"/>
    <n v="2"/>
    <n v="2"/>
    <x v="4"/>
    <s v="555-2497"/>
    <x v="0"/>
    <s v="Elevator|Fireplace"/>
  </r>
  <r>
    <n v="1286"/>
    <s v="Property 1286"/>
    <x v="2"/>
    <x v="1"/>
    <n v="930096"/>
    <d v="2024-10-11T00:00:00"/>
    <x v="1"/>
    <m/>
    <n v="2256"/>
    <x v="1"/>
    <n v="2"/>
    <n v="4"/>
    <x v="0"/>
    <n v="2010"/>
    <m/>
    <n v="1"/>
    <x v="2"/>
    <s v="555-2456"/>
    <x v="1"/>
    <s v="Garage|Garden|Pool|Elevator"/>
  </r>
  <r>
    <n v="1287"/>
    <s v="Property 1287"/>
    <x v="2"/>
    <x v="1"/>
    <n v="931578"/>
    <d v="2024-02-19T00:00:00"/>
    <x v="116"/>
    <n v="960666"/>
    <n v="2948"/>
    <x v="132"/>
    <n v="6"/>
    <n v="2"/>
    <x v="2"/>
    <n v="2009"/>
    <n v="7"/>
    <n v="2"/>
    <x v="5"/>
    <s v="555-6522"/>
    <x v="0"/>
    <s v="Barn"/>
  </r>
  <r>
    <n v="1288"/>
    <s v="Property 1288"/>
    <x v="0"/>
    <x v="1"/>
    <n v="910507"/>
    <d v="2024-06-02T00:00:00"/>
    <x v="1"/>
    <m/>
    <n v="1406"/>
    <x v="1"/>
    <n v="2"/>
    <n v="5"/>
    <x v="1"/>
    <n v="2000"/>
    <n v="3"/>
    <n v="4"/>
    <x v="0"/>
    <s v="555-3111"/>
    <x v="1"/>
    <s v="Barn"/>
  </r>
  <r>
    <n v="1289"/>
    <s v="Property 1289"/>
    <x v="2"/>
    <x v="1"/>
    <n v="409826"/>
    <d v="2024-06-22T00:00:00"/>
    <x v="1"/>
    <m/>
    <n v="2402"/>
    <x v="1"/>
    <n v="2"/>
    <n v="3"/>
    <x v="0"/>
    <n v="2012"/>
    <m/>
    <n v="1"/>
    <x v="4"/>
    <s v="555-2150"/>
    <x v="1"/>
    <s v="Fireplace|Elevator"/>
  </r>
  <r>
    <n v="1290"/>
    <s v="Property 1290"/>
    <x v="4"/>
    <x v="1"/>
    <n v="506603"/>
    <d v="2024-04-29T00:00:00"/>
    <x v="117"/>
    <n v="524923"/>
    <n v="4600"/>
    <x v="133"/>
    <n v="2"/>
    <n v="4"/>
    <x v="0"/>
    <n v="2019"/>
    <m/>
    <n v="4"/>
    <x v="7"/>
    <s v="555-5836"/>
    <x v="0"/>
    <s v="Pool|Sauna|Barn|Garage"/>
  </r>
  <r>
    <n v="1291"/>
    <s v="Property 1291"/>
    <x v="3"/>
    <x v="0"/>
    <n v="374802"/>
    <d v="2024-11-08T00:00:00"/>
    <x v="118"/>
    <n v="394986"/>
    <n v="2638"/>
    <x v="134"/>
    <n v="3"/>
    <n v="4"/>
    <x v="0"/>
    <n v="2018"/>
    <m/>
    <n v="1"/>
    <x v="4"/>
    <s v="555-4161"/>
    <x v="0"/>
    <s v="Gym"/>
  </r>
  <r>
    <n v="1292"/>
    <s v="Property 1292"/>
    <x v="4"/>
    <x v="1"/>
    <n v="890344"/>
    <d v="2024-08-13T00:00:00"/>
    <x v="119"/>
    <n v="935468"/>
    <n v="2371"/>
    <x v="135"/>
    <n v="6"/>
    <n v="5"/>
    <x v="1"/>
    <n v="2004"/>
    <n v="2"/>
    <n v="1"/>
    <x v="9"/>
    <s v="555-8214"/>
    <x v="0"/>
    <s v="Elevator"/>
  </r>
  <r>
    <n v="1293"/>
    <s v="Property 1293"/>
    <x v="1"/>
    <x v="2"/>
    <n v="367924"/>
    <d v="2024-02-27T00:00:00"/>
    <x v="1"/>
    <m/>
    <n v="3529"/>
    <x v="1"/>
    <n v="4"/>
    <n v="4"/>
    <x v="2"/>
    <n v="2022"/>
    <n v="2"/>
    <n v="2"/>
    <x v="5"/>
    <s v="555-5900"/>
    <x v="1"/>
    <s v="Barn"/>
  </r>
  <r>
    <n v="1294"/>
    <s v="Property 1294"/>
    <x v="2"/>
    <x v="1"/>
    <n v="776040"/>
    <d v="2024-09-22T00:00:00"/>
    <x v="120"/>
    <n v="803455"/>
    <n v="1124"/>
    <x v="136"/>
    <n v="3"/>
    <n v="5"/>
    <x v="1"/>
    <n v="2009"/>
    <n v="8"/>
    <n v="1"/>
    <x v="4"/>
    <s v="555-8733"/>
    <x v="0"/>
    <s v="Elevator"/>
  </r>
  <r>
    <n v="1295"/>
    <s v="Property 1295"/>
    <x v="1"/>
    <x v="1"/>
    <n v="593230"/>
    <d v="2024-02-22T00:00:00"/>
    <x v="1"/>
    <m/>
    <n v="2992"/>
    <x v="1"/>
    <n v="3"/>
    <n v="2"/>
    <x v="1"/>
    <n v="2023"/>
    <n v="2"/>
    <n v="1"/>
    <x v="3"/>
    <s v="555-8287"/>
    <x v="1"/>
    <s v="Gym|Pool"/>
  </r>
  <r>
    <n v="1296"/>
    <s v="Property 1296"/>
    <x v="3"/>
    <x v="0"/>
    <n v="650973"/>
    <d v="2024-12-03T00:00:00"/>
    <x v="121"/>
    <n v="685626"/>
    <n v="2872"/>
    <x v="137"/>
    <n v="3"/>
    <n v="5"/>
    <x v="2"/>
    <n v="2001"/>
    <n v="1"/>
    <n v="2"/>
    <x v="4"/>
    <s v="555-9358"/>
    <x v="0"/>
    <s v="Pool|Elevator|Garage|Garden"/>
  </r>
  <r>
    <n v="1297"/>
    <s v="Property 1297"/>
    <x v="4"/>
    <x v="1"/>
    <n v="336942"/>
    <d v="2024-12-02T00:00:00"/>
    <x v="1"/>
    <m/>
    <n v="1749"/>
    <x v="1"/>
    <n v="3"/>
    <n v="2"/>
    <x v="2"/>
    <n v="2012"/>
    <n v="2"/>
    <n v="3"/>
    <x v="8"/>
    <s v="555-4568"/>
    <x v="1"/>
    <s v="Sauna|Gym|Garden"/>
  </r>
  <r>
    <n v="1298"/>
    <s v="Property 1298"/>
    <x v="3"/>
    <x v="1"/>
    <n v="473612"/>
    <d v="2023-12-19T00:00:00"/>
    <x v="1"/>
    <m/>
    <n v="2885"/>
    <x v="1"/>
    <n v="6"/>
    <n v="4"/>
    <x v="3"/>
    <n v="2011"/>
    <n v="10"/>
    <n v="4"/>
    <x v="0"/>
    <s v="555-5207"/>
    <x v="1"/>
    <s v="Fireplace"/>
  </r>
  <r>
    <n v="1299"/>
    <s v="Property 1299"/>
    <x v="0"/>
    <x v="2"/>
    <n v="661383"/>
    <d v="2024-12-16T00:00:00"/>
    <x v="1"/>
    <m/>
    <n v="4730"/>
    <x v="1"/>
    <n v="6"/>
    <n v="4"/>
    <x v="0"/>
    <n v="2012"/>
    <m/>
    <n v="1"/>
    <x v="3"/>
    <s v="555-8405"/>
    <x v="1"/>
    <s v="Fireplace|Garage"/>
  </r>
  <r>
    <n v="1300"/>
    <s v="Property 1300"/>
    <x v="1"/>
    <x v="1"/>
    <n v="773938"/>
    <d v="2024-06-08T00:00:00"/>
    <x v="109"/>
    <n v="790382"/>
    <n v="2920"/>
    <x v="138"/>
    <n v="6"/>
    <n v="4"/>
    <x v="0"/>
    <n v="2003"/>
    <m/>
    <n v="4"/>
    <x v="7"/>
    <s v="555-5544"/>
    <x v="0"/>
    <s v="Garage"/>
  </r>
  <r>
    <n v="1301"/>
    <s v="Property 1301"/>
    <x v="1"/>
    <x v="0"/>
    <n v="592525"/>
    <d v="2024-06-28T00:00:00"/>
    <x v="122"/>
    <n v="632029"/>
    <n v="1976"/>
    <x v="139"/>
    <n v="6"/>
    <n v="5"/>
    <x v="3"/>
    <n v="2019"/>
    <n v="1"/>
    <n v="1"/>
    <x v="9"/>
    <s v="555-4087"/>
    <x v="0"/>
    <s v="Gym|Elevator|Pool"/>
  </r>
  <r>
    <n v="1302"/>
    <s v="Property 1302"/>
    <x v="0"/>
    <x v="1"/>
    <n v="328728"/>
    <d v="2024-10-01T00:00:00"/>
    <x v="123"/>
    <n v="340819"/>
    <n v="3420"/>
    <x v="140"/>
    <n v="2"/>
    <n v="4"/>
    <x v="2"/>
    <n v="2020"/>
    <n v="4"/>
    <n v="3"/>
    <x v="4"/>
    <s v="555-2694"/>
    <x v="0"/>
    <s v="Gym|Barn"/>
  </r>
  <r>
    <n v="1303"/>
    <s v="Property 1303"/>
    <x v="1"/>
    <x v="1"/>
    <n v="832032"/>
    <d v="2024-03-18T00:00:00"/>
    <x v="1"/>
    <m/>
    <n v="2903"/>
    <x v="1"/>
    <n v="3"/>
    <n v="5"/>
    <x v="3"/>
    <n v="2023"/>
    <n v="10"/>
    <n v="2"/>
    <x v="6"/>
    <s v="555-7387"/>
    <x v="1"/>
    <s v="Garage|Pool"/>
  </r>
  <r>
    <n v="1304"/>
    <s v="Property 1304"/>
    <x v="1"/>
    <x v="2"/>
    <n v="933090"/>
    <d v="2024-08-11T00:00:00"/>
    <x v="124"/>
    <n v="962298"/>
    <n v="2171"/>
    <x v="141"/>
    <n v="3"/>
    <n v="2"/>
    <x v="3"/>
    <n v="2012"/>
    <n v="5"/>
    <n v="2"/>
    <x v="1"/>
    <s v="555-4020"/>
    <x v="0"/>
    <s v="Garage|Pool|Fireplace|Sauna"/>
  </r>
  <r>
    <n v="1305"/>
    <s v="Property 1305"/>
    <x v="4"/>
    <x v="2"/>
    <n v="729967"/>
    <d v="2024-11-22T00:00:00"/>
    <x v="125"/>
    <n v="777390"/>
    <n v="2514"/>
    <x v="142"/>
    <n v="3"/>
    <n v="4"/>
    <x v="2"/>
    <n v="2008"/>
    <n v="7"/>
    <n v="3"/>
    <x v="3"/>
    <s v="555-6502"/>
    <x v="0"/>
    <s v="Pool"/>
  </r>
  <r>
    <n v="1306"/>
    <s v="Property 1306"/>
    <x v="2"/>
    <x v="1"/>
    <n v="664054"/>
    <d v="2024-05-28T00:00:00"/>
    <x v="1"/>
    <m/>
    <n v="2315"/>
    <x v="1"/>
    <n v="6"/>
    <n v="3"/>
    <x v="0"/>
    <n v="2007"/>
    <m/>
    <n v="1"/>
    <x v="5"/>
    <s v="555-2776"/>
    <x v="1"/>
    <s v="Barn|Garden"/>
  </r>
  <r>
    <n v="1307"/>
    <s v="Property 1307"/>
    <x v="2"/>
    <x v="2"/>
    <n v="425832"/>
    <d v="2024-02-01T00:00:00"/>
    <x v="1"/>
    <m/>
    <n v="4702"/>
    <x v="1"/>
    <n v="2"/>
    <n v="3"/>
    <x v="3"/>
    <n v="2010"/>
    <n v="8"/>
    <n v="2"/>
    <x v="6"/>
    <s v="555-1846"/>
    <x v="1"/>
    <s v="Gym|Pool|Elevator"/>
  </r>
  <r>
    <n v="1308"/>
    <s v="Property 1308"/>
    <x v="2"/>
    <x v="1"/>
    <n v="839320"/>
    <d v="2024-10-21T00:00:00"/>
    <x v="118"/>
    <n v="884025"/>
    <n v="3457"/>
    <x v="143"/>
    <n v="4"/>
    <n v="2"/>
    <x v="2"/>
    <n v="2017"/>
    <n v="1"/>
    <n v="4"/>
    <x v="3"/>
    <s v="555-8901"/>
    <x v="0"/>
    <s v="Gym|Pool|Garden|Sauna"/>
  </r>
  <r>
    <n v="1309"/>
    <s v="Property 1309"/>
    <x v="4"/>
    <x v="0"/>
    <n v="609958"/>
    <d v="2024-03-22T00:00:00"/>
    <x v="1"/>
    <m/>
    <n v="1066"/>
    <x v="1"/>
    <n v="4"/>
    <n v="2"/>
    <x v="0"/>
    <n v="2003"/>
    <m/>
    <n v="3"/>
    <x v="7"/>
    <s v="555-2461"/>
    <x v="1"/>
    <s v="Garage|Fireplace|Sauna"/>
  </r>
  <r>
    <n v="1310"/>
    <s v="Property 1310"/>
    <x v="0"/>
    <x v="1"/>
    <n v="746538"/>
    <d v="2024-02-24T00:00:00"/>
    <x v="126"/>
    <n v="771575"/>
    <n v="2081"/>
    <x v="144"/>
    <n v="4"/>
    <n v="3"/>
    <x v="3"/>
    <n v="2017"/>
    <n v="2"/>
    <n v="3"/>
    <x v="6"/>
    <s v="555-2254"/>
    <x v="0"/>
    <s v="Barn|Gym|Sauna|Garden"/>
  </r>
  <r>
    <n v="1311"/>
    <s v="Property 1311"/>
    <x v="3"/>
    <x v="2"/>
    <n v="958108"/>
    <d v="2024-08-06T00:00:00"/>
    <x v="1"/>
    <m/>
    <n v="1571"/>
    <x v="1"/>
    <n v="6"/>
    <n v="2"/>
    <x v="3"/>
    <n v="2003"/>
    <n v="7"/>
    <n v="4"/>
    <x v="3"/>
    <s v="555-1523"/>
    <x v="1"/>
    <s v="Garden|Gym|Pool"/>
  </r>
  <r>
    <n v="1312"/>
    <s v="Property 1312"/>
    <x v="2"/>
    <x v="1"/>
    <n v="658612"/>
    <d v="2024-02-26T00:00:00"/>
    <x v="127"/>
    <n v="682376"/>
    <n v="4027"/>
    <x v="145"/>
    <n v="2"/>
    <n v="2"/>
    <x v="1"/>
    <n v="2007"/>
    <n v="3"/>
    <n v="1"/>
    <x v="6"/>
    <s v="555-8386"/>
    <x v="0"/>
    <s v="Garage|Garden"/>
  </r>
  <r>
    <n v="1313"/>
    <s v="Property 1313"/>
    <x v="4"/>
    <x v="2"/>
    <n v="931295"/>
    <d v="2024-03-20T00:00:00"/>
    <x v="105"/>
    <n v="958648"/>
    <n v="1836"/>
    <x v="146"/>
    <n v="2"/>
    <n v="4"/>
    <x v="1"/>
    <n v="2005"/>
    <n v="8"/>
    <n v="1"/>
    <x v="7"/>
    <s v="555-9878"/>
    <x v="0"/>
    <s v="Elevator|Fireplace"/>
  </r>
  <r>
    <n v="1314"/>
    <s v="Property 1314"/>
    <x v="0"/>
    <x v="2"/>
    <n v="428193"/>
    <d v="2024-06-10T00:00:00"/>
    <x v="128"/>
    <n v="455184"/>
    <n v="4202"/>
    <x v="147"/>
    <n v="3"/>
    <n v="2"/>
    <x v="0"/>
    <n v="2010"/>
    <m/>
    <n v="4"/>
    <x v="0"/>
    <s v="555-2416"/>
    <x v="0"/>
    <s v="Fireplace"/>
  </r>
  <r>
    <n v="1315"/>
    <s v="Property 1315"/>
    <x v="3"/>
    <x v="2"/>
    <n v="756885"/>
    <d v="2023-12-26T00:00:00"/>
    <x v="1"/>
    <m/>
    <n v="3273"/>
    <x v="1"/>
    <n v="4"/>
    <n v="2"/>
    <x v="2"/>
    <n v="2020"/>
    <n v="5"/>
    <n v="3"/>
    <x v="7"/>
    <s v="555-2516"/>
    <x v="1"/>
    <s v="Garage|Sauna|Elevator|Gym"/>
  </r>
  <r>
    <n v="1316"/>
    <s v="Property 1316"/>
    <x v="3"/>
    <x v="1"/>
    <n v="449396"/>
    <d v="2024-05-31T00:00:00"/>
    <x v="129"/>
    <n v="485003"/>
    <n v="4482"/>
    <x v="148"/>
    <n v="4"/>
    <n v="4"/>
    <x v="3"/>
    <n v="2005"/>
    <n v="6"/>
    <n v="3"/>
    <x v="5"/>
    <s v="555-1170"/>
    <x v="0"/>
    <s v="Barn|Fireplace"/>
  </r>
  <r>
    <n v="1317"/>
    <s v="Property 1317"/>
    <x v="0"/>
    <x v="1"/>
    <n v="501505"/>
    <d v="2024-10-14T00:00:00"/>
    <x v="130"/>
    <n v="516756"/>
    <n v="2669"/>
    <x v="149"/>
    <n v="6"/>
    <n v="3"/>
    <x v="3"/>
    <n v="2004"/>
    <n v="8"/>
    <n v="2"/>
    <x v="6"/>
    <s v="555-8654"/>
    <x v="0"/>
    <s v="Pool|Garden|Sauna|Barn"/>
  </r>
  <r>
    <n v="1318"/>
    <s v="Property 1318"/>
    <x v="2"/>
    <x v="1"/>
    <n v="579707"/>
    <d v="2024-01-17T00:00:00"/>
    <x v="1"/>
    <m/>
    <n v="4016"/>
    <x v="1"/>
    <n v="4"/>
    <n v="2"/>
    <x v="0"/>
    <n v="2019"/>
    <m/>
    <n v="2"/>
    <x v="4"/>
    <s v="555-2925"/>
    <x v="1"/>
    <s v="Fireplace|Sauna|Garage|Pool"/>
  </r>
  <r>
    <n v="1319"/>
    <s v="Property 1319"/>
    <x v="0"/>
    <x v="0"/>
    <n v="752299"/>
    <d v="2024-04-28T00:00:00"/>
    <x v="1"/>
    <m/>
    <n v="2164"/>
    <x v="1"/>
    <n v="2"/>
    <n v="4"/>
    <x v="1"/>
    <n v="2003"/>
    <n v="6"/>
    <n v="3"/>
    <x v="4"/>
    <s v="555-7973"/>
    <x v="1"/>
    <s v="Fireplace|Garden"/>
  </r>
  <r>
    <n v="1320"/>
    <s v="Property 1320"/>
    <x v="2"/>
    <x v="2"/>
    <n v="559001"/>
    <d v="2024-03-11T00:00:00"/>
    <x v="131"/>
    <n v="606433"/>
    <n v="4970"/>
    <x v="150"/>
    <n v="4"/>
    <n v="4"/>
    <x v="1"/>
    <n v="2008"/>
    <n v="8"/>
    <n v="2"/>
    <x v="0"/>
    <s v="555-7265"/>
    <x v="0"/>
    <s v="Fireplace|Barn|Sauna"/>
  </r>
  <r>
    <n v="1321"/>
    <s v="Property 1321"/>
    <x v="3"/>
    <x v="1"/>
    <n v="306004"/>
    <d v="2024-08-11T00:00:00"/>
    <x v="23"/>
    <n v="320344"/>
    <n v="1836"/>
    <x v="151"/>
    <n v="4"/>
    <n v="3"/>
    <x v="1"/>
    <n v="2012"/>
    <n v="1"/>
    <n v="1"/>
    <x v="9"/>
    <s v="555-6902"/>
    <x v="0"/>
    <s v="Garage|Barn"/>
  </r>
  <r>
    <n v="1322"/>
    <s v="Property 1322"/>
    <x v="0"/>
    <x v="0"/>
    <n v="883859"/>
    <d v="2024-08-20T00:00:00"/>
    <x v="53"/>
    <n v="905738"/>
    <n v="4164"/>
    <x v="152"/>
    <n v="6"/>
    <n v="5"/>
    <x v="2"/>
    <n v="2003"/>
    <n v="4"/>
    <n v="1"/>
    <x v="7"/>
    <s v="555-2946"/>
    <x v="0"/>
    <s v="Fireplace|Garden"/>
  </r>
  <r>
    <n v="1323"/>
    <s v="Property 1323"/>
    <x v="3"/>
    <x v="2"/>
    <n v="808812"/>
    <d v="2024-03-12T00:00:00"/>
    <x v="132"/>
    <n v="840855"/>
    <n v="1530"/>
    <x v="153"/>
    <n v="2"/>
    <n v="4"/>
    <x v="1"/>
    <n v="2004"/>
    <n v="1"/>
    <n v="3"/>
    <x v="4"/>
    <s v="555-4517"/>
    <x v="0"/>
    <s v="Pool|Garage|Sauna|Barn"/>
  </r>
  <r>
    <n v="1324"/>
    <s v="Property 1324"/>
    <x v="4"/>
    <x v="0"/>
    <n v="639146"/>
    <d v="2024-12-10T00:00:00"/>
    <x v="133"/>
    <n v="682662"/>
    <n v="2831"/>
    <x v="154"/>
    <n v="5"/>
    <n v="3"/>
    <x v="1"/>
    <n v="2002"/>
    <n v="6"/>
    <n v="3"/>
    <x v="4"/>
    <s v="555-9098"/>
    <x v="0"/>
    <s v="Sauna"/>
  </r>
  <r>
    <n v="1325"/>
    <s v="Property 1325"/>
    <x v="3"/>
    <x v="2"/>
    <n v="863273"/>
    <d v="2024-06-12T00:00:00"/>
    <x v="1"/>
    <m/>
    <n v="4882"/>
    <x v="1"/>
    <n v="2"/>
    <n v="2"/>
    <x v="3"/>
    <n v="2002"/>
    <n v="2"/>
    <n v="4"/>
    <x v="2"/>
    <s v="555-2675"/>
    <x v="1"/>
    <s v="Fireplace|Garage|Gym"/>
  </r>
  <r>
    <n v="1326"/>
    <s v="Property 1326"/>
    <x v="0"/>
    <x v="0"/>
    <n v="345313"/>
    <d v="2024-10-26T00:00:00"/>
    <x v="134"/>
    <n v="361399"/>
    <n v="3438"/>
    <x v="155"/>
    <n v="5"/>
    <n v="5"/>
    <x v="3"/>
    <n v="2011"/>
    <n v="10"/>
    <n v="3"/>
    <x v="1"/>
    <s v="555-2049"/>
    <x v="0"/>
    <s v="Garden|Elevator"/>
  </r>
  <r>
    <n v="1327"/>
    <s v="Property 1327"/>
    <x v="0"/>
    <x v="1"/>
    <n v="684311"/>
    <d v="2024-09-29T00:00:00"/>
    <x v="1"/>
    <m/>
    <n v="1563"/>
    <x v="1"/>
    <n v="6"/>
    <n v="5"/>
    <x v="2"/>
    <n v="2021"/>
    <n v="9"/>
    <n v="1"/>
    <x v="7"/>
    <s v="555-6472"/>
    <x v="1"/>
    <s v="Barn|Gym"/>
  </r>
  <r>
    <n v="1328"/>
    <s v="Property 1328"/>
    <x v="0"/>
    <x v="2"/>
    <n v="506153"/>
    <d v="2024-06-25T00:00:00"/>
    <x v="135"/>
    <n v="529110"/>
    <n v="2313"/>
    <x v="156"/>
    <n v="4"/>
    <n v="4"/>
    <x v="0"/>
    <n v="2017"/>
    <m/>
    <n v="3"/>
    <x v="0"/>
    <s v="555-6233"/>
    <x v="0"/>
    <s v="Pool"/>
  </r>
  <r>
    <n v="1329"/>
    <s v="Property 1329"/>
    <x v="3"/>
    <x v="1"/>
    <n v="616942"/>
    <d v="2024-02-20T00:00:00"/>
    <x v="1"/>
    <m/>
    <n v="4528"/>
    <x v="1"/>
    <n v="3"/>
    <n v="4"/>
    <x v="3"/>
    <n v="2007"/>
    <n v="2"/>
    <n v="1"/>
    <x v="7"/>
    <s v="555-8662"/>
    <x v="1"/>
    <s v="Garage|Pool|Fireplace|Garden"/>
  </r>
  <r>
    <n v="1330"/>
    <s v="Property 1330"/>
    <x v="3"/>
    <x v="0"/>
    <n v="574415"/>
    <d v="2024-08-30T00:00:00"/>
    <x v="136"/>
    <n v="600208"/>
    <n v="3215"/>
    <x v="157"/>
    <n v="3"/>
    <n v="2"/>
    <x v="2"/>
    <n v="2022"/>
    <n v="8"/>
    <n v="4"/>
    <x v="2"/>
    <s v="555-7991"/>
    <x v="0"/>
    <s v="Sauna|Garage|Fireplace|Garden"/>
  </r>
  <r>
    <n v="1331"/>
    <s v="Property 1331"/>
    <x v="0"/>
    <x v="2"/>
    <n v="554965"/>
    <d v="2024-07-14T00:00:00"/>
    <x v="1"/>
    <m/>
    <n v="1350"/>
    <x v="1"/>
    <n v="3"/>
    <n v="4"/>
    <x v="0"/>
    <n v="2017"/>
    <m/>
    <n v="3"/>
    <x v="2"/>
    <s v="555-8663"/>
    <x v="1"/>
    <s v="Elevator|Barn|Gym"/>
  </r>
  <r>
    <n v="1332"/>
    <s v="Property 1332"/>
    <x v="0"/>
    <x v="2"/>
    <n v="474408"/>
    <d v="2024-03-16T00:00:00"/>
    <x v="1"/>
    <m/>
    <n v="4691"/>
    <x v="1"/>
    <n v="6"/>
    <n v="4"/>
    <x v="1"/>
    <n v="2021"/>
    <n v="5"/>
    <n v="2"/>
    <x v="1"/>
    <s v="555-8151"/>
    <x v="1"/>
    <s v="Pool|Elevator|Garden|Barn"/>
  </r>
  <r>
    <n v="1333"/>
    <s v="Property 1333"/>
    <x v="4"/>
    <x v="2"/>
    <n v="818761"/>
    <d v="2024-04-06T00:00:00"/>
    <x v="1"/>
    <m/>
    <n v="4011"/>
    <x v="1"/>
    <n v="6"/>
    <n v="5"/>
    <x v="3"/>
    <n v="2007"/>
    <n v="10"/>
    <n v="2"/>
    <x v="5"/>
    <s v="555-6915"/>
    <x v="1"/>
    <s v="Garden"/>
  </r>
  <r>
    <n v="1334"/>
    <s v="Property 1334"/>
    <x v="4"/>
    <x v="2"/>
    <n v="918858"/>
    <d v="2024-05-01T00:00:00"/>
    <x v="93"/>
    <n v="930124"/>
    <n v="4254"/>
    <x v="158"/>
    <n v="3"/>
    <n v="4"/>
    <x v="0"/>
    <n v="2001"/>
    <m/>
    <n v="1"/>
    <x v="8"/>
    <s v="555-9442"/>
    <x v="0"/>
    <s v="Barn|Pool|Sauna|Garden"/>
  </r>
  <r>
    <n v="1335"/>
    <s v="Property 1335"/>
    <x v="3"/>
    <x v="0"/>
    <n v="929245"/>
    <d v="2024-02-23T00:00:00"/>
    <x v="137"/>
    <n v="953065"/>
    <n v="3784"/>
    <x v="159"/>
    <n v="5"/>
    <n v="2"/>
    <x v="1"/>
    <n v="2004"/>
    <n v="6"/>
    <n v="3"/>
    <x v="9"/>
    <s v="555-6695"/>
    <x v="0"/>
    <s v="Sauna|Pool|Garage"/>
  </r>
  <r>
    <n v="1336"/>
    <s v="Property 1336"/>
    <x v="4"/>
    <x v="2"/>
    <n v="404559"/>
    <d v="2023-12-22T00:00:00"/>
    <x v="1"/>
    <m/>
    <n v="4713"/>
    <x v="1"/>
    <n v="6"/>
    <n v="5"/>
    <x v="3"/>
    <n v="2008"/>
    <n v="8"/>
    <n v="4"/>
    <x v="0"/>
    <s v="555-7774"/>
    <x v="1"/>
    <s v="Garage|Fireplace|Garden"/>
  </r>
  <r>
    <n v="1337"/>
    <s v="Property 1337"/>
    <x v="1"/>
    <x v="2"/>
    <n v="592231"/>
    <d v="2024-07-22T00:00:00"/>
    <x v="1"/>
    <m/>
    <n v="2136"/>
    <x v="1"/>
    <n v="6"/>
    <n v="5"/>
    <x v="0"/>
    <n v="2004"/>
    <m/>
    <n v="1"/>
    <x v="1"/>
    <s v="555-2192"/>
    <x v="1"/>
    <s v="Pool|Fireplace"/>
  </r>
  <r>
    <n v="1338"/>
    <s v="Property 1338"/>
    <x v="1"/>
    <x v="1"/>
    <n v="920199"/>
    <d v="2024-02-06T00:00:00"/>
    <x v="1"/>
    <m/>
    <n v="1716"/>
    <x v="1"/>
    <n v="6"/>
    <n v="2"/>
    <x v="0"/>
    <n v="2005"/>
    <m/>
    <n v="2"/>
    <x v="1"/>
    <s v="555-6658"/>
    <x v="1"/>
    <s v="Sauna|Elevator|Fireplace|Gym"/>
  </r>
  <r>
    <n v="1339"/>
    <s v="Property 1339"/>
    <x v="0"/>
    <x v="1"/>
    <n v="620985"/>
    <d v="2024-06-07T00:00:00"/>
    <x v="138"/>
    <n v="670646"/>
    <n v="1228"/>
    <x v="160"/>
    <n v="2"/>
    <n v="3"/>
    <x v="0"/>
    <n v="2017"/>
    <m/>
    <n v="1"/>
    <x v="4"/>
    <s v="555-8639"/>
    <x v="0"/>
    <s v="Garage|Fireplace|Barn|Sauna"/>
  </r>
  <r>
    <n v="1340"/>
    <s v="Property 1340"/>
    <x v="3"/>
    <x v="0"/>
    <n v="640581"/>
    <d v="2024-09-10T00:00:00"/>
    <x v="1"/>
    <m/>
    <n v="1735"/>
    <x v="1"/>
    <n v="4"/>
    <n v="5"/>
    <x v="2"/>
    <n v="2020"/>
    <n v="3"/>
    <n v="2"/>
    <x v="4"/>
    <s v="555-1813"/>
    <x v="1"/>
    <s v="Barn"/>
  </r>
  <r>
    <n v="1341"/>
    <s v="Property 1341"/>
    <x v="0"/>
    <x v="1"/>
    <n v="864551"/>
    <d v="2024-11-18T00:00:00"/>
    <x v="119"/>
    <n v="890560"/>
    <n v="2805"/>
    <x v="161"/>
    <n v="4"/>
    <n v="4"/>
    <x v="1"/>
    <n v="2020"/>
    <n v="7"/>
    <n v="1"/>
    <x v="3"/>
    <s v="555-9178"/>
    <x v="0"/>
    <s v="Pool"/>
  </r>
  <r>
    <n v="1342"/>
    <s v="Property 1342"/>
    <x v="3"/>
    <x v="1"/>
    <n v="483146"/>
    <d v="2024-04-09T00:00:00"/>
    <x v="139"/>
    <n v="499772"/>
    <n v="2060"/>
    <x v="162"/>
    <n v="6"/>
    <n v="3"/>
    <x v="2"/>
    <n v="2023"/>
    <n v="7"/>
    <n v="3"/>
    <x v="0"/>
    <s v="555-2201"/>
    <x v="0"/>
    <s v="Barn|Garage|Sauna|Fireplace"/>
  </r>
  <r>
    <n v="1343"/>
    <s v="Property 1343"/>
    <x v="1"/>
    <x v="1"/>
    <n v="406781"/>
    <d v="2024-07-08T00:00:00"/>
    <x v="34"/>
    <n v="446631"/>
    <n v="1845"/>
    <x v="163"/>
    <n v="2"/>
    <n v="5"/>
    <x v="3"/>
    <n v="2012"/>
    <n v="6"/>
    <n v="4"/>
    <x v="3"/>
    <s v="555-1339"/>
    <x v="0"/>
    <s v="Pool|Elevator"/>
  </r>
  <r>
    <n v="1344"/>
    <s v="Property 1344"/>
    <x v="1"/>
    <x v="2"/>
    <n v="386554"/>
    <d v="2024-11-26T00:00:00"/>
    <x v="1"/>
    <m/>
    <n v="1470"/>
    <x v="1"/>
    <n v="3"/>
    <n v="4"/>
    <x v="2"/>
    <n v="2015"/>
    <n v="4"/>
    <n v="4"/>
    <x v="0"/>
    <s v="555-9041"/>
    <x v="1"/>
    <s v="Gym|Pool|Sauna"/>
  </r>
  <r>
    <n v="1345"/>
    <s v="Property 1345"/>
    <x v="2"/>
    <x v="0"/>
    <n v="692587"/>
    <d v="2024-10-02T00:00:00"/>
    <x v="1"/>
    <m/>
    <n v="3539"/>
    <x v="1"/>
    <n v="3"/>
    <n v="5"/>
    <x v="2"/>
    <n v="2007"/>
    <n v="10"/>
    <n v="1"/>
    <x v="6"/>
    <s v="555-6213"/>
    <x v="1"/>
    <s v="Sauna|Fireplace|Barn"/>
  </r>
  <r>
    <n v="1346"/>
    <s v="Property 1346"/>
    <x v="2"/>
    <x v="2"/>
    <n v="489727"/>
    <d v="2024-11-05T00:00:00"/>
    <x v="140"/>
    <n v="520275"/>
    <n v="4012"/>
    <x v="164"/>
    <n v="4"/>
    <n v="4"/>
    <x v="1"/>
    <n v="2017"/>
    <n v="2"/>
    <n v="1"/>
    <x v="0"/>
    <s v="555-8444"/>
    <x v="0"/>
    <s v="Gym|Fireplace|Garage"/>
  </r>
  <r>
    <n v="1347"/>
    <s v="Property 1347"/>
    <x v="3"/>
    <x v="2"/>
    <n v="585251"/>
    <d v="2024-06-16T00:00:00"/>
    <x v="5"/>
    <n v="618415"/>
    <n v="1799"/>
    <x v="165"/>
    <n v="3"/>
    <n v="4"/>
    <x v="2"/>
    <n v="2005"/>
    <n v="5"/>
    <n v="2"/>
    <x v="8"/>
    <s v="555-5973"/>
    <x v="0"/>
    <s v="Garage"/>
  </r>
  <r>
    <n v="1348"/>
    <s v="Property 1348"/>
    <x v="4"/>
    <x v="1"/>
    <n v="924632"/>
    <d v="2024-08-30T00:00:00"/>
    <x v="1"/>
    <m/>
    <n v="1564"/>
    <x v="1"/>
    <n v="4"/>
    <n v="2"/>
    <x v="2"/>
    <n v="2022"/>
    <n v="4"/>
    <n v="3"/>
    <x v="4"/>
    <s v="555-9794"/>
    <x v="1"/>
    <s v="Pool|Fireplace|Gym"/>
  </r>
  <r>
    <n v="1349"/>
    <s v="Property 1349"/>
    <x v="1"/>
    <x v="1"/>
    <n v="397521"/>
    <d v="2024-10-31T00:00:00"/>
    <x v="1"/>
    <m/>
    <n v="1120"/>
    <x v="1"/>
    <n v="5"/>
    <n v="3"/>
    <x v="3"/>
    <n v="2011"/>
    <n v="10"/>
    <n v="3"/>
    <x v="4"/>
    <s v="555-7232"/>
    <x v="1"/>
    <s v="Pool"/>
  </r>
  <r>
    <n v="1350"/>
    <s v="Property 1350"/>
    <x v="2"/>
    <x v="1"/>
    <n v="814091"/>
    <d v="2024-08-01T00:00:00"/>
    <x v="1"/>
    <m/>
    <n v="3458"/>
    <x v="1"/>
    <n v="3"/>
    <n v="5"/>
    <x v="3"/>
    <n v="2021"/>
    <n v="5"/>
    <n v="4"/>
    <x v="5"/>
    <s v="555-3141"/>
    <x v="1"/>
    <s v="Pool|Garden|Sauna|Garage"/>
  </r>
  <r>
    <n v="1351"/>
    <s v="Property 1351"/>
    <x v="0"/>
    <x v="2"/>
    <n v="632549"/>
    <d v="2024-07-19T00:00:00"/>
    <x v="1"/>
    <m/>
    <n v="1982"/>
    <x v="1"/>
    <n v="4"/>
    <n v="3"/>
    <x v="3"/>
    <n v="2016"/>
    <n v="10"/>
    <n v="1"/>
    <x v="2"/>
    <s v="555-3037"/>
    <x v="1"/>
    <s v="Garage|Elevator|Gym"/>
  </r>
  <r>
    <n v="1352"/>
    <s v="Property 1352"/>
    <x v="0"/>
    <x v="0"/>
    <n v="806612"/>
    <d v="2024-05-26T00:00:00"/>
    <x v="1"/>
    <m/>
    <n v="1592"/>
    <x v="1"/>
    <n v="3"/>
    <n v="2"/>
    <x v="1"/>
    <n v="2008"/>
    <n v="1"/>
    <n v="1"/>
    <x v="3"/>
    <s v="555-3235"/>
    <x v="1"/>
    <s v="Pool|Garage"/>
  </r>
  <r>
    <n v="1353"/>
    <s v="Property 1353"/>
    <x v="3"/>
    <x v="1"/>
    <n v="427000"/>
    <d v="2024-06-29T00:00:00"/>
    <x v="1"/>
    <m/>
    <n v="1454"/>
    <x v="1"/>
    <n v="5"/>
    <n v="4"/>
    <x v="1"/>
    <n v="2002"/>
    <n v="1"/>
    <n v="4"/>
    <x v="0"/>
    <s v="555-5728"/>
    <x v="1"/>
    <s v="Barn|Sauna|Garage"/>
  </r>
  <r>
    <n v="1354"/>
    <s v="Property 1354"/>
    <x v="4"/>
    <x v="0"/>
    <n v="426016"/>
    <d v="2024-04-09T00:00:00"/>
    <x v="141"/>
    <n v="459506"/>
    <n v="1968"/>
    <x v="166"/>
    <n v="3"/>
    <n v="5"/>
    <x v="2"/>
    <n v="2006"/>
    <n v="7"/>
    <n v="3"/>
    <x v="2"/>
    <s v="555-4424"/>
    <x v="0"/>
    <s v="Gym"/>
  </r>
  <r>
    <n v="1355"/>
    <s v="Property 1355"/>
    <x v="2"/>
    <x v="1"/>
    <n v="485987"/>
    <d v="2024-08-12T00:00:00"/>
    <x v="142"/>
    <n v="513433"/>
    <n v="4449"/>
    <x v="167"/>
    <n v="3"/>
    <n v="4"/>
    <x v="2"/>
    <n v="2010"/>
    <n v="5"/>
    <n v="1"/>
    <x v="5"/>
    <s v="555-9200"/>
    <x v="0"/>
    <s v="Elevator|Pool"/>
  </r>
  <r>
    <n v="1356"/>
    <s v="Property 1356"/>
    <x v="0"/>
    <x v="0"/>
    <n v="881908"/>
    <d v="2024-01-14T00:00:00"/>
    <x v="143"/>
    <n v="915520"/>
    <n v="3811"/>
    <x v="168"/>
    <n v="6"/>
    <n v="4"/>
    <x v="2"/>
    <n v="2005"/>
    <n v="9"/>
    <n v="4"/>
    <x v="5"/>
    <s v="555-6861"/>
    <x v="0"/>
    <s v="Elevator|Gym"/>
  </r>
  <r>
    <n v="1357"/>
    <s v="Property 1357"/>
    <x v="4"/>
    <x v="0"/>
    <n v="444818"/>
    <d v="2024-02-21T00:00:00"/>
    <x v="144"/>
    <n v="491170"/>
    <n v="1177"/>
    <x v="169"/>
    <n v="6"/>
    <n v="2"/>
    <x v="0"/>
    <n v="2011"/>
    <m/>
    <n v="2"/>
    <x v="7"/>
    <s v="555-7785"/>
    <x v="0"/>
    <s v="Fireplace|Garage"/>
  </r>
  <r>
    <n v="1358"/>
    <s v="Property 1358"/>
    <x v="0"/>
    <x v="1"/>
    <n v="335981"/>
    <d v="2024-12-01T00:00:00"/>
    <x v="1"/>
    <m/>
    <n v="1186"/>
    <x v="1"/>
    <n v="2"/>
    <n v="5"/>
    <x v="3"/>
    <n v="2019"/>
    <n v="8"/>
    <n v="3"/>
    <x v="1"/>
    <s v="555-3858"/>
    <x v="1"/>
    <s v="Garage"/>
  </r>
  <r>
    <n v="1359"/>
    <s v="Property 1359"/>
    <x v="1"/>
    <x v="2"/>
    <n v="890344"/>
    <d v="2024-06-27T00:00:00"/>
    <x v="145"/>
    <n v="921650"/>
    <n v="3907"/>
    <x v="170"/>
    <n v="5"/>
    <n v="3"/>
    <x v="0"/>
    <n v="2020"/>
    <m/>
    <n v="3"/>
    <x v="0"/>
    <s v="555-7291"/>
    <x v="0"/>
    <s v="Sauna|Elevator"/>
  </r>
  <r>
    <n v="1360"/>
    <s v="Property 1360"/>
    <x v="3"/>
    <x v="0"/>
    <n v="625215"/>
    <d v="2024-10-28T00:00:00"/>
    <x v="146"/>
    <n v="661936"/>
    <n v="4565"/>
    <x v="171"/>
    <n v="3"/>
    <n v="5"/>
    <x v="2"/>
    <n v="2001"/>
    <n v="6"/>
    <n v="1"/>
    <x v="8"/>
    <s v="555-7791"/>
    <x v="0"/>
    <s v="Pool|Gym|Garden|Elevator"/>
  </r>
  <r>
    <n v="1361"/>
    <s v="Property 1361"/>
    <x v="4"/>
    <x v="1"/>
    <n v="359826"/>
    <d v="2024-05-27T00:00:00"/>
    <x v="147"/>
    <n v="402025"/>
    <n v="3031"/>
    <x v="172"/>
    <n v="3"/>
    <n v="2"/>
    <x v="3"/>
    <n v="2016"/>
    <n v="6"/>
    <n v="1"/>
    <x v="3"/>
    <s v="555-4613"/>
    <x v="0"/>
    <s v="Sauna|Gym|Elevator|Fireplace"/>
  </r>
  <r>
    <n v="1362"/>
    <s v="Property 1362"/>
    <x v="4"/>
    <x v="1"/>
    <n v="458617"/>
    <d v="2024-08-02T00:00:00"/>
    <x v="148"/>
    <n v="468730"/>
    <n v="1513"/>
    <x v="173"/>
    <n v="5"/>
    <n v="4"/>
    <x v="3"/>
    <n v="2007"/>
    <n v="8"/>
    <n v="2"/>
    <x v="8"/>
    <s v="555-8292"/>
    <x v="0"/>
    <s v="Pool|Barn|Gym|Garage"/>
  </r>
  <r>
    <n v="1363"/>
    <s v="Property 1363"/>
    <x v="1"/>
    <x v="1"/>
    <n v="356693"/>
    <d v="2024-12-09T00:00:00"/>
    <x v="149"/>
    <n v="368153"/>
    <n v="2497"/>
    <x v="174"/>
    <n v="5"/>
    <n v="5"/>
    <x v="2"/>
    <n v="2015"/>
    <n v="5"/>
    <n v="2"/>
    <x v="5"/>
    <s v="555-6828"/>
    <x v="0"/>
    <s v="Fireplace"/>
  </r>
  <r>
    <n v="1364"/>
    <s v="Property 1364"/>
    <x v="0"/>
    <x v="2"/>
    <n v="802935"/>
    <d v="2024-05-23T00:00:00"/>
    <x v="108"/>
    <n v="840711"/>
    <n v="3970"/>
    <x v="175"/>
    <n v="2"/>
    <n v="3"/>
    <x v="0"/>
    <n v="2009"/>
    <m/>
    <n v="1"/>
    <x v="4"/>
    <s v="555-9028"/>
    <x v="0"/>
    <s v="Elevator"/>
  </r>
  <r>
    <n v="1365"/>
    <s v="Property 1365"/>
    <x v="0"/>
    <x v="1"/>
    <n v="391648"/>
    <d v="2024-05-08T00:00:00"/>
    <x v="150"/>
    <n v="416341"/>
    <n v="3338"/>
    <x v="176"/>
    <n v="3"/>
    <n v="5"/>
    <x v="2"/>
    <n v="2003"/>
    <n v="6"/>
    <n v="2"/>
    <x v="9"/>
    <s v="555-6829"/>
    <x v="0"/>
    <s v="Garage|Sauna"/>
  </r>
  <r>
    <n v="1366"/>
    <s v="Property 1366"/>
    <x v="2"/>
    <x v="0"/>
    <n v="491517"/>
    <d v="2024-02-19T00:00:00"/>
    <x v="1"/>
    <m/>
    <n v="2722"/>
    <x v="1"/>
    <n v="6"/>
    <n v="4"/>
    <x v="0"/>
    <n v="2021"/>
    <m/>
    <n v="3"/>
    <x v="0"/>
    <s v="555-2956"/>
    <x v="1"/>
    <s v="Elevator|Barn"/>
  </r>
  <r>
    <n v="1367"/>
    <s v="Property 1367"/>
    <x v="0"/>
    <x v="2"/>
    <n v="717314"/>
    <d v="2024-06-15T00:00:00"/>
    <x v="62"/>
    <n v="761683"/>
    <n v="4336"/>
    <x v="177"/>
    <n v="2"/>
    <n v="2"/>
    <x v="0"/>
    <n v="2008"/>
    <m/>
    <n v="1"/>
    <x v="2"/>
    <s v="555-5976"/>
    <x v="0"/>
    <s v="Pool|Sauna|Garden|Gym"/>
  </r>
  <r>
    <n v="1368"/>
    <s v="Property 1368"/>
    <x v="2"/>
    <x v="0"/>
    <n v="750918"/>
    <d v="2024-09-16T00:00:00"/>
    <x v="77"/>
    <n v="797206"/>
    <n v="4163"/>
    <x v="178"/>
    <n v="6"/>
    <n v="4"/>
    <x v="1"/>
    <n v="2015"/>
    <n v="3"/>
    <n v="1"/>
    <x v="9"/>
    <s v="555-2704"/>
    <x v="0"/>
    <s v="Sauna|Barn|Gym|Fireplace"/>
  </r>
  <r>
    <n v="1369"/>
    <s v="Property 1369"/>
    <x v="0"/>
    <x v="0"/>
    <n v="581768"/>
    <d v="2024-09-30T00:00:00"/>
    <x v="151"/>
    <n v="596899"/>
    <n v="3849"/>
    <x v="179"/>
    <n v="5"/>
    <n v="2"/>
    <x v="1"/>
    <n v="2016"/>
    <n v="8"/>
    <n v="3"/>
    <x v="5"/>
    <s v="555-7961"/>
    <x v="0"/>
    <s v="Barn|Garden|Gym|Pool"/>
  </r>
  <r>
    <n v="1370"/>
    <s v="Property 1370"/>
    <x v="0"/>
    <x v="0"/>
    <n v="961011"/>
    <d v="2024-11-24T00:00:00"/>
    <x v="152"/>
    <n v="1000875"/>
    <n v="1434"/>
    <x v="180"/>
    <n v="3"/>
    <n v="5"/>
    <x v="3"/>
    <n v="2006"/>
    <n v="1"/>
    <n v="4"/>
    <x v="9"/>
    <s v="555-1199"/>
    <x v="0"/>
    <s v="Fireplace"/>
  </r>
  <r>
    <n v="1371"/>
    <s v="Property 1371"/>
    <x v="4"/>
    <x v="1"/>
    <n v="841031"/>
    <d v="2024-04-29T00:00:00"/>
    <x v="1"/>
    <m/>
    <n v="3600"/>
    <x v="1"/>
    <n v="4"/>
    <n v="2"/>
    <x v="1"/>
    <n v="2008"/>
    <n v="9"/>
    <n v="3"/>
    <x v="2"/>
    <s v="555-3385"/>
    <x v="1"/>
    <s v="Elevator|Garage|Garden|Fireplace"/>
  </r>
  <r>
    <n v="1372"/>
    <s v="Property 1372"/>
    <x v="3"/>
    <x v="1"/>
    <n v="697649"/>
    <d v="2024-09-12T00:00:00"/>
    <x v="153"/>
    <n v="746124"/>
    <n v="1639"/>
    <x v="181"/>
    <n v="5"/>
    <n v="5"/>
    <x v="3"/>
    <n v="2009"/>
    <n v="2"/>
    <n v="3"/>
    <x v="8"/>
    <s v="555-6960"/>
    <x v="0"/>
    <s v="Garden|Fireplace"/>
  </r>
  <r>
    <n v="1373"/>
    <s v="Property 1373"/>
    <x v="4"/>
    <x v="2"/>
    <n v="713018"/>
    <d v="2024-09-10T00:00:00"/>
    <x v="154"/>
    <n v="725283"/>
    <n v="4061"/>
    <x v="182"/>
    <n v="4"/>
    <n v="3"/>
    <x v="1"/>
    <n v="2021"/>
    <n v="9"/>
    <n v="3"/>
    <x v="0"/>
    <s v="555-1795"/>
    <x v="0"/>
    <s v="Sauna|Barn"/>
  </r>
  <r>
    <n v="1374"/>
    <s v="Property 1374"/>
    <x v="4"/>
    <x v="0"/>
    <n v="774165"/>
    <d v="2024-03-21T00:00:00"/>
    <x v="155"/>
    <n v="805371"/>
    <n v="4506"/>
    <x v="183"/>
    <n v="4"/>
    <n v="4"/>
    <x v="3"/>
    <n v="2017"/>
    <n v="8"/>
    <n v="1"/>
    <x v="8"/>
    <s v="555-4765"/>
    <x v="0"/>
    <s v="Gym|Barn"/>
  </r>
  <r>
    <n v="1375"/>
    <s v="Property 1375"/>
    <x v="2"/>
    <x v="2"/>
    <n v="841330"/>
    <d v="2023-12-28T00:00:00"/>
    <x v="156"/>
    <n v="855531"/>
    <n v="1209"/>
    <x v="184"/>
    <n v="5"/>
    <n v="4"/>
    <x v="1"/>
    <n v="2004"/>
    <n v="10"/>
    <n v="1"/>
    <x v="3"/>
    <s v="555-8998"/>
    <x v="0"/>
    <s v="Elevator|Garage|Fireplace|Pool"/>
  </r>
  <r>
    <n v="1376"/>
    <s v="Property 1376"/>
    <x v="1"/>
    <x v="1"/>
    <n v="630770"/>
    <d v="2024-01-16T00:00:00"/>
    <x v="157"/>
    <n v="678621"/>
    <n v="1749"/>
    <x v="185"/>
    <n v="5"/>
    <n v="5"/>
    <x v="0"/>
    <n v="2005"/>
    <m/>
    <n v="4"/>
    <x v="9"/>
    <s v="555-7305"/>
    <x v="0"/>
    <s v="Garage|Pool"/>
  </r>
  <r>
    <n v="1377"/>
    <s v="Property 1377"/>
    <x v="1"/>
    <x v="2"/>
    <n v="969319"/>
    <d v="2024-12-01T00:00:00"/>
    <x v="85"/>
    <n v="1005963"/>
    <n v="2127"/>
    <x v="186"/>
    <n v="3"/>
    <n v="5"/>
    <x v="1"/>
    <n v="2005"/>
    <n v="10"/>
    <n v="4"/>
    <x v="6"/>
    <s v="555-5710"/>
    <x v="0"/>
    <s v="Fireplace|Sauna"/>
  </r>
  <r>
    <n v="1378"/>
    <s v="Property 1378"/>
    <x v="2"/>
    <x v="2"/>
    <n v="391893"/>
    <d v="2024-07-03T00:00:00"/>
    <x v="1"/>
    <m/>
    <n v="1897"/>
    <x v="1"/>
    <n v="3"/>
    <n v="3"/>
    <x v="3"/>
    <n v="2020"/>
    <n v="9"/>
    <n v="3"/>
    <x v="6"/>
    <s v="555-8389"/>
    <x v="1"/>
    <s v="Pool|Fireplace"/>
  </r>
  <r>
    <n v="1379"/>
    <s v="Property 1379"/>
    <x v="4"/>
    <x v="0"/>
    <n v="951428"/>
    <d v="2024-11-17T00:00:00"/>
    <x v="158"/>
    <n v="989269"/>
    <n v="3003"/>
    <x v="187"/>
    <n v="5"/>
    <n v="2"/>
    <x v="2"/>
    <n v="2012"/>
    <n v="7"/>
    <n v="1"/>
    <x v="2"/>
    <s v="555-4048"/>
    <x v="0"/>
    <s v="Barn"/>
  </r>
  <r>
    <n v="1380"/>
    <s v="Property 1380"/>
    <x v="2"/>
    <x v="0"/>
    <n v="930660"/>
    <d v="2024-01-08T00:00:00"/>
    <x v="1"/>
    <m/>
    <n v="2251"/>
    <x v="1"/>
    <n v="2"/>
    <n v="4"/>
    <x v="1"/>
    <n v="2008"/>
    <n v="4"/>
    <n v="3"/>
    <x v="8"/>
    <s v="555-5780"/>
    <x v="1"/>
    <s v="Sauna|Elevator"/>
  </r>
  <r>
    <n v="1381"/>
    <s v="Property 1381"/>
    <x v="3"/>
    <x v="2"/>
    <n v="437376"/>
    <d v="2024-08-22T00:00:00"/>
    <x v="159"/>
    <n v="476779"/>
    <n v="2250"/>
    <x v="188"/>
    <n v="3"/>
    <n v="4"/>
    <x v="1"/>
    <n v="2011"/>
    <n v="7"/>
    <n v="3"/>
    <x v="2"/>
    <s v="555-3395"/>
    <x v="0"/>
    <s v="Garage|Gym|Elevator"/>
  </r>
  <r>
    <n v="1382"/>
    <s v="Property 1382"/>
    <x v="0"/>
    <x v="1"/>
    <n v="509767"/>
    <d v="2024-11-10T00:00:00"/>
    <x v="73"/>
    <n v="545096"/>
    <n v="2022"/>
    <x v="189"/>
    <n v="6"/>
    <n v="4"/>
    <x v="1"/>
    <n v="2018"/>
    <n v="5"/>
    <n v="4"/>
    <x v="3"/>
    <s v="555-5257"/>
    <x v="0"/>
    <s v="Garage|Barn|Sauna|Garden"/>
  </r>
  <r>
    <n v="1383"/>
    <s v="Property 1383"/>
    <x v="1"/>
    <x v="2"/>
    <n v="551671"/>
    <d v="2024-12-05T00:00:00"/>
    <x v="1"/>
    <m/>
    <n v="1246"/>
    <x v="1"/>
    <n v="2"/>
    <n v="5"/>
    <x v="3"/>
    <n v="2009"/>
    <n v="9"/>
    <n v="4"/>
    <x v="6"/>
    <s v="555-3635"/>
    <x v="1"/>
    <s v="Sauna|Gym|Barn"/>
  </r>
  <r>
    <n v="1384"/>
    <s v="Property 1384"/>
    <x v="1"/>
    <x v="1"/>
    <n v="690210"/>
    <d v="2024-03-07T00:00:00"/>
    <x v="17"/>
    <n v="739657"/>
    <n v="1377"/>
    <x v="190"/>
    <n v="2"/>
    <n v="5"/>
    <x v="0"/>
    <n v="2001"/>
    <m/>
    <n v="3"/>
    <x v="6"/>
    <s v="555-9251"/>
    <x v="0"/>
    <s v="Garden|Fireplace"/>
  </r>
  <r>
    <n v="1385"/>
    <s v="Property 1385"/>
    <x v="3"/>
    <x v="2"/>
    <n v="914143"/>
    <d v="2023-12-19T00:00:00"/>
    <x v="160"/>
    <n v="930323"/>
    <n v="4000"/>
    <x v="191"/>
    <n v="3"/>
    <n v="4"/>
    <x v="3"/>
    <n v="2023"/>
    <n v="2"/>
    <n v="2"/>
    <x v="8"/>
    <s v="555-1140"/>
    <x v="0"/>
    <s v="Sauna|Garage|Pool|Gym"/>
  </r>
  <r>
    <n v="1386"/>
    <s v="Property 1386"/>
    <x v="3"/>
    <x v="2"/>
    <n v="584423"/>
    <d v="2024-05-18T00:00:00"/>
    <x v="1"/>
    <m/>
    <n v="2022"/>
    <x v="1"/>
    <n v="6"/>
    <n v="4"/>
    <x v="0"/>
    <n v="2008"/>
    <m/>
    <n v="3"/>
    <x v="3"/>
    <s v="555-2537"/>
    <x v="1"/>
    <s v="Elevator|Gym"/>
  </r>
  <r>
    <n v="1387"/>
    <s v="Property 1387"/>
    <x v="2"/>
    <x v="2"/>
    <n v="900810"/>
    <d v="2024-05-14T00:00:00"/>
    <x v="59"/>
    <n v="929752"/>
    <n v="1089"/>
    <x v="192"/>
    <n v="6"/>
    <n v="2"/>
    <x v="1"/>
    <n v="2005"/>
    <n v="3"/>
    <n v="1"/>
    <x v="2"/>
    <s v="555-8301"/>
    <x v="0"/>
    <s v="Sauna"/>
  </r>
  <r>
    <n v="1388"/>
    <s v="Property 1388"/>
    <x v="3"/>
    <x v="0"/>
    <n v="822342"/>
    <d v="2024-01-23T00:00:00"/>
    <x v="1"/>
    <m/>
    <n v="1615"/>
    <x v="1"/>
    <n v="5"/>
    <n v="5"/>
    <x v="3"/>
    <n v="2006"/>
    <n v="2"/>
    <n v="2"/>
    <x v="6"/>
    <s v="555-7845"/>
    <x v="1"/>
    <s v="Garage|Gym|Pool"/>
  </r>
  <r>
    <n v="1389"/>
    <s v="Property 1389"/>
    <x v="0"/>
    <x v="0"/>
    <n v="727830"/>
    <d v="2024-05-15T00:00:00"/>
    <x v="161"/>
    <n v="751641"/>
    <n v="2306"/>
    <x v="193"/>
    <n v="4"/>
    <n v="3"/>
    <x v="3"/>
    <n v="2017"/>
    <n v="6"/>
    <n v="3"/>
    <x v="2"/>
    <s v="555-3379"/>
    <x v="0"/>
    <s v="Sauna|Garage"/>
  </r>
  <r>
    <n v="1390"/>
    <s v="Property 1390"/>
    <x v="1"/>
    <x v="2"/>
    <n v="933508"/>
    <d v="2024-12-12T00:00:00"/>
    <x v="1"/>
    <m/>
    <n v="2213"/>
    <x v="1"/>
    <n v="5"/>
    <n v="3"/>
    <x v="0"/>
    <n v="2008"/>
    <m/>
    <n v="3"/>
    <x v="9"/>
    <s v="555-5092"/>
    <x v="1"/>
    <s v="Pool|Garden|Barn|Gym"/>
  </r>
  <r>
    <n v="1391"/>
    <s v="Property 1391"/>
    <x v="4"/>
    <x v="1"/>
    <n v="909941"/>
    <d v="2024-07-14T00:00:00"/>
    <x v="22"/>
    <n v="932227"/>
    <n v="4433"/>
    <x v="194"/>
    <n v="2"/>
    <n v="2"/>
    <x v="3"/>
    <n v="2014"/>
    <n v="3"/>
    <n v="1"/>
    <x v="4"/>
    <s v="555-1094"/>
    <x v="0"/>
    <s v="Gym|Elevator"/>
  </r>
  <r>
    <n v="1392"/>
    <s v="Property 1392"/>
    <x v="3"/>
    <x v="2"/>
    <n v="853683"/>
    <d v="2024-03-03T00:00:00"/>
    <x v="1"/>
    <m/>
    <n v="1700"/>
    <x v="1"/>
    <n v="3"/>
    <n v="5"/>
    <x v="3"/>
    <n v="2004"/>
    <n v="7"/>
    <n v="1"/>
    <x v="2"/>
    <s v="555-8730"/>
    <x v="1"/>
    <s v="Garage|Sauna|Gym|Garden"/>
  </r>
  <r>
    <n v="1393"/>
    <s v="Property 1393"/>
    <x v="3"/>
    <x v="2"/>
    <n v="550384"/>
    <d v="2024-06-11T00:00:00"/>
    <x v="75"/>
    <n v="567298"/>
    <n v="4347"/>
    <x v="195"/>
    <n v="3"/>
    <n v="2"/>
    <x v="3"/>
    <n v="2011"/>
    <n v="1"/>
    <n v="4"/>
    <x v="3"/>
    <s v="555-6418"/>
    <x v="0"/>
    <s v="Pool|Garden|Fireplace"/>
  </r>
  <r>
    <n v="1394"/>
    <s v="Property 1394"/>
    <x v="1"/>
    <x v="0"/>
    <n v="792675"/>
    <d v="2024-01-25T00:00:00"/>
    <x v="1"/>
    <m/>
    <n v="2508"/>
    <x v="1"/>
    <n v="4"/>
    <n v="5"/>
    <x v="0"/>
    <n v="2010"/>
    <m/>
    <n v="1"/>
    <x v="3"/>
    <s v="555-5268"/>
    <x v="1"/>
    <s v="Garden|Garage|Elevator"/>
  </r>
  <r>
    <n v="1395"/>
    <s v="Property 1395"/>
    <x v="3"/>
    <x v="0"/>
    <n v="497877"/>
    <d v="2024-08-14T00:00:00"/>
    <x v="1"/>
    <m/>
    <n v="1868"/>
    <x v="1"/>
    <n v="4"/>
    <n v="3"/>
    <x v="2"/>
    <n v="2018"/>
    <n v="1"/>
    <n v="4"/>
    <x v="4"/>
    <s v="555-6008"/>
    <x v="1"/>
    <s v="Fireplace|Pool|Garden|Barn"/>
  </r>
  <r>
    <n v="1396"/>
    <s v="Property 1396"/>
    <x v="4"/>
    <x v="1"/>
    <n v="879911"/>
    <d v="2024-11-30T00:00:00"/>
    <x v="1"/>
    <m/>
    <n v="1038"/>
    <x v="1"/>
    <n v="4"/>
    <n v="2"/>
    <x v="2"/>
    <n v="2012"/>
    <n v="3"/>
    <n v="3"/>
    <x v="5"/>
    <s v="555-5687"/>
    <x v="1"/>
    <s v="Sauna|Fireplace|Pool|Garden"/>
  </r>
  <r>
    <n v="1397"/>
    <s v="Property 1397"/>
    <x v="1"/>
    <x v="2"/>
    <n v="881418"/>
    <d v="2024-11-17T00:00:00"/>
    <x v="162"/>
    <n v="891773"/>
    <n v="3204"/>
    <x v="196"/>
    <n v="3"/>
    <n v="4"/>
    <x v="0"/>
    <n v="2023"/>
    <m/>
    <n v="1"/>
    <x v="7"/>
    <s v="555-4557"/>
    <x v="0"/>
    <s v="Sauna|Gym|Elevator"/>
  </r>
  <r>
    <n v="1398"/>
    <s v="Property 1398"/>
    <x v="4"/>
    <x v="2"/>
    <n v="857711"/>
    <d v="2024-04-14T00:00:00"/>
    <x v="1"/>
    <m/>
    <n v="4153"/>
    <x v="1"/>
    <n v="5"/>
    <n v="4"/>
    <x v="3"/>
    <n v="2003"/>
    <n v="2"/>
    <n v="4"/>
    <x v="2"/>
    <s v="555-8006"/>
    <x v="1"/>
    <s v="Garage|Garden|Elevator|Pool"/>
  </r>
  <r>
    <n v="1399"/>
    <s v="Property 1399"/>
    <x v="3"/>
    <x v="1"/>
    <n v="495324"/>
    <d v="2024-03-25T00:00:00"/>
    <x v="163"/>
    <n v="537877"/>
    <n v="1921"/>
    <x v="197"/>
    <n v="2"/>
    <n v="4"/>
    <x v="0"/>
    <n v="2023"/>
    <m/>
    <n v="3"/>
    <x v="0"/>
    <s v="555-3646"/>
    <x v="0"/>
    <s v="Barn|Elevator"/>
  </r>
  <r>
    <n v="1400"/>
    <s v="Property 1400"/>
    <x v="3"/>
    <x v="2"/>
    <n v="575112"/>
    <d v="2024-08-23T00:00:00"/>
    <x v="120"/>
    <n v="591857"/>
    <n v="3626"/>
    <x v="198"/>
    <n v="6"/>
    <n v="2"/>
    <x v="2"/>
    <n v="2004"/>
    <n v="7"/>
    <n v="3"/>
    <x v="8"/>
    <s v="555-2088"/>
    <x v="0"/>
    <s v="Pool|Sauna|Garage"/>
  </r>
  <r>
    <n v="1401"/>
    <s v="Property 1401"/>
    <x v="3"/>
    <x v="1"/>
    <n v="529787"/>
    <d v="2024-03-24T00:00:00"/>
    <x v="164"/>
    <n v="540713"/>
    <n v="4926"/>
    <x v="199"/>
    <n v="2"/>
    <n v="5"/>
    <x v="0"/>
    <n v="2021"/>
    <m/>
    <n v="1"/>
    <x v="8"/>
    <s v="555-4862"/>
    <x v="0"/>
    <s v="Pool|Fireplace|Gym"/>
  </r>
  <r>
    <n v="1402"/>
    <s v="Property 1402"/>
    <x v="3"/>
    <x v="2"/>
    <n v="880175"/>
    <d v="2024-10-05T00:00:00"/>
    <x v="1"/>
    <m/>
    <n v="3355"/>
    <x v="1"/>
    <n v="2"/>
    <n v="4"/>
    <x v="1"/>
    <n v="2022"/>
    <n v="1"/>
    <n v="2"/>
    <x v="9"/>
    <s v="555-5253"/>
    <x v="1"/>
    <s v="Elevator|Fireplace"/>
  </r>
  <r>
    <n v="1403"/>
    <s v="Property 1403"/>
    <x v="2"/>
    <x v="1"/>
    <n v="755657"/>
    <d v="2024-09-15T00:00:00"/>
    <x v="1"/>
    <m/>
    <n v="2770"/>
    <x v="1"/>
    <n v="6"/>
    <n v="4"/>
    <x v="0"/>
    <n v="2010"/>
    <m/>
    <n v="3"/>
    <x v="1"/>
    <s v="555-5620"/>
    <x v="1"/>
    <s v="Gym|Fireplace|Barn"/>
  </r>
  <r>
    <n v="1404"/>
    <s v="Property 1404"/>
    <x v="3"/>
    <x v="1"/>
    <n v="619699"/>
    <d v="2024-06-07T00:00:00"/>
    <x v="1"/>
    <m/>
    <n v="4379"/>
    <x v="1"/>
    <n v="2"/>
    <n v="5"/>
    <x v="2"/>
    <n v="2001"/>
    <n v="6"/>
    <n v="3"/>
    <x v="3"/>
    <s v="555-2953"/>
    <x v="1"/>
    <s v="Fireplace"/>
  </r>
  <r>
    <n v="1405"/>
    <s v="Property 1405"/>
    <x v="1"/>
    <x v="2"/>
    <n v="572498"/>
    <d v="2024-02-02T00:00:00"/>
    <x v="1"/>
    <m/>
    <n v="4000"/>
    <x v="1"/>
    <n v="4"/>
    <n v="3"/>
    <x v="1"/>
    <n v="2008"/>
    <n v="7"/>
    <n v="2"/>
    <x v="0"/>
    <s v="555-9102"/>
    <x v="1"/>
    <s v="Gym"/>
  </r>
  <r>
    <n v="1406"/>
    <s v="Property 1406"/>
    <x v="3"/>
    <x v="0"/>
    <n v="428488"/>
    <d v="2024-07-21T00:00:00"/>
    <x v="1"/>
    <m/>
    <n v="3307"/>
    <x v="1"/>
    <n v="2"/>
    <n v="2"/>
    <x v="0"/>
    <n v="2019"/>
    <m/>
    <n v="1"/>
    <x v="0"/>
    <s v="555-5392"/>
    <x v="1"/>
    <s v="Pool|Fireplace|Barn"/>
  </r>
  <r>
    <n v="1407"/>
    <s v="Property 1407"/>
    <x v="2"/>
    <x v="0"/>
    <n v="499254"/>
    <d v="2024-05-15T00:00:00"/>
    <x v="1"/>
    <m/>
    <n v="4811"/>
    <x v="1"/>
    <n v="4"/>
    <n v="4"/>
    <x v="1"/>
    <n v="2006"/>
    <n v="5"/>
    <n v="1"/>
    <x v="8"/>
    <s v="555-2696"/>
    <x v="1"/>
    <s v="Garden|Pool"/>
  </r>
  <r>
    <n v="1408"/>
    <s v="Property 1408"/>
    <x v="1"/>
    <x v="1"/>
    <n v="627850"/>
    <d v="2023-12-20T00:00:00"/>
    <x v="165"/>
    <n v="653798"/>
    <n v="2012"/>
    <x v="200"/>
    <n v="5"/>
    <n v="2"/>
    <x v="1"/>
    <n v="2008"/>
    <n v="1"/>
    <n v="4"/>
    <x v="3"/>
    <s v="555-8856"/>
    <x v="0"/>
    <s v="Elevator|Gym"/>
  </r>
  <r>
    <n v="1409"/>
    <s v="Property 1409"/>
    <x v="2"/>
    <x v="2"/>
    <n v="679504"/>
    <d v="2024-07-23T00:00:00"/>
    <x v="1"/>
    <m/>
    <n v="1389"/>
    <x v="1"/>
    <n v="6"/>
    <n v="4"/>
    <x v="0"/>
    <n v="2004"/>
    <m/>
    <n v="2"/>
    <x v="9"/>
    <s v="555-4258"/>
    <x v="1"/>
    <s v="Pool|Fireplace|Gym|Garden"/>
  </r>
  <r>
    <n v="1410"/>
    <s v="Property 1410"/>
    <x v="4"/>
    <x v="1"/>
    <n v="391214"/>
    <d v="2024-10-05T00:00:00"/>
    <x v="14"/>
    <n v="428585"/>
    <n v="3653"/>
    <x v="201"/>
    <n v="5"/>
    <n v="3"/>
    <x v="2"/>
    <n v="2003"/>
    <n v="5"/>
    <n v="4"/>
    <x v="8"/>
    <s v="555-2910"/>
    <x v="0"/>
    <s v="Elevator|Garden"/>
  </r>
  <r>
    <n v="1411"/>
    <s v="Property 1411"/>
    <x v="0"/>
    <x v="1"/>
    <n v="622111"/>
    <d v="2023-12-28T00:00:00"/>
    <x v="1"/>
    <m/>
    <n v="1224"/>
    <x v="1"/>
    <n v="3"/>
    <n v="3"/>
    <x v="0"/>
    <n v="2008"/>
    <m/>
    <n v="3"/>
    <x v="5"/>
    <s v="555-7248"/>
    <x v="1"/>
    <s v="Elevator|Fireplace|Barn"/>
  </r>
  <r>
    <n v="1412"/>
    <s v="Property 1412"/>
    <x v="1"/>
    <x v="1"/>
    <n v="884895"/>
    <d v="2024-08-06T00:00:00"/>
    <x v="113"/>
    <n v="901577"/>
    <n v="2314"/>
    <x v="202"/>
    <n v="6"/>
    <n v="5"/>
    <x v="1"/>
    <n v="2013"/>
    <n v="8"/>
    <n v="2"/>
    <x v="7"/>
    <s v="555-4923"/>
    <x v="0"/>
    <s v="Garage|Elevator|Gym"/>
  </r>
  <r>
    <n v="1413"/>
    <s v="Property 1413"/>
    <x v="4"/>
    <x v="0"/>
    <n v="635473"/>
    <d v="2024-11-16T00:00:00"/>
    <x v="1"/>
    <m/>
    <n v="1691"/>
    <x v="1"/>
    <n v="4"/>
    <n v="4"/>
    <x v="3"/>
    <n v="2006"/>
    <n v="5"/>
    <n v="2"/>
    <x v="1"/>
    <s v="555-5224"/>
    <x v="1"/>
    <s v="Barn|Garden|Sauna"/>
  </r>
  <r>
    <n v="1414"/>
    <s v="Property 1414"/>
    <x v="2"/>
    <x v="1"/>
    <n v="718518"/>
    <d v="2024-06-03T00:00:00"/>
    <x v="166"/>
    <n v="744911"/>
    <n v="4471"/>
    <x v="203"/>
    <n v="2"/>
    <n v="5"/>
    <x v="0"/>
    <n v="2015"/>
    <m/>
    <n v="4"/>
    <x v="1"/>
    <s v="555-4961"/>
    <x v="0"/>
    <s v="Barn|Sauna|Garden"/>
  </r>
  <r>
    <n v="1415"/>
    <s v="Property 1415"/>
    <x v="1"/>
    <x v="1"/>
    <n v="591810"/>
    <d v="2024-11-06T00:00:00"/>
    <x v="167"/>
    <n v="607549"/>
    <n v="1167"/>
    <x v="204"/>
    <n v="6"/>
    <n v="2"/>
    <x v="1"/>
    <n v="2010"/>
    <n v="3"/>
    <n v="2"/>
    <x v="6"/>
    <s v="555-6816"/>
    <x v="0"/>
    <s v="Pool|Elevator"/>
  </r>
  <r>
    <n v="1416"/>
    <s v="Property 1416"/>
    <x v="0"/>
    <x v="1"/>
    <n v="849114"/>
    <d v="2024-02-14T00:00:00"/>
    <x v="149"/>
    <n v="890143"/>
    <n v="1436"/>
    <x v="205"/>
    <n v="6"/>
    <n v="2"/>
    <x v="3"/>
    <n v="2018"/>
    <n v="1"/>
    <n v="2"/>
    <x v="8"/>
    <s v="555-7052"/>
    <x v="0"/>
    <s v="Elevator|Pool|Fireplace"/>
  </r>
  <r>
    <n v="1417"/>
    <s v="Property 1417"/>
    <x v="3"/>
    <x v="2"/>
    <n v="568496"/>
    <d v="2024-09-10T00:00:00"/>
    <x v="1"/>
    <m/>
    <n v="1278"/>
    <x v="1"/>
    <n v="5"/>
    <n v="3"/>
    <x v="3"/>
    <n v="2022"/>
    <n v="10"/>
    <n v="2"/>
    <x v="7"/>
    <s v="555-7227"/>
    <x v="1"/>
    <s v="Gym|Elevator|Barn"/>
  </r>
  <r>
    <n v="1418"/>
    <s v="Property 1418"/>
    <x v="2"/>
    <x v="0"/>
    <n v="652348"/>
    <d v="2024-01-20T00:00:00"/>
    <x v="32"/>
    <n v="675189"/>
    <n v="4923"/>
    <x v="206"/>
    <n v="3"/>
    <n v="5"/>
    <x v="0"/>
    <n v="2002"/>
    <m/>
    <n v="4"/>
    <x v="7"/>
    <s v="555-1315"/>
    <x v="0"/>
    <s v="Sauna|Pool|Garden|Elevator"/>
  </r>
  <r>
    <n v="1419"/>
    <s v="Property 1419"/>
    <x v="3"/>
    <x v="0"/>
    <n v="620708"/>
    <d v="2024-12-10T00:00:00"/>
    <x v="168"/>
    <n v="666063"/>
    <n v="3228"/>
    <x v="207"/>
    <n v="5"/>
    <n v="4"/>
    <x v="2"/>
    <n v="2004"/>
    <n v="7"/>
    <n v="3"/>
    <x v="0"/>
    <s v="555-1669"/>
    <x v="0"/>
    <s v="Garden"/>
  </r>
  <r>
    <n v="1420"/>
    <s v="Property 1420"/>
    <x v="1"/>
    <x v="2"/>
    <n v="603675"/>
    <d v="2024-09-10T00:00:00"/>
    <x v="169"/>
    <n v="642427"/>
    <n v="1915"/>
    <x v="208"/>
    <n v="4"/>
    <n v="3"/>
    <x v="3"/>
    <n v="2014"/>
    <n v="4"/>
    <n v="4"/>
    <x v="4"/>
    <s v="555-4463"/>
    <x v="0"/>
    <s v="Gym|Garage"/>
  </r>
  <r>
    <n v="1421"/>
    <s v="Property 1421"/>
    <x v="1"/>
    <x v="0"/>
    <n v="808409"/>
    <d v="2024-01-15T00:00:00"/>
    <x v="1"/>
    <m/>
    <n v="4231"/>
    <x v="1"/>
    <n v="2"/>
    <n v="2"/>
    <x v="3"/>
    <n v="2008"/>
    <n v="8"/>
    <n v="1"/>
    <x v="3"/>
    <s v="555-4678"/>
    <x v="1"/>
    <s v="Fireplace|Pool|Garden|Gym"/>
  </r>
  <r>
    <n v="1422"/>
    <s v="Property 1422"/>
    <x v="0"/>
    <x v="1"/>
    <n v="382592"/>
    <d v="2024-03-06T00:00:00"/>
    <x v="1"/>
    <m/>
    <n v="2462"/>
    <x v="1"/>
    <n v="3"/>
    <n v="3"/>
    <x v="0"/>
    <n v="2006"/>
    <m/>
    <n v="3"/>
    <x v="5"/>
    <s v="555-6160"/>
    <x v="1"/>
    <s v="Pool"/>
  </r>
  <r>
    <n v="1423"/>
    <s v="Property 1423"/>
    <x v="0"/>
    <x v="1"/>
    <n v="763727"/>
    <d v="2024-01-07T00:00:00"/>
    <x v="170"/>
    <n v="791180"/>
    <n v="4691"/>
    <x v="209"/>
    <n v="3"/>
    <n v="2"/>
    <x v="1"/>
    <n v="2017"/>
    <n v="1"/>
    <n v="2"/>
    <x v="8"/>
    <s v="555-2003"/>
    <x v="0"/>
    <s v="Garden|Sauna|Pool"/>
  </r>
  <r>
    <n v="1424"/>
    <s v="Property 1424"/>
    <x v="3"/>
    <x v="2"/>
    <n v="890313"/>
    <d v="2024-05-11T00:00:00"/>
    <x v="171"/>
    <n v="901138"/>
    <n v="4797"/>
    <x v="210"/>
    <n v="4"/>
    <n v="5"/>
    <x v="2"/>
    <n v="2016"/>
    <n v="9"/>
    <n v="4"/>
    <x v="2"/>
    <s v="555-4909"/>
    <x v="0"/>
    <s v="Elevator|Fireplace|Pool"/>
  </r>
  <r>
    <n v="1425"/>
    <s v="Property 1425"/>
    <x v="0"/>
    <x v="0"/>
    <n v="351650"/>
    <d v="2024-01-05T00:00:00"/>
    <x v="55"/>
    <n v="365132"/>
    <n v="2929"/>
    <x v="211"/>
    <n v="2"/>
    <n v="2"/>
    <x v="3"/>
    <n v="2004"/>
    <n v="8"/>
    <n v="3"/>
    <x v="0"/>
    <s v="555-5027"/>
    <x v="0"/>
    <s v="Pool|Elevator|Garden"/>
  </r>
  <r>
    <n v="1426"/>
    <s v="Property 1426"/>
    <x v="1"/>
    <x v="1"/>
    <n v="944193"/>
    <d v="2024-05-13T00:00:00"/>
    <x v="172"/>
    <n v="967413"/>
    <n v="1487"/>
    <x v="212"/>
    <n v="5"/>
    <n v="3"/>
    <x v="1"/>
    <n v="2011"/>
    <n v="2"/>
    <n v="1"/>
    <x v="1"/>
    <s v="555-1589"/>
    <x v="0"/>
    <s v="Sauna|Garden|Gym|Pool"/>
  </r>
  <r>
    <n v="1427"/>
    <s v="Property 1427"/>
    <x v="0"/>
    <x v="0"/>
    <n v="664057"/>
    <d v="2024-04-15T00:00:00"/>
    <x v="140"/>
    <n v="704552"/>
    <n v="2730"/>
    <x v="213"/>
    <n v="4"/>
    <n v="4"/>
    <x v="2"/>
    <n v="2023"/>
    <n v="7"/>
    <n v="4"/>
    <x v="5"/>
    <s v="555-1241"/>
    <x v="0"/>
    <s v="Sauna|Elevator|Garage|Fireplace"/>
  </r>
  <r>
    <n v="1428"/>
    <s v="Property 1428"/>
    <x v="3"/>
    <x v="0"/>
    <n v="840168"/>
    <d v="2024-12-14T00:00:00"/>
    <x v="151"/>
    <n v="888588"/>
    <n v="3952"/>
    <x v="214"/>
    <n v="6"/>
    <n v="2"/>
    <x v="3"/>
    <n v="2022"/>
    <n v="1"/>
    <n v="3"/>
    <x v="1"/>
    <s v="555-1300"/>
    <x v="0"/>
    <s v="Elevator|Fireplace"/>
  </r>
  <r>
    <n v="1429"/>
    <s v="Property 1429"/>
    <x v="3"/>
    <x v="0"/>
    <n v="532293"/>
    <d v="2024-10-09T00:00:00"/>
    <x v="173"/>
    <n v="552624"/>
    <n v="3090"/>
    <x v="215"/>
    <n v="6"/>
    <n v="3"/>
    <x v="0"/>
    <n v="2013"/>
    <m/>
    <n v="3"/>
    <x v="4"/>
    <s v="555-4654"/>
    <x v="0"/>
    <s v="Sauna"/>
  </r>
  <r>
    <n v="1430"/>
    <s v="Property 1430"/>
    <x v="3"/>
    <x v="0"/>
    <n v="690424"/>
    <d v="2024-06-06T00:00:00"/>
    <x v="1"/>
    <m/>
    <n v="1938"/>
    <x v="1"/>
    <n v="5"/>
    <n v="4"/>
    <x v="2"/>
    <n v="2009"/>
    <n v="9"/>
    <n v="2"/>
    <x v="3"/>
    <s v="555-6364"/>
    <x v="1"/>
    <s v="Pool|Gym|Barn|Sauna"/>
  </r>
  <r>
    <n v="1431"/>
    <s v="Property 1431"/>
    <x v="1"/>
    <x v="0"/>
    <n v="604603"/>
    <d v="2024-05-27T00:00:00"/>
    <x v="1"/>
    <m/>
    <n v="4063"/>
    <x v="1"/>
    <n v="5"/>
    <n v="3"/>
    <x v="3"/>
    <n v="2005"/>
    <n v="1"/>
    <n v="3"/>
    <x v="1"/>
    <s v="555-7991"/>
    <x v="1"/>
    <s v="Elevator|Garden|Garage"/>
  </r>
  <r>
    <n v="1432"/>
    <s v="Property 1432"/>
    <x v="3"/>
    <x v="0"/>
    <n v="914643"/>
    <d v="2024-08-10T00:00:00"/>
    <x v="1"/>
    <m/>
    <n v="3619"/>
    <x v="1"/>
    <n v="2"/>
    <n v="2"/>
    <x v="1"/>
    <n v="2022"/>
    <n v="8"/>
    <n v="2"/>
    <x v="4"/>
    <s v="555-8967"/>
    <x v="1"/>
    <s v="Garden|Garage|Barn|Sauna"/>
  </r>
  <r>
    <n v="1433"/>
    <s v="Property 1433"/>
    <x v="1"/>
    <x v="1"/>
    <n v="407190"/>
    <d v="2024-05-19T00:00:00"/>
    <x v="173"/>
    <n v="424090"/>
    <n v="3832"/>
    <x v="216"/>
    <n v="2"/>
    <n v="2"/>
    <x v="2"/>
    <n v="2015"/>
    <n v="1"/>
    <n v="3"/>
    <x v="5"/>
    <s v="555-5179"/>
    <x v="0"/>
    <s v="Elevator|Pool"/>
  </r>
  <r>
    <n v="1434"/>
    <s v="Property 1434"/>
    <x v="2"/>
    <x v="0"/>
    <n v="744411"/>
    <d v="2024-08-10T00:00:00"/>
    <x v="163"/>
    <n v="791772"/>
    <n v="3193"/>
    <x v="217"/>
    <n v="6"/>
    <n v="5"/>
    <x v="1"/>
    <n v="2009"/>
    <n v="4"/>
    <n v="2"/>
    <x v="1"/>
    <s v="555-6196"/>
    <x v="0"/>
    <s v="Garden|Fireplace|Elevator|Pool"/>
  </r>
  <r>
    <n v="1435"/>
    <s v="Property 1435"/>
    <x v="3"/>
    <x v="2"/>
    <n v="674094"/>
    <d v="2024-12-05T00:00:00"/>
    <x v="171"/>
    <n v="692726"/>
    <n v="3545"/>
    <x v="218"/>
    <n v="5"/>
    <n v="4"/>
    <x v="3"/>
    <n v="2003"/>
    <n v="3"/>
    <n v="4"/>
    <x v="5"/>
    <s v="555-3336"/>
    <x v="0"/>
    <s v="Barn|Gym|Sauna|Garage"/>
  </r>
  <r>
    <n v="1436"/>
    <s v="Property 1436"/>
    <x v="2"/>
    <x v="1"/>
    <n v="886889"/>
    <d v="2024-03-14T00:00:00"/>
    <x v="1"/>
    <m/>
    <n v="4579"/>
    <x v="1"/>
    <n v="3"/>
    <n v="5"/>
    <x v="3"/>
    <n v="2014"/>
    <n v="2"/>
    <n v="1"/>
    <x v="4"/>
    <s v="555-3488"/>
    <x v="1"/>
    <s v="Sauna"/>
  </r>
  <r>
    <n v="1437"/>
    <s v="Property 1437"/>
    <x v="4"/>
    <x v="0"/>
    <n v="822642"/>
    <d v="2024-06-02T00:00:00"/>
    <x v="1"/>
    <m/>
    <n v="1055"/>
    <x v="1"/>
    <n v="4"/>
    <n v="4"/>
    <x v="1"/>
    <n v="2006"/>
    <n v="3"/>
    <n v="3"/>
    <x v="6"/>
    <s v="555-5294"/>
    <x v="1"/>
    <s v="Barn|Garden|Gym|Garage"/>
  </r>
  <r>
    <n v="1438"/>
    <s v="Property 1438"/>
    <x v="2"/>
    <x v="1"/>
    <n v="581866"/>
    <d v="2024-09-04T00:00:00"/>
    <x v="174"/>
    <n v="604326"/>
    <n v="3180"/>
    <x v="219"/>
    <n v="3"/>
    <n v="3"/>
    <x v="0"/>
    <n v="2016"/>
    <m/>
    <n v="1"/>
    <x v="9"/>
    <s v="555-6071"/>
    <x v="0"/>
    <s v="Garage|Pool"/>
  </r>
  <r>
    <n v="1439"/>
    <s v="Property 1439"/>
    <x v="0"/>
    <x v="1"/>
    <n v="926665"/>
    <d v="2024-04-06T00:00:00"/>
    <x v="175"/>
    <n v="970435"/>
    <n v="2245"/>
    <x v="220"/>
    <n v="3"/>
    <n v="2"/>
    <x v="3"/>
    <n v="2013"/>
    <n v="3"/>
    <n v="4"/>
    <x v="4"/>
    <s v="555-6475"/>
    <x v="0"/>
    <s v="Garage|Sauna|Barn|Pool"/>
  </r>
  <r>
    <n v="1440"/>
    <s v="Property 1440"/>
    <x v="4"/>
    <x v="0"/>
    <n v="354035"/>
    <d v="2024-05-21T00:00:00"/>
    <x v="1"/>
    <m/>
    <n v="2254"/>
    <x v="1"/>
    <n v="4"/>
    <n v="5"/>
    <x v="2"/>
    <n v="2021"/>
    <n v="3"/>
    <n v="1"/>
    <x v="2"/>
    <s v="555-3201"/>
    <x v="1"/>
    <s v="Sauna|Garage"/>
  </r>
  <r>
    <n v="1441"/>
    <s v="Property 1441"/>
    <x v="0"/>
    <x v="0"/>
    <n v="532178"/>
    <d v="2024-08-26T00:00:00"/>
    <x v="1"/>
    <m/>
    <n v="4417"/>
    <x v="1"/>
    <n v="6"/>
    <n v="4"/>
    <x v="0"/>
    <n v="2016"/>
    <m/>
    <n v="4"/>
    <x v="8"/>
    <s v="555-5193"/>
    <x v="1"/>
    <s v="Elevator"/>
  </r>
  <r>
    <n v="1442"/>
    <s v="Property 1442"/>
    <x v="4"/>
    <x v="1"/>
    <n v="881805"/>
    <d v="2024-01-28T00:00:00"/>
    <x v="124"/>
    <n v="903096"/>
    <n v="2036"/>
    <x v="221"/>
    <n v="6"/>
    <n v="3"/>
    <x v="3"/>
    <n v="2005"/>
    <n v="10"/>
    <n v="2"/>
    <x v="0"/>
    <s v="555-2922"/>
    <x v="0"/>
    <s v="Garden|Gym|Pool"/>
  </r>
  <r>
    <n v="1443"/>
    <s v="Property 1443"/>
    <x v="2"/>
    <x v="0"/>
    <n v="553397"/>
    <d v="2024-07-06T00:00:00"/>
    <x v="1"/>
    <m/>
    <n v="3957"/>
    <x v="1"/>
    <n v="3"/>
    <n v="4"/>
    <x v="3"/>
    <n v="2017"/>
    <n v="2"/>
    <n v="2"/>
    <x v="3"/>
    <s v="555-2859"/>
    <x v="1"/>
    <s v="Elevator|Barn"/>
  </r>
  <r>
    <n v="1444"/>
    <s v="Property 1444"/>
    <x v="3"/>
    <x v="0"/>
    <n v="821284"/>
    <d v="2024-02-24T00:00:00"/>
    <x v="10"/>
    <n v="855909"/>
    <n v="4805"/>
    <x v="222"/>
    <n v="2"/>
    <n v="2"/>
    <x v="2"/>
    <n v="2021"/>
    <n v="7"/>
    <n v="2"/>
    <x v="1"/>
    <s v="555-6987"/>
    <x v="0"/>
    <s v="Elevator|Gym|Barn|Garden"/>
  </r>
  <r>
    <n v="1445"/>
    <s v="Property 1445"/>
    <x v="2"/>
    <x v="1"/>
    <n v="365805"/>
    <d v="2024-08-04T00:00:00"/>
    <x v="1"/>
    <m/>
    <n v="2019"/>
    <x v="1"/>
    <n v="2"/>
    <n v="5"/>
    <x v="3"/>
    <n v="2020"/>
    <n v="8"/>
    <n v="4"/>
    <x v="1"/>
    <s v="555-8615"/>
    <x v="1"/>
    <s v="Garage|Pool"/>
  </r>
  <r>
    <n v="1446"/>
    <s v="Property 1446"/>
    <x v="0"/>
    <x v="2"/>
    <n v="566534"/>
    <d v="2024-06-28T00:00:00"/>
    <x v="0"/>
    <n v="598191"/>
    <n v="4167"/>
    <x v="223"/>
    <n v="4"/>
    <n v="5"/>
    <x v="2"/>
    <n v="2009"/>
    <n v="5"/>
    <n v="1"/>
    <x v="0"/>
    <s v="555-2020"/>
    <x v="0"/>
    <s v="Pool|Elevator|Garage|Fireplace"/>
  </r>
  <r>
    <n v="1447"/>
    <s v="Property 1447"/>
    <x v="2"/>
    <x v="1"/>
    <n v="673759"/>
    <d v="2024-05-06T00:00:00"/>
    <x v="1"/>
    <m/>
    <n v="4286"/>
    <x v="1"/>
    <n v="4"/>
    <n v="5"/>
    <x v="2"/>
    <n v="2008"/>
    <n v="7"/>
    <n v="1"/>
    <x v="4"/>
    <s v="555-7804"/>
    <x v="1"/>
    <s v="Sauna|Barn|Gym|Pool"/>
  </r>
  <r>
    <n v="1448"/>
    <s v="Property 1448"/>
    <x v="1"/>
    <x v="1"/>
    <n v="897821"/>
    <d v="2024-09-24T00:00:00"/>
    <x v="1"/>
    <m/>
    <n v="4524"/>
    <x v="1"/>
    <n v="5"/>
    <n v="5"/>
    <x v="3"/>
    <n v="2009"/>
    <n v="2"/>
    <n v="4"/>
    <x v="6"/>
    <s v="555-4094"/>
    <x v="1"/>
    <s v="Gym"/>
  </r>
  <r>
    <n v="1449"/>
    <s v="Property 1449"/>
    <x v="2"/>
    <x v="1"/>
    <n v="840321"/>
    <d v="2024-05-12T00:00:00"/>
    <x v="90"/>
    <n v="883735"/>
    <n v="3778"/>
    <x v="224"/>
    <n v="2"/>
    <n v="3"/>
    <x v="0"/>
    <n v="2008"/>
    <m/>
    <n v="2"/>
    <x v="2"/>
    <s v="555-3112"/>
    <x v="0"/>
    <s v="Elevator"/>
  </r>
  <r>
    <n v="1450"/>
    <s v="Property 1450"/>
    <x v="2"/>
    <x v="0"/>
    <n v="570785"/>
    <d v="2024-10-17T00:00:00"/>
    <x v="176"/>
    <n v="598369"/>
    <n v="2143"/>
    <x v="225"/>
    <n v="2"/>
    <n v="4"/>
    <x v="1"/>
    <n v="2004"/>
    <n v="8"/>
    <n v="3"/>
    <x v="7"/>
    <s v="555-8162"/>
    <x v="0"/>
    <s v="Pool|Garage"/>
  </r>
  <r>
    <n v="1451"/>
    <s v="Property 1451"/>
    <x v="4"/>
    <x v="1"/>
    <n v="509546"/>
    <d v="2024-06-05T00:00:00"/>
    <x v="177"/>
    <n v="551326"/>
    <n v="2566"/>
    <x v="226"/>
    <n v="6"/>
    <n v="3"/>
    <x v="0"/>
    <n v="2008"/>
    <m/>
    <n v="4"/>
    <x v="7"/>
    <s v="555-7901"/>
    <x v="0"/>
    <s v="Elevator|Garden"/>
  </r>
  <r>
    <n v="1452"/>
    <s v="Property 1452"/>
    <x v="2"/>
    <x v="1"/>
    <n v="529938"/>
    <d v="2024-06-11T00:00:00"/>
    <x v="1"/>
    <m/>
    <n v="4161"/>
    <x v="1"/>
    <n v="2"/>
    <n v="2"/>
    <x v="3"/>
    <n v="2010"/>
    <n v="10"/>
    <n v="4"/>
    <x v="0"/>
    <s v="555-7085"/>
    <x v="1"/>
    <s v="Barn|Elevator|Garage|Fireplace"/>
  </r>
  <r>
    <n v="1453"/>
    <s v="Property 1453"/>
    <x v="1"/>
    <x v="0"/>
    <n v="805683"/>
    <d v="2024-10-08T00:00:00"/>
    <x v="1"/>
    <m/>
    <n v="2871"/>
    <x v="1"/>
    <n v="5"/>
    <n v="2"/>
    <x v="0"/>
    <n v="2020"/>
    <m/>
    <n v="2"/>
    <x v="4"/>
    <s v="555-2517"/>
    <x v="1"/>
    <s v="Sauna|Fireplace|Garden|Pool"/>
  </r>
  <r>
    <n v="1454"/>
    <s v="Property 1454"/>
    <x v="3"/>
    <x v="2"/>
    <n v="920832"/>
    <d v="2024-03-22T00:00:00"/>
    <x v="1"/>
    <m/>
    <n v="2515"/>
    <x v="1"/>
    <n v="3"/>
    <n v="3"/>
    <x v="1"/>
    <n v="2000"/>
    <n v="8"/>
    <n v="3"/>
    <x v="2"/>
    <s v="555-5630"/>
    <x v="1"/>
    <s v="Garage|Fireplace"/>
  </r>
  <r>
    <n v="1455"/>
    <s v="Property 1455"/>
    <x v="1"/>
    <x v="2"/>
    <n v="457341"/>
    <d v="2024-04-18T00:00:00"/>
    <x v="178"/>
    <n v="505989"/>
    <n v="2386"/>
    <x v="227"/>
    <n v="2"/>
    <n v="2"/>
    <x v="3"/>
    <n v="2019"/>
    <n v="9"/>
    <n v="3"/>
    <x v="5"/>
    <s v="555-6965"/>
    <x v="0"/>
    <s v="Garage|Fireplace"/>
  </r>
  <r>
    <n v="1456"/>
    <s v="Property 1456"/>
    <x v="0"/>
    <x v="2"/>
    <n v="425035"/>
    <d v="2024-06-16T00:00:00"/>
    <x v="1"/>
    <m/>
    <n v="3134"/>
    <x v="1"/>
    <n v="4"/>
    <n v="5"/>
    <x v="0"/>
    <n v="2000"/>
    <m/>
    <n v="1"/>
    <x v="8"/>
    <s v="555-8700"/>
    <x v="1"/>
    <s v="Barn"/>
  </r>
  <r>
    <n v="1457"/>
    <s v="Property 1457"/>
    <x v="4"/>
    <x v="0"/>
    <n v="574206"/>
    <d v="2024-03-03T00:00:00"/>
    <x v="1"/>
    <m/>
    <n v="1176"/>
    <x v="1"/>
    <n v="6"/>
    <n v="4"/>
    <x v="3"/>
    <n v="2002"/>
    <n v="8"/>
    <n v="4"/>
    <x v="7"/>
    <s v="555-5063"/>
    <x v="1"/>
    <s v="Elevator|Garage|Fireplace"/>
  </r>
  <r>
    <n v="1458"/>
    <s v="Property 1458"/>
    <x v="3"/>
    <x v="2"/>
    <n v="673354"/>
    <d v="2024-11-20T00:00:00"/>
    <x v="56"/>
    <n v="705596"/>
    <n v="1030"/>
    <x v="228"/>
    <n v="5"/>
    <n v="3"/>
    <x v="1"/>
    <n v="2006"/>
    <n v="2"/>
    <n v="2"/>
    <x v="2"/>
    <s v="555-4844"/>
    <x v="0"/>
    <s v="Fireplace|Garden"/>
  </r>
  <r>
    <n v="1459"/>
    <s v="Property 1459"/>
    <x v="2"/>
    <x v="0"/>
    <n v="773693"/>
    <d v="2024-10-15T00:00:00"/>
    <x v="1"/>
    <m/>
    <n v="4509"/>
    <x v="1"/>
    <n v="4"/>
    <n v="3"/>
    <x v="0"/>
    <n v="2021"/>
    <m/>
    <n v="1"/>
    <x v="0"/>
    <s v="555-7141"/>
    <x v="1"/>
    <s v="Garden"/>
  </r>
  <r>
    <n v="1460"/>
    <s v="Property 1460"/>
    <x v="3"/>
    <x v="2"/>
    <n v="363467"/>
    <d v="2024-03-03T00:00:00"/>
    <x v="1"/>
    <m/>
    <n v="3082"/>
    <x v="1"/>
    <n v="6"/>
    <n v="5"/>
    <x v="2"/>
    <n v="2008"/>
    <n v="5"/>
    <n v="2"/>
    <x v="2"/>
    <s v="555-1421"/>
    <x v="1"/>
    <s v="Barn"/>
  </r>
  <r>
    <n v="1461"/>
    <s v="Property 1461"/>
    <x v="0"/>
    <x v="2"/>
    <n v="589531"/>
    <d v="2024-03-24T00:00:00"/>
    <x v="1"/>
    <m/>
    <n v="4087"/>
    <x v="1"/>
    <n v="3"/>
    <n v="2"/>
    <x v="1"/>
    <n v="2005"/>
    <n v="9"/>
    <n v="4"/>
    <x v="3"/>
    <s v="555-1010"/>
    <x v="1"/>
    <s v="Barn|Garage|Gym|Sauna"/>
  </r>
  <r>
    <n v="1462"/>
    <s v="Property 1462"/>
    <x v="0"/>
    <x v="2"/>
    <n v="592750"/>
    <d v="2023-12-24T00:00:00"/>
    <x v="168"/>
    <n v="621470"/>
    <n v="2933"/>
    <x v="229"/>
    <n v="3"/>
    <n v="2"/>
    <x v="1"/>
    <n v="2000"/>
    <n v="3"/>
    <n v="1"/>
    <x v="9"/>
    <s v="555-5039"/>
    <x v="0"/>
    <s v="Fireplace|Elevator|Barn|Garage"/>
  </r>
  <r>
    <n v="1463"/>
    <s v="Property 1463"/>
    <x v="2"/>
    <x v="2"/>
    <n v="904148"/>
    <d v="2024-12-05T00:00:00"/>
    <x v="1"/>
    <m/>
    <n v="4904"/>
    <x v="1"/>
    <n v="6"/>
    <n v="4"/>
    <x v="2"/>
    <n v="2023"/>
    <n v="1"/>
    <n v="3"/>
    <x v="5"/>
    <s v="555-3396"/>
    <x v="1"/>
    <s v="Sauna"/>
  </r>
  <r>
    <n v="1464"/>
    <s v="Property 1464"/>
    <x v="0"/>
    <x v="0"/>
    <n v="464418"/>
    <d v="2024-11-20T00:00:00"/>
    <x v="157"/>
    <n v="508175"/>
    <n v="1057"/>
    <x v="230"/>
    <n v="2"/>
    <n v="4"/>
    <x v="2"/>
    <n v="2020"/>
    <n v="6"/>
    <n v="4"/>
    <x v="3"/>
    <s v="555-3016"/>
    <x v="0"/>
    <s v="Barn|Elevator|Garden"/>
  </r>
  <r>
    <n v="1465"/>
    <s v="Property 1465"/>
    <x v="1"/>
    <x v="0"/>
    <n v="432412"/>
    <d v="2024-03-22T00:00:00"/>
    <x v="170"/>
    <n v="472092"/>
    <n v="4699"/>
    <x v="231"/>
    <n v="3"/>
    <n v="5"/>
    <x v="0"/>
    <n v="2020"/>
    <m/>
    <n v="2"/>
    <x v="8"/>
    <s v="555-9130"/>
    <x v="0"/>
    <s v="Fireplace|Gym"/>
  </r>
  <r>
    <n v="1466"/>
    <s v="Property 1466"/>
    <x v="4"/>
    <x v="2"/>
    <n v="856288"/>
    <d v="2024-12-16T00:00:00"/>
    <x v="1"/>
    <m/>
    <n v="3530"/>
    <x v="1"/>
    <n v="3"/>
    <n v="3"/>
    <x v="2"/>
    <n v="2010"/>
    <n v="5"/>
    <n v="2"/>
    <x v="9"/>
    <s v="555-9881"/>
    <x v="1"/>
    <s v="Fireplace|Garden|Pool|Barn"/>
  </r>
  <r>
    <n v="1467"/>
    <s v="Property 1467"/>
    <x v="2"/>
    <x v="1"/>
    <n v="529296"/>
    <d v="2024-09-17T00:00:00"/>
    <x v="1"/>
    <m/>
    <n v="3582"/>
    <x v="1"/>
    <n v="6"/>
    <n v="3"/>
    <x v="1"/>
    <n v="2019"/>
    <n v="2"/>
    <n v="1"/>
    <x v="5"/>
    <s v="555-5233"/>
    <x v="1"/>
    <s v="Sauna|Gym|Garage|Elevator"/>
  </r>
  <r>
    <n v="1468"/>
    <s v="Property 1468"/>
    <x v="4"/>
    <x v="0"/>
    <n v="932373"/>
    <d v="2024-12-06T00:00:00"/>
    <x v="179"/>
    <n v="950528"/>
    <n v="1475"/>
    <x v="232"/>
    <n v="4"/>
    <n v="3"/>
    <x v="1"/>
    <n v="2011"/>
    <n v="8"/>
    <n v="4"/>
    <x v="2"/>
    <s v="555-2167"/>
    <x v="0"/>
    <s v="Pool"/>
  </r>
  <r>
    <n v="1469"/>
    <s v="Property 1469"/>
    <x v="2"/>
    <x v="2"/>
    <n v="929410"/>
    <d v="2024-05-21T00:00:00"/>
    <x v="180"/>
    <n v="969447"/>
    <n v="4114"/>
    <x v="233"/>
    <n v="6"/>
    <n v="4"/>
    <x v="1"/>
    <n v="2021"/>
    <n v="9"/>
    <n v="4"/>
    <x v="7"/>
    <s v="555-6305"/>
    <x v="0"/>
    <s v="Elevator|Garage|Sauna|Fireplace"/>
  </r>
  <r>
    <n v="1470"/>
    <s v="Property 1470"/>
    <x v="0"/>
    <x v="0"/>
    <n v="325185"/>
    <d v="2024-05-28T00:00:00"/>
    <x v="1"/>
    <m/>
    <n v="2631"/>
    <x v="1"/>
    <n v="4"/>
    <n v="4"/>
    <x v="3"/>
    <n v="2000"/>
    <n v="2"/>
    <n v="4"/>
    <x v="1"/>
    <s v="555-2340"/>
    <x v="1"/>
    <s v="Garden"/>
  </r>
  <r>
    <n v="1471"/>
    <s v="Property 1471"/>
    <x v="3"/>
    <x v="2"/>
    <n v="803393"/>
    <d v="2024-04-07T00:00:00"/>
    <x v="1"/>
    <m/>
    <n v="1966"/>
    <x v="1"/>
    <n v="4"/>
    <n v="2"/>
    <x v="2"/>
    <n v="2016"/>
    <n v="4"/>
    <n v="1"/>
    <x v="2"/>
    <s v="555-8699"/>
    <x v="1"/>
    <s v="Gym|Pool|Garden"/>
  </r>
  <r>
    <n v="1472"/>
    <s v="Property 1472"/>
    <x v="0"/>
    <x v="1"/>
    <n v="420902"/>
    <d v="2024-07-27T00:00:00"/>
    <x v="181"/>
    <n v="469187"/>
    <n v="2058"/>
    <x v="234"/>
    <n v="3"/>
    <n v="2"/>
    <x v="3"/>
    <n v="2016"/>
    <n v="8"/>
    <n v="1"/>
    <x v="0"/>
    <s v="555-2451"/>
    <x v="0"/>
    <s v="Pool|Garden"/>
  </r>
  <r>
    <n v="1473"/>
    <s v="Property 1473"/>
    <x v="4"/>
    <x v="2"/>
    <n v="945762"/>
    <d v="2024-04-29T00:00:00"/>
    <x v="1"/>
    <m/>
    <n v="2908"/>
    <x v="1"/>
    <n v="2"/>
    <n v="5"/>
    <x v="3"/>
    <n v="2010"/>
    <n v="6"/>
    <n v="2"/>
    <x v="5"/>
    <s v="555-9828"/>
    <x v="1"/>
    <s v="Pool|Barn"/>
  </r>
  <r>
    <n v="1474"/>
    <s v="Property 1474"/>
    <x v="0"/>
    <x v="1"/>
    <n v="406215"/>
    <d v="2024-01-07T00:00:00"/>
    <x v="1"/>
    <m/>
    <n v="4429"/>
    <x v="1"/>
    <n v="4"/>
    <n v="4"/>
    <x v="1"/>
    <n v="2013"/>
    <n v="1"/>
    <n v="4"/>
    <x v="8"/>
    <s v="555-2746"/>
    <x v="1"/>
    <s v="Pool|Fireplace|Sauna|Garage"/>
  </r>
  <r>
    <n v="1475"/>
    <s v="Property 1475"/>
    <x v="0"/>
    <x v="0"/>
    <n v="519850"/>
    <d v="2024-11-01T00:00:00"/>
    <x v="1"/>
    <m/>
    <n v="2575"/>
    <x v="1"/>
    <n v="6"/>
    <n v="5"/>
    <x v="1"/>
    <n v="2009"/>
    <n v="1"/>
    <n v="4"/>
    <x v="6"/>
    <s v="555-2293"/>
    <x v="1"/>
    <s v="Gym|Garden|Garage"/>
  </r>
  <r>
    <n v="1476"/>
    <s v="Property 1476"/>
    <x v="2"/>
    <x v="0"/>
    <n v="568566"/>
    <d v="2024-05-06T00:00:00"/>
    <x v="1"/>
    <m/>
    <n v="3737"/>
    <x v="1"/>
    <n v="2"/>
    <n v="3"/>
    <x v="1"/>
    <n v="2018"/>
    <n v="1"/>
    <n v="1"/>
    <x v="8"/>
    <s v="555-2646"/>
    <x v="1"/>
    <s v="Garden|Sauna|Elevator|Pool"/>
  </r>
  <r>
    <n v="1477"/>
    <s v="Property 1477"/>
    <x v="0"/>
    <x v="1"/>
    <n v="751447"/>
    <d v="2024-06-03T00:00:00"/>
    <x v="70"/>
    <n v="779387"/>
    <n v="4395"/>
    <x v="235"/>
    <n v="2"/>
    <n v="3"/>
    <x v="1"/>
    <n v="2001"/>
    <n v="10"/>
    <n v="2"/>
    <x v="9"/>
    <s v="555-1647"/>
    <x v="0"/>
    <s v="Pool|Barn|Elevator"/>
  </r>
  <r>
    <n v="1478"/>
    <s v="Property 1478"/>
    <x v="3"/>
    <x v="1"/>
    <n v="476412"/>
    <d v="2024-03-02T00:00:00"/>
    <x v="182"/>
    <n v="501392"/>
    <n v="4056"/>
    <x v="236"/>
    <n v="5"/>
    <n v="2"/>
    <x v="0"/>
    <n v="2020"/>
    <m/>
    <n v="2"/>
    <x v="5"/>
    <s v="555-4531"/>
    <x v="0"/>
    <s v="Fireplace|Sauna"/>
  </r>
  <r>
    <n v="1479"/>
    <s v="Property 1479"/>
    <x v="3"/>
    <x v="2"/>
    <n v="406277"/>
    <d v="2024-01-14T00:00:00"/>
    <x v="183"/>
    <n v="445812"/>
    <n v="4600"/>
    <x v="237"/>
    <n v="6"/>
    <n v="3"/>
    <x v="0"/>
    <n v="2003"/>
    <m/>
    <n v="3"/>
    <x v="0"/>
    <s v="555-5849"/>
    <x v="0"/>
    <s v="Fireplace"/>
  </r>
  <r>
    <n v="1480"/>
    <s v="Property 1480"/>
    <x v="3"/>
    <x v="0"/>
    <n v="364314"/>
    <d v="2024-01-30T00:00:00"/>
    <x v="184"/>
    <n v="375053"/>
    <n v="2457"/>
    <x v="238"/>
    <n v="4"/>
    <n v="4"/>
    <x v="2"/>
    <n v="2013"/>
    <n v="7"/>
    <n v="4"/>
    <x v="3"/>
    <s v="555-1773"/>
    <x v="0"/>
    <s v="Garage|Elevator|Sauna|Pool"/>
  </r>
  <r>
    <n v="1481"/>
    <s v="Property 1481"/>
    <x v="4"/>
    <x v="2"/>
    <n v="328862"/>
    <d v="2024-06-27T00:00:00"/>
    <x v="1"/>
    <m/>
    <n v="4503"/>
    <x v="1"/>
    <n v="6"/>
    <n v="3"/>
    <x v="0"/>
    <n v="2013"/>
    <m/>
    <n v="1"/>
    <x v="1"/>
    <s v="555-4966"/>
    <x v="1"/>
    <s v="Barn|Gym|Fireplace|Garden"/>
  </r>
  <r>
    <n v="1482"/>
    <s v="Property 1482"/>
    <x v="0"/>
    <x v="0"/>
    <n v="366655"/>
    <d v="2024-07-29T00:00:00"/>
    <x v="185"/>
    <n v="391136"/>
    <n v="4646"/>
    <x v="239"/>
    <n v="2"/>
    <n v="5"/>
    <x v="0"/>
    <n v="2018"/>
    <m/>
    <n v="3"/>
    <x v="4"/>
    <s v="555-2644"/>
    <x v="0"/>
    <s v="Sauna"/>
  </r>
  <r>
    <n v="1483"/>
    <s v="Property 1483"/>
    <x v="1"/>
    <x v="0"/>
    <n v="504648"/>
    <d v="2024-05-08T00:00:00"/>
    <x v="55"/>
    <n v="529403"/>
    <n v="1909"/>
    <x v="240"/>
    <n v="2"/>
    <n v="4"/>
    <x v="1"/>
    <n v="2016"/>
    <n v="7"/>
    <n v="1"/>
    <x v="4"/>
    <s v="555-5494"/>
    <x v="0"/>
    <s v="Sauna"/>
  </r>
  <r>
    <n v="1484"/>
    <s v="Property 1484"/>
    <x v="0"/>
    <x v="2"/>
    <n v="612827"/>
    <d v="2024-09-03T00:00:00"/>
    <x v="1"/>
    <m/>
    <n v="3136"/>
    <x v="1"/>
    <n v="4"/>
    <n v="3"/>
    <x v="3"/>
    <n v="2001"/>
    <n v="10"/>
    <n v="1"/>
    <x v="7"/>
    <s v="555-6038"/>
    <x v="1"/>
    <s v="Sauna|Pool"/>
  </r>
  <r>
    <n v="1485"/>
    <s v="Property 1485"/>
    <x v="1"/>
    <x v="1"/>
    <n v="635979"/>
    <d v="2024-01-22T00:00:00"/>
    <x v="1"/>
    <m/>
    <n v="2691"/>
    <x v="1"/>
    <n v="4"/>
    <n v="3"/>
    <x v="1"/>
    <n v="2022"/>
    <n v="10"/>
    <n v="2"/>
    <x v="8"/>
    <s v="555-6537"/>
    <x v="1"/>
    <s v="Garage|Gym|Pool|Garden"/>
  </r>
  <r>
    <n v="1486"/>
    <s v="Property 1486"/>
    <x v="1"/>
    <x v="1"/>
    <n v="699470"/>
    <d v="2024-06-06T00:00:00"/>
    <x v="1"/>
    <m/>
    <n v="1457"/>
    <x v="1"/>
    <n v="4"/>
    <n v="2"/>
    <x v="3"/>
    <n v="2003"/>
    <n v="1"/>
    <n v="1"/>
    <x v="7"/>
    <s v="555-7443"/>
    <x v="1"/>
    <s v="Elevator|Gym|Fireplace"/>
  </r>
  <r>
    <n v="1487"/>
    <s v="Property 1487"/>
    <x v="4"/>
    <x v="1"/>
    <n v="790425"/>
    <d v="2024-02-14T00:00:00"/>
    <x v="162"/>
    <n v="830116"/>
    <n v="2324"/>
    <x v="241"/>
    <n v="6"/>
    <n v="4"/>
    <x v="0"/>
    <n v="2018"/>
    <m/>
    <n v="2"/>
    <x v="2"/>
    <s v="555-9627"/>
    <x v="0"/>
    <s v="Elevator"/>
  </r>
  <r>
    <n v="1488"/>
    <s v="Property 1488"/>
    <x v="4"/>
    <x v="1"/>
    <n v="636312"/>
    <d v="2024-11-02T00:00:00"/>
    <x v="1"/>
    <m/>
    <n v="3975"/>
    <x v="1"/>
    <n v="3"/>
    <n v="4"/>
    <x v="3"/>
    <n v="2022"/>
    <n v="9"/>
    <n v="3"/>
    <x v="8"/>
    <s v="555-7539"/>
    <x v="1"/>
    <s v="Pool|Barn"/>
  </r>
  <r>
    <n v="1489"/>
    <s v="Property 1489"/>
    <x v="1"/>
    <x v="2"/>
    <n v="531830"/>
    <d v="2024-01-05T00:00:00"/>
    <x v="186"/>
    <n v="555205"/>
    <n v="2808"/>
    <x v="242"/>
    <n v="5"/>
    <n v="4"/>
    <x v="0"/>
    <n v="2010"/>
    <m/>
    <n v="3"/>
    <x v="6"/>
    <s v="555-4937"/>
    <x v="0"/>
    <s v="Gym|Fireplace"/>
  </r>
  <r>
    <n v="1490"/>
    <s v="Property 1490"/>
    <x v="2"/>
    <x v="2"/>
    <n v="334634"/>
    <d v="2024-05-06T00:00:00"/>
    <x v="1"/>
    <m/>
    <n v="2208"/>
    <x v="1"/>
    <n v="5"/>
    <n v="5"/>
    <x v="0"/>
    <n v="2018"/>
    <m/>
    <n v="1"/>
    <x v="9"/>
    <s v="555-7510"/>
    <x v="1"/>
    <s v="Pool"/>
  </r>
  <r>
    <n v="1491"/>
    <s v="Property 1491"/>
    <x v="1"/>
    <x v="1"/>
    <n v="374259"/>
    <d v="2024-09-01T00:00:00"/>
    <x v="187"/>
    <n v="397711"/>
    <n v="3848"/>
    <x v="243"/>
    <n v="4"/>
    <n v="5"/>
    <x v="0"/>
    <n v="2007"/>
    <m/>
    <n v="2"/>
    <x v="0"/>
    <s v="555-4307"/>
    <x v="0"/>
    <s v="Elevator|Pool"/>
  </r>
  <r>
    <n v="1492"/>
    <s v="Property 1492"/>
    <x v="0"/>
    <x v="1"/>
    <n v="991056"/>
    <d v="2024-09-21T00:00:00"/>
    <x v="1"/>
    <m/>
    <n v="3079"/>
    <x v="1"/>
    <n v="5"/>
    <n v="5"/>
    <x v="2"/>
    <n v="2000"/>
    <n v="1"/>
    <n v="1"/>
    <x v="8"/>
    <s v="555-3529"/>
    <x v="1"/>
    <s v="Garage"/>
  </r>
  <r>
    <n v="1493"/>
    <s v="Property 1493"/>
    <x v="2"/>
    <x v="2"/>
    <n v="724980"/>
    <d v="2024-11-25T00:00:00"/>
    <x v="188"/>
    <n v="737073"/>
    <n v="2506"/>
    <x v="244"/>
    <n v="3"/>
    <n v="3"/>
    <x v="1"/>
    <n v="2008"/>
    <n v="1"/>
    <n v="2"/>
    <x v="2"/>
    <s v="555-1236"/>
    <x v="0"/>
    <s v="Barn|Elevator"/>
  </r>
  <r>
    <n v="1494"/>
    <s v="Property 1494"/>
    <x v="3"/>
    <x v="0"/>
    <n v="342643"/>
    <d v="2024-05-26T00:00:00"/>
    <x v="63"/>
    <n v="374600"/>
    <n v="2588"/>
    <x v="245"/>
    <n v="2"/>
    <n v="3"/>
    <x v="3"/>
    <n v="2016"/>
    <n v="3"/>
    <n v="2"/>
    <x v="6"/>
    <s v="555-8127"/>
    <x v="0"/>
    <s v="Barn|Gym|Sauna|Fireplace"/>
  </r>
  <r>
    <n v="1495"/>
    <s v="Property 1495"/>
    <x v="2"/>
    <x v="2"/>
    <n v="634928"/>
    <d v="2024-05-17T00:00:00"/>
    <x v="189"/>
    <n v="647879"/>
    <n v="2343"/>
    <x v="246"/>
    <n v="2"/>
    <n v="2"/>
    <x v="1"/>
    <n v="2023"/>
    <n v="6"/>
    <n v="2"/>
    <x v="7"/>
    <s v="555-5645"/>
    <x v="0"/>
    <s v="Elevator"/>
  </r>
  <r>
    <n v="1496"/>
    <s v="Property 1496"/>
    <x v="3"/>
    <x v="2"/>
    <n v="531594"/>
    <d v="2024-08-16T00:00:00"/>
    <x v="1"/>
    <m/>
    <n v="4082"/>
    <x v="1"/>
    <n v="3"/>
    <n v="5"/>
    <x v="0"/>
    <n v="2013"/>
    <m/>
    <n v="2"/>
    <x v="9"/>
    <s v="555-8075"/>
    <x v="1"/>
    <s v="Garden|Fireplace"/>
  </r>
  <r>
    <n v="1497"/>
    <s v="Property 1497"/>
    <x v="1"/>
    <x v="0"/>
    <n v="961860"/>
    <d v="2024-12-05T00:00:00"/>
    <x v="190"/>
    <n v="1005450"/>
    <n v="3050"/>
    <x v="247"/>
    <n v="2"/>
    <n v="4"/>
    <x v="2"/>
    <n v="2020"/>
    <n v="8"/>
    <n v="3"/>
    <x v="4"/>
    <s v="555-6075"/>
    <x v="0"/>
    <s v="Fireplace|Gym|Sauna"/>
  </r>
  <r>
    <n v="1498"/>
    <s v="Property 1498"/>
    <x v="4"/>
    <x v="0"/>
    <n v="565316"/>
    <d v="2023-12-18T00:00:00"/>
    <x v="1"/>
    <m/>
    <n v="2330"/>
    <x v="1"/>
    <n v="4"/>
    <n v="2"/>
    <x v="2"/>
    <n v="2018"/>
    <n v="3"/>
    <n v="2"/>
    <x v="5"/>
    <s v="555-6059"/>
    <x v="1"/>
    <s v="Sauna"/>
  </r>
  <r>
    <n v="1499"/>
    <s v="Property 1499"/>
    <x v="2"/>
    <x v="2"/>
    <n v="710279"/>
    <d v="2024-09-14T00:00:00"/>
    <x v="120"/>
    <n v="736594"/>
    <n v="1427"/>
    <x v="248"/>
    <n v="4"/>
    <n v="4"/>
    <x v="3"/>
    <n v="2021"/>
    <n v="8"/>
    <n v="1"/>
    <x v="4"/>
    <s v="555-6759"/>
    <x v="0"/>
    <s v="Fireplace|Garden"/>
  </r>
  <r>
    <n v="1500"/>
    <s v="Property 1500"/>
    <x v="1"/>
    <x v="0"/>
    <n v="906978"/>
    <d v="2024-07-11T00:00:00"/>
    <x v="1"/>
    <m/>
    <n v="4651"/>
    <x v="1"/>
    <n v="4"/>
    <n v="4"/>
    <x v="0"/>
    <n v="2002"/>
    <m/>
    <n v="1"/>
    <x v="2"/>
    <s v="555-1173"/>
    <x v="1"/>
    <s v="Garage"/>
  </r>
  <r>
    <n v="1501"/>
    <s v="Property 1501"/>
    <x v="4"/>
    <x v="2"/>
    <n v="424015"/>
    <d v="2024-06-05T00:00:00"/>
    <x v="89"/>
    <n v="455341"/>
    <n v="3161"/>
    <x v="249"/>
    <n v="5"/>
    <n v="2"/>
    <x v="3"/>
    <n v="2021"/>
    <n v="5"/>
    <n v="4"/>
    <x v="7"/>
    <s v="555-7887"/>
    <x v="0"/>
    <s v="Gym"/>
  </r>
  <r>
    <n v="1502"/>
    <s v="Property 1502"/>
    <x v="0"/>
    <x v="2"/>
    <n v="649961"/>
    <d v="2024-06-14T00:00:00"/>
    <x v="1"/>
    <m/>
    <n v="2704"/>
    <x v="1"/>
    <n v="2"/>
    <n v="5"/>
    <x v="0"/>
    <n v="2017"/>
    <m/>
    <n v="4"/>
    <x v="4"/>
    <s v="555-7647"/>
    <x v="1"/>
    <s v="Elevator|Fireplace|Garden"/>
  </r>
  <r>
    <n v="1503"/>
    <s v="Property 1503"/>
    <x v="0"/>
    <x v="1"/>
    <n v="520690"/>
    <d v="2024-10-14T00:00:00"/>
    <x v="1"/>
    <m/>
    <n v="2028"/>
    <x v="1"/>
    <n v="2"/>
    <n v="2"/>
    <x v="1"/>
    <n v="2022"/>
    <n v="9"/>
    <n v="3"/>
    <x v="6"/>
    <s v="555-5890"/>
    <x v="1"/>
    <s v="Barn|Elevator"/>
  </r>
  <r>
    <n v="1504"/>
    <s v="Property 1504"/>
    <x v="2"/>
    <x v="2"/>
    <n v="438944"/>
    <d v="2024-08-19T00:00:00"/>
    <x v="1"/>
    <m/>
    <n v="3393"/>
    <x v="1"/>
    <n v="3"/>
    <n v="5"/>
    <x v="3"/>
    <n v="2008"/>
    <n v="4"/>
    <n v="2"/>
    <x v="0"/>
    <s v="555-1904"/>
    <x v="1"/>
    <s v="Sauna|Garage|Fireplace"/>
  </r>
  <r>
    <n v="1505"/>
    <s v="Property 1505"/>
    <x v="1"/>
    <x v="2"/>
    <n v="375268"/>
    <d v="2024-01-07T00:00:00"/>
    <x v="1"/>
    <m/>
    <n v="2963"/>
    <x v="1"/>
    <n v="5"/>
    <n v="5"/>
    <x v="3"/>
    <n v="2021"/>
    <n v="8"/>
    <n v="2"/>
    <x v="0"/>
    <s v="555-3775"/>
    <x v="1"/>
    <s v="Sauna|Pool|Fireplace|Garden"/>
  </r>
  <r>
    <n v="1506"/>
    <s v="Property 1506"/>
    <x v="2"/>
    <x v="1"/>
    <n v="984821"/>
    <d v="2024-01-03T00:00:00"/>
    <x v="1"/>
    <m/>
    <n v="2318"/>
    <x v="1"/>
    <n v="5"/>
    <n v="2"/>
    <x v="1"/>
    <n v="2020"/>
    <n v="8"/>
    <n v="3"/>
    <x v="6"/>
    <s v="555-9742"/>
    <x v="1"/>
    <s v="Pool|Barn|Gym"/>
  </r>
  <r>
    <n v="1507"/>
    <s v="Property 1507"/>
    <x v="1"/>
    <x v="2"/>
    <n v="309743"/>
    <d v="2023-12-21T00:00:00"/>
    <x v="4"/>
    <n v="357397"/>
    <n v="3141"/>
    <x v="250"/>
    <n v="3"/>
    <n v="3"/>
    <x v="1"/>
    <n v="2011"/>
    <n v="9"/>
    <n v="1"/>
    <x v="9"/>
    <s v="555-7481"/>
    <x v="0"/>
    <s v="Garden"/>
  </r>
  <r>
    <n v="1508"/>
    <s v="Property 1508"/>
    <x v="0"/>
    <x v="1"/>
    <n v="918445"/>
    <d v="2024-01-20T00:00:00"/>
    <x v="1"/>
    <m/>
    <n v="1480"/>
    <x v="1"/>
    <n v="3"/>
    <n v="2"/>
    <x v="1"/>
    <n v="2020"/>
    <n v="6"/>
    <n v="2"/>
    <x v="1"/>
    <s v="555-6834"/>
    <x v="1"/>
    <s v="Fireplace|Sauna"/>
  </r>
  <r>
    <n v="1509"/>
    <s v="Property 1509"/>
    <x v="3"/>
    <x v="0"/>
    <n v="769139"/>
    <d v="2024-09-28T00:00:00"/>
    <x v="52"/>
    <n v="800600"/>
    <n v="2057"/>
    <x v="251"/>
    <n v="4"/>
    <n v="2"/>
    <x v="1"/>
    <n v="2021"/>
    <n v="4"/>
    <n v="4"/>
    <x v="1"/>
    <s v="555-8806"/>
    <x v="0"/>
    <s v="Gym|Pool|Garden|Garage"/>
  </r>
  <r>
    <n v="1510"/>
    <s v="Property 1510"/>
    <x v="0"/>
    <x v="1"/>
    <n v="979847"/>
    <d v="2024-07-22T00:00:00"/>
    <x v="107"/>
    <n v="1027590"/>
    <n v="4521"/>
    <x v="252"/>
    <n v="3"/>
    <n v="4"/>
    <x v="2"/>
    <n v="2023"/>
    <n v="8"/>
    <n v="3"/>
    <x v="1"/>
    <s v="555-8462"/>
    <x v="0"/>
    <s v="Garden|Gym|Elevator|Fireplace"/>
  </r>
  <r>
    <n v="1511"/>
    <s v="Property 1511"/>
    <x v="3"/>
    <x v="0"/>
    <n v="443706"/>
    <d v="2024-10-31T00:00:00"/>
    <x v="175"/>
    <n v="457354"/>
    <n v="2626"/>
    <x v="253"/>
    <n v="3"/>
    <n v="5"/>
    <x v="0"/>
    <n v="2020"/>
    <m/>
    <n v="2"/>
    <x v="7"/>
    <s v="555-4339"/>
    <x v="0"/>
    <s v="Garden"/>
  </r>
  <r>
    <n v="1512"/>
    <s v="Property 1512"/>
    <x v="3"/>
    <x v="0"/>
    <n v="411332"/>
    <d v="2024-06-20T00:00:00"/>
    <x v="162"/>
    <n v="449748"/>
    <n v="4334"/>
    <x v="254"/>
    <n v="4"/>
    <n v="2"/>
    <x v="1"/>
    <n v="2012"/>
    <n v="8"/>
    <n v="3"/>
    <x v="8"/>
    <s v="555-4469"/>
    <x v="0"/>
    <s v="Pool"/>
  </r>
  <r>
    <n v="1513"/>
    <s v="Property 1513"/>
    <x v="1"/>
    <x v="1"/>
    <n v="878020"/>
    <d v="2024-05-19T00:00:00"/>
    <x v="1"/>
    <m/>
    <n v="1601"/>
    <x v="1"/>
    <n v="2"/>
    <n v="3"/>
    <x v="2"/>
    <n v="2023"/>
    <n v="5"/>
    <n v="3"/>
    <x v="0"/>
    <s v="555-9485"/>
    <x v="1"/>
    <s v="Barn|Gym|Garden"/>
  </r>
  <r>
    <n v="1514"/>
    <s v="Property 1514"/>
    <x v="3"/>
    <x v="2"/>
    <n v="351991"/>
    <d v="2024-08-25T00:00:00"/>
    <x v="191"/>
    <n v="378539"/>
    <n v="2942"/>
    <x v="255"/>
    <n v="3"/>
    <n v="5"/>
    <x v="1"/>
    <n v="2017"/>
    <n v="5"/>
    <n v="4"/>
    <x v="1"/>
    <s v="555-8697"/>
    <x v="0"/>
    <s v="Gym|Sauna|Garden"/>
  </r>
  <r>
    <n v="1515"/>
    <s v="Property 1515"/>
    <x v="3"/>
    <x v="2"/>
    <n v="421139"/>
    <d v="2024-08-05T00:00:00"/>
    <x v="48"/>
    <n v="439678"/>
    <n v="1832"/>
    <x v="256"/>
    <n v="6"/>
    <n v="5"/>
    <x v="1"/>
    <n v="2016"/>
    <n v="9"/>
    <n v="2"/>
    <x v="3"/>
    <s v="555-4824"/>
    <x v="0"/>
    <s v="Garage|Sauna"/>
  </r>
  <r>
    <n v="1516"/>
    <s v="Property 1516"/>
    <x v="2"/>
    <x v="1"/>
    <n v="822919"/>
    <d v="2024-01-18T00:00:00"/>
    <x v="1"/>
    <m/>
    <n v="1612"/>
    <x v="1"/>
    <n v="3"/>
    <n v="5"/>
    <x v="1"/>
    <n v="2010"/>
    <n v="4"/>
    <n v="4"/>
    <x v="9"/>
    <s v="555-6689"/>
    <x v="1"/>
    <s v="Sauna"/>
  </r>
  <r>
    <n v="1517"/>
    <s v="Property 1517"/>
    <x v="3"/>
    <x v="0"/>
    <n v="894669"/>
    <d v="2024-02-13T00:00:00"/>
    <x v="192"/>
    <n v="922841"/>
    <n v="3796"/>
    <x v="257"/>
    <n v="4"/>
    <n v="3"/>
    <x v="3"/>
    <n v="2022"/>
    <n v="8"/>
    <n v="2"/>
    <x v="3"/>
    <s v="555-3967"/>
    <x v="0"/>
    <s v="Gym|Elevator|Barn"/>
  </r>
  <r>
    <n v="1518"/>
    <s v="Property 1518"/>
    <x v="3"/>
    <x v="1"/>
    <n v="874899"/>
    <d v="2024-05-30T00:00:00"/>
    <x v="193"/>
    <n v="911936"/>
    <n v="2600"/>
    <x v="258"/>
    <n v="5"/>
    <n v="2"/>
    <x v="2"/>
    <n v="2016"/>
    <n v="2"/>
    <n v="4"/>
    <x v="3"/>
    <s v="555-5946"/>
    <x v="0"/>
    <s v="Garden"/>
  </r>
  <r>
    <n v="1519"/>
    <s v="Property 1519"/>
    <x v="4"/>
    <x v="0"/>
    <n v="379187"/>
    <d v="2024-11-24T00:00:00"/>
    <x v="194"/>
    <n v="417208"/>
    <n v="2462"/>
    <x v="259"/>
    <n v="4"/>
    <n v="2"/>
    <x v="3"/>
    <n v="2002"/>
    <n v="6"/>
    <n v="1"/>
    <x v="3"/>
    <s v="555-9720"/>
    <x v="0"/>
    <s v="Garage|Barn|Sauna"/>
  </r>
  <r>
    <n v="1520"/>
    <s v="Property 1520"/>
    <x v="4"/>
    <x v="1"/>
    <n v="485118"/>
    <d v="2024-08-04T00:00:00"/>
    <x v="1"/>
    <m/>
    <n v="3442"/>
    <x v="1"/>
    <n v="2"/>
    <n v="3"/>
    <x v="1"/>
    <n v="2010"/>
    <n v="8"/>
    <n v="4"/>
    <x v="3"/>
    <s v="555-7032"/>
    <x v="1"/>
    <s v="Barn|Fireplace"/>
  </r>
  <r>
    <n v="1521"/>
    <s v="Property 1521"/>
    <x v="0"/>
    <x v="2"/>
    <n v="893816"/>
    <d v="2024-07-20T00:00:00"/>
    <x v="195"/>
    <n v="927948"/>
    <n v="4981"/>
    <x v="260"/>
    <n v="4"/>
    <n v="4"/>
    <x v="0"/>
    <n v="2015"/>
    <m/>
    <n v="3"/>
    <x v="5"/>
    <s v="555-2186"/>
    <x v="0"/>
    <s v="Fireplace|Barn|Elevator"/>
  </r>
  <r>
    <n v="1522"/>
    <s v="Property 1522"/>
    <x v="1"/>
    <x v="0"/>
    <n v="507324"/>
    <d v="2024-01-28T00:00:00"/>
    <x v="196"/>
    <n v="547558"/>
    <n v="3290"/>
    <x v="261"/>
    <n v="3"/>
    <n v="3"/>
    <x v="0"/>
    <n v="2005"/>
    <m/>
    <n v="3"/>
    <x v="1"/>
    <s v="555-4379"/>
    <x v="0"/>
    <s v="Barn|Elevator|Gym"/>
  </r>
  <r>
    <n v="1523"/>
    <s v="Property 1523"/>
    <x v="2"/>
    <x v="0"/>
    <n v="714984"/>
    <d v="2024-01-26T00:00:00"/>
    <x v="66"/>
    <n v="750422"/>
    <n v="4843"/>
    <x v="262"/>
    <n v="3"/>
    <n v="3"/>
    <x v="0"/>
    <n v="2006"/>
    <m/>
    <n v="1"/>
    <x v="8"/>
    <s v="555-6953"/>
    <x v="0"/>
    <s v="Sauna|Elevator|Fireplace|Garage"/>
  </r>
  <r>
    <n v="1524"/>
    <s v="Property 1524"/>
    <x v="0"/>
    <x v="1"/>
    <n v="444604"/>
    <d v="2024-06-09T00:00:00"/>
    <x v="114"/>
    <n v="476608"/>
    <n v="4855"/>
    <x v="263"/>
    <n v="2"/>
    <n v="5"/>
    <x v="1"/>
    <n v="2002"/>
    <n v="10"/>
    <n v="2"/>
    <x v="2"/>
    <s v="555-3821"/>
    <x v="0"/>
    <s v="Sauna"/>
  </r>
  <r>
    <n v="1525"/>
    <s v="Property 1525"/>
    <x v="3"/>
    <x v="1"/>
    <n v="733108"/>
    <d v="2024-07-08T00:00:00"/>
    <x v="1"/>
    <m/>
    <n v="1619"/>
    <x v="1"/>
    <n v="2"/>
    <n v="2"/>
    <x v="1"/>
    <n v="2003"/>
    <n v="8"/>
    <n v="2"/>
    <x v="5"/>
    <s v="555-1468"/>
    <x v="1"/>
    <s v="Barn|Garage|Pool|Garden"/>
  </r>
  <r>
    <n v="1526"/>
    <s v="Property 1526"/>
    <x v="1"/>
    <x v="1"/>
    <n v="320020"/>
    <d v="2024-08-31T00:00:00"/>
    <x v="1"/>
    <m/>
    <n v="3366"/>
    <x v="1"/>
    <n v="3"/>
    <n v="4"/>
    <x v="2"/>
    <n v="2012"/>
    <n v="4"/>
    <n v="3"/>
    <x v="8"/>
    <s v="555-8640"/>
    <x v="1"/>
    <s v="Barn|Elevator"/>
  </r>
  <r>
    <n v="1527"/>
    <s v="Property 1527"/>
    <x v="4"/>
    <x v="2"/>
    <n v="775931"/>
    <d v="2024-04-09T00:00:00"/>
    <x v="1"/>
    <m/>
    <n v="2590"/>
    <x v="1"/>
    <n v="3"/>
    <n v="3"/>
    <x v="3"/>
    <n v="2011"/>
    <n v="2"/>
    <n v="2"/>
    <x v="5"/>
    <s v="555-5162"/>
    <x v="1"/>
    <s v="Barn|Elevator|Pool"/>
  </r>
  <r>
    <n v="1528"/>
    <s v="Property 1528"/>
    <x v="2"/>
    <x v="2"/>
    <n v="535224"/>
    <d v="2024-04-05T00:00:00"/>
    <x v="1"/>
    <m/>
    <n v="2535"/>
    <x v="1"/>
    <n v="3"/>
    <n v="4"/>
    <x v="2"/>
    <n v="2016"/>
    <n v="5"/>
    <n v="4"/>
    <x v="6"/>
    <s v="555-1329"/>
    <x v="1"/>
    <s v="Garage|Garden"/>
  </r>
  <r>
    <n v="1529"/>
    <s v="Property 1529"/>
    <x v="2"/>
    <x v="1"/>
    <n v="836111"/>
    <d v="2024-03-30T00:00:00"/>
    <x v="5"/>
    <n v="876551"/>
    <n v="1623"/>
    <x v="264"/>
    <n v="5"/>
    <n v="5"/>
    <x v="3"/>
    <n v="2003"/>
    <n v="1"/>
    <n v="3"/>
    <x v="4"/>
    <s v="555-7329"/>
    <x v="0"/>
    <s v="Garden|Sauna|Fireplace"/>
  </r>
  <r>
    <n v="1530"/>
    <s v="Property 1530"/>
    <x v="4"/>
    <x v="1"/>
    <n v="796758"/>
    <d v="2024-07-08T00:00:00"/>
    <x v="1"/>
    <m/>
    <n v="4686"/>
    <x v="1"/>
    <n v="2"/>
    <n v="5"/>
    <x v="2"/>
    <n v="2013"/>
    <n v="7"/>
    <n v="2"/>
    <x v="0"/>
    <s v="555-6864"/>
    <x v="1"/>
    <s v="Garden|Fireplace|Gym"/>
  </r>
  <r>
    <n v="1531"/>
    <s v="Property 1531"/>
    <x v="1"/>
    <x v="0"/>
    <n v="614032"/>
    <d v="2024-05-26T00:00:00"/>
    <x v="197"/>
    <n v="649784"/>
    <n v="3754"/>
    <x v="265"/>
    <n v="2"/>
    <n v="3"/>
    <x v="2"/>
    <n v="2023"/>
    <n v="5"/>
    <n v="2"/>
    <x v="7"/>
    <s v="555-3763"/>
    <x v="0"/>
    <s v="Garden"/>
  </r>
  <r>
    <n v="1532"/>
    <s v="Property 1532"/>
    <x v="2"/>
    <x v="2"/>
    <n v="673771"/>
    <d v="2024-12-02T00:00:00"/>
    <x v="198"/>
    <n v="690839"/>
    <n v="2954"/>
    <x v="266"/>
    <n v="2"/>
    <n v="2"/>
    <x v="2"/>
    <n v="2001"/>
    <n v="7"/>
    <n v="4"/>
    <x v="3"/>
    <s v="555-8307"/>
    <x v="0"/>
    <s v="Sauna|Fireplace|Barn|Garage"/>
  </r>
  <r>
    <n v="1533"/>
    <s v="Property 1533"/>
    <x v="0"/>
    <x v="1"/>
    <n v="797002"/>
    <d v="2024-03-28T00:00:00"/>
    <x v="1"/>
    <m/>
    <n v="3191"/>
    <x v="1"/>
    <n v="4"/>
    <n v="2"/>
    <x v="0"/>
    <n v="2009"/>
    <m/>
    <n v="3"/>
    <x v="4"/>
    <s v="555-3676"/>
    <x v="1"/>
    <s v="Garage|Garden"/>
  </r>
  <r>
    <n v="1534"/>
    <s v="Property 1534"/>
    <x v="0"/>
    <x v="1"/>
    <n v="966451"/>
    <d v="2024-05-14T00:00:00"/>
    <x v="158"/>
    <n v="1015435"/>
    <n v="1548"/>
    <x v="267"/>
    <n v="5"/>
    <n v="3"/>
    <x v="1"/>
    <n v="2021"/>
    <n v="6"/>
    <n v="2"/>
    <x v="9"/>
    <s v="555-5663"/>
    <x v="0"/>
    <s v="Barn|Pool"/>
  </r>
  <r>
    <n v="1535"/>
    <s v="Property 1535"/>
    <x v="1"/>
    <x v="0"/>
    <n v="741658"/>
    <d v="2024-10-29T00:00:00"/>
    <x v="199"/>
    <n v="761460"/>
    <n v="1151"/>
    <x v="268"/>
    <n v="4"/>
    <n v="4"/>
    <x v="0"/>
    <n v="2019"/>
    <m/>
    <n v="1"/>
    <x v="7"/>
    <s v="555-2524"/>
    <x v="0"/>
    <s v="Elevator|Sauna"/>
  </r>
  <r>
    <n v="1536"/>
    <s v="Property 1536"/>
    <x v="1"/>
    <x v="1"/>
    <n v="660585"/>
    <d v="2024-12-08T00:00:00"/>
    <x v="200"/>
    <n v="684181"/>
    <n v="2192"/>
    <x v="269"/>
    <n v="5"/>
    <n v="3"/>
    <x v="2"/>
    <n v="2017"/>
    <n v="3"/>
    <n v="2"/>
    <x v="6"/>
    <s v="555-3972"/>
    <x v="0"/>
    <s v="Garage"/>
  </r>
  <r>
    <n v="1537"/>
    <s v="Property 1537"/>
    <x v="3"/>
    <x v="2"/>
    <n v="971223"/>
    <d v="2024-09-24T00:00:00"/>
    <x v="145"/>
    <n v="986756"/>
    <n v="2838"/>
    <x v="270"/>
    <n v="3"/>
    <n v="3"/>
    <x v="1"/>
    <n v="2023"/>
    <n v="3"/>
    <n v="2"/>
    <x v="9"/>
    <s v="555-5040"/>
    <x v="0"/>
    <s v="Garage"/>
  </r>
  <r>
    <n v="1538"/>
    <s v="Property 1538"/>
    <x v="2"/>
    <x v="0"/>
    <n v="412914"/>
    <d v="2024-07-10T00:00:00"/>
    <x v="39"/>
    <n v="443168"/>
    <n v="4462"/>
    <x v="271"/>
    <n v="2"/>
    <n v="3"/>
    <x v="2"/>
    <n v="2011"/>
    <n v="2"/>
    <n v="2"/>
    <x v="5"/>
    <s v="555-8202"/>
    <x v="0"/>
    <s v="Garden|Fireplace"/>
  </r>
  <r>
    <n v="1539"/>
    <s v="Property 1539"/>
    <x v="1"/>
    <x v="2"/>
    <n v="751968"/>
    <d v="2024-05-13T00:00:00"/>
    <x v="1"/>
    <m/>
    <n v="3273"/>
    <x v="1"/>
    <n v="2"/>
    <n v="5"/>
    <x v="0"/>
    <n v="2014"/>
    <m/>
    <n v="3"/>
    <x v="1"/>
    <s v="555-1111"/>
    <x v="1"/>
    <s v="Garage"/>
  </r>
  <r>
    <n v="1540"/>
    <s v="Property 1540"/>
    <x v="1"/>
    <x v="0"/>
    <n v="662767"/>
    <d v="2024-04-07T00:00:00"/>
    <x v="201"/>
    <n v="707016"/>
    <n v="1246"/>
    <x v="272"/>
    <n v="5"/>
    <n v="4"/>
    <x v="2"/>
    <n v="2007"/>
    <n v="1"/>
    <n v="2"/>
    <x v="3"/>
    <s v="555-5980"/>
    <x v="0"/>
    <s v="Garden|Barn|Gym|Elevator"/>
  </r>
  <r>
    <n v="1541"/>
    <s v="Property 1541"/>
    <x v="1"/>
    <x v="1"/>
    <n v="343000"/>
    <d v="2024-03-22T00:00:00"/>
    <x v="1"/>
    <m/>
    <n v="2066"/>
    <x v="1"/>
    <n v="2"/>
    <n v="5"/>
    <x v="1"/>
    <n v="2006"/>
    <n v="2"/>
    <n v="4"/>
    <x v="6"/>
    <s v="555-3027"/>
    <x v="1"/>
    <s v="Sauna|Gym|Garage|Barn"/>
  </r>
  <r>
    <n v="1542"/>
    <s v="Property 1542"/>
    <x v="3"/>
    <x v="0"/>
    <n v="695182"/>
    <d v="2024-02-15T00:00:00"/>
    <x v="1"/>
    <m/>
    <n v="2061"/>
    <x v="1"/>
    <n v="4"/>
    <n v="2"/>
    <x v="1"/>
    <n v="2006"/>
    <n v="8"/>
    <n v="3"/>
    <x v="7"/>
    <s v="555-4055"/>
    <x v="1"/>
    <s v="Elevator"/>
  </r>
  <r>
    <n v="1543"/>
    <s v="Property 1543"/>
    <x v="2"/>
    <x v="2"/>
    <n v="833732"/>
    <d v="2024-09-15T00:00:00"/>
    <x v="127"/>
    <n v="853207"/>
    <n v="2132"/>
    <x v="273"/>
    <n v="2"/>
    <n v="5"/>
    <x v="1"/>
    <n v="2012"/>
    <n v="5"/>
    <n v="4"/>
    <x v="4"/>
    <s v="555-2675"/>
    <x v="0"/>
    <s v="Pool|Sauna"/>
  </r>
  <r>
    <n v="1544"/>
    <s v="Property 1544"/>
    <x v="1"/>
    <x v="2"/>
    <n v="488481"/>
    <d v="2024-04-27T00:00:00"/>
    <x v="1"/>
    <m/>
    <n v="2892"/>
    <x v="1"/>
    <n v="5"/>
    <n v="2"/>
    <x v="2"/>
    <n v="2011"/>
    <n v="6"/>
    <n v="1"/>
    <x v="2"/>
    <s v="555-7152"/>
    <x v="1"/>
    <s v="Pool|Gym|Barn"/>
  </r>
  <r>
    <n v="1545"/>
    <s v="Property 1545"/>
    <x v="4"/>
    <x v="0"/>
    <n v="594984"/>
    <d v="2024-05-31T00:00:00"/>
    <x v="1"/>
    <m/>
    <n v="4937"/>
    <x v="1"/>
    <n v="3"/>
    <n v="5"/>
    <x v="1"/>
    <n v="2017"/>
    <n v="10"/>
    <n v="4"/>
    <x v="0"/>
    <s v="555-7548"/>
    <x v="1"/>
    <s v="Sauna|Garden|Barn"/>
  </r>
  <r>
    <n v="1546"/>
    <s v="Property 1546"/>
    <x v="3"/>
    <x v="0"/>
    <n v="349372"/>
    <d v="2024-09-27T00:00:00"/>
    <x v="184"/>
    <n v="390116"/>
    <n v="1268"/>
    <x v="274"/>
    <n v="4"/>
    <n v="2"/>
    <x v="1"/>
    <n v="2007"/>
    <n v="1"/>
    <n v="1"/>
    <x v="0"/>
    <s v="555-6368"/>
    <x v="0"/>
    <s v="Barn|Fireplace"/>
  </r>
  <r>
    <n v="1547"/>
    <s v="Property 1547"/>
    <x v="1"/>
    <x v="2"/>
    <n v="555326"/>
    <d v="2024-04-19T00:00:00"/>
    <x v="1"/>
    <m/>
    <n v="4295"/>
    <x v="1"/>
    <n v="5"/>
    <n v="5"/>
    <x v="1"/>
    <n v="2004"/>
    <n v="9"/>
    <n v="2"/>
    <x v="8"/>
    <s v="555-7267"/>
    <x v="1"/>
    <s v="Garage|Garden"/>
  </r>
  <r>
    <n v="1548"/>
    <s v="Property 1548"/>
    <x v="2"/>
    <x v="0"/>
    <n v="319230"/>
    <d v="2024-05-13T00:00:00"/>
    <x v="1"/>
    <m/>
    <n v="2401"/>
    <x v="1"/>
    <n v="4"/>
    <n v="4"/>
    <x v="2"/>
    <n v="2013"/>
    <n v="3"/>
    <n v="1"/>
    <x v="3"/>
    <s v="555-4927"/>
    <x v="1"/>
    <s v="Pool|Fireplace"/>
  </r>
  <r>
    <n v="1549"/>
    <s v="Property 1549"/>
    <x v="0"/>
    <x v="1"/>
    <n v="514961"/>
    <d v="2023-12-22T00:00:00"/>
    <x v="115"/>
    <n v="530164"/>
    <n v="4799"/>
    <x v="275"/>
    <n v="4"/>
    <n v="2"/>
    <x v="3"/>
    <n v="2014"/>
    <n v="2"/>
    <n v="1"/>
    <x v="2"/>
    <s v="555-1364"/>
    <x v="0"/>
    <s v="Barn|Sauna|Gym|Elevator"/>
  </r>
  <r>
    <n v="1550"/>
    <s v="Property 1550"/>
    <x v="2"/>
    <x v="0"/>
    <n v="574742"/>
    <d v="2024-06-14T00:00:00"/>
    <x v="78"/>
    <n v="592104"/>
    <n v="3845"/>
    <x v="276"/>
    <n v="2"/>
    <n v="3"/>
    <x v="0"/>
    <n v="2021"/>
    <m/>
    <n v="2"/>
    <x v="8"/>
    <s v="555-9277"/>
    <x v="0"/>
    <s v="Elevator"/>
  </r>
  <r>
    <n v="1551"/>
    <s v="Property 1551"/>
    <x v="1"/>
    <x v="1"/>
    <n v="829243"/>
    <d v="2024-08-06T00:00:00"/>
    <x v="36"/>
    <n v="861633"/>
    <n v="1582"/>
    <x v="277"/>
    <n v="2"/>
    <n v="2"/>
    <x v="1"/>
    <n v="2004"/>
    <n v="6"/>
    <n v="1"/>
    <x v="4"/>
    <s v="555-5327"/>
    <x v="0"/>
    <s v="Sauna|Pool|Garage|Gym"/>
  </r>
  <r>
    <n v="1552"/>
    <s v="Property 1552"/>
    <x v="3"/>
    <x v="2"/>
    <n v="543408"/>
    <d v="2024-05-18T00:00:00"/>
    <x v="1"/>
    <m/>
    <n v="4035"/>
    <x v="1"/>
    <n v="4"/>
    <n v="5"/>
    <x v="1"/>
    <n v="2015"/>
    <n v="5"/>
    <n v="1"/>
    <x v="4"/>
    <s v="555-8225"/>
    <x v="1"/>
    <s v="Gym"/>
  </r>
  <r>
    <n v="1553"/>
    <s v="Property 1553"/>
    <x v="0"/>
    <x v="0"/>
    <n v="341649"/>
    <d v="2024-12-07T00:00:00"/>
    <x v="202"/>
    <n v="370034"/>
    <n v="4325"/>
    <x v="278"/>
    <n v="4"/>
    <n v="2"/>
    <x v="2"/>
    <n v="2017"/>
    <n v="5"/>
    <n v="1"/>
    <x v="5"/>
    <s v="555-2389"/>
    <x v="0"/>
    <s v="Pool|Sauna|Elevator|Gym"/>
  </r>
  <r>
    <n v="1554"/>
    <s v="Property 1554"/>
    <x v="2"/>
    <x v="2"/>
    <n v="317740"/>
    <d v="2024-08-14T00:00:00"/>
    <x v="203"/>
    <n v="350192"/>
    <n v="1538"/>
    <x v="279"/>
    <n v="5"/>
    <n v="3"/>
    <x v="1"/>
    <n v="2006"/>
    <n v="2"/>
    <n v="3"/>
    <x v="4"/>
    <s v="555-2133"/>
    <x v="0"/>
    <s v="Elevator|Garage"/>
  </r>
  <r>
    <n v="1555"/>
    <s v="Property 1555"/>
    <x v="3"/>
    <x v="2"/>
    <n v="581119"/>
    <d v="2024-03-01T00:00:00"/>
    <x v="204"/>
    <n v="618501"/>
    <n v="2638"/>
    <x v="280"/>
    <n v="4"/>
    <n v="2"/>
    <x v="2"/>
    <n v="2017"/>
    <n v="6"/>
    <n v="1"/>
    <x v="6"/>
    <s v="555-4509"/>
    <x v="0"/>
    <s v="Elevator|Garden|Pool"/>
  </r>
  <r>
    <n v="1556"/>
    <s v="Property 1556"/>
    <x v="0"/>
    <x v="2"/>
    <n v="929715"/>
    <d v="2024-08-31T00:00:00"/>
    <x v="147"/>
    <n v="963710"/>
    <n v="3359"/>
    <x v="281"/>
    <n v="2"/>
    <n v="3"/>
    <x v="0"/>
    <n v="2013"/>
    <m/>
    <n v="2"/>
    <x v="7"/>
    <s v="555-8159"/>
    <x v="0"/>
    <s v="Sauna|Garden|Elevator"/>
  </r>
  <r>
    <n v="1557"/>
    <s v="Property 1557"/>
    <x v="2"/>
    <x v="1"/>
    <n v="707269"/>
    <d v="2024-05-21T00:00:00"/>
    <x v="1"/>
    <m/>
    <n v="4225"/>
    <x v="1"/>
    <n v="5"/>
    <n v="2"/>
    <x v="1"/>
    <n v="2010"/>
    <n v="8"/>
    <n v="1"/>
    <x v="3"/>
    <s v="555-9754"/>
    <x v="1"/>
    <s v="Garden|Gym"/>
  </r>
  <r>
    <n v="1558"/>
    <s v="Property 1558"/>
    <x v="2"/>
    <x v="1"/>
    <n v="596531"/>
    <d v="2023-12-20T00:00:00"/>
    <x v="1"/>
    <m/>
    <n v="3388"/>
    <x v="1"/>
    <n v="4"/>
    <n v="4"/>
    <x v="1"/>
    <n v="2023"/>
    <n v="4"/>
    <n v="3"/>
    <x v="0"/>
    <s v="555-5404"/>
    <x v="1"/>
    <s v="Barn|Fireplace|Garage"/>
  </r>
  <r>
    <n v="1559"/>
    <s v="Property 1559"/>
    <x v="3"/>
    <x v="1"/>
    <n v="302030"/>
    <d v="2024-04-13T00:00:00"/>
    <x v="1"/>
    <m/>
    <n v="1799"/>
    <x v="1"/>
    <n v="6"/>
    <n v="4"/>
    <x v="1"/>
    <n v="2011"/>
    <n v="1"/>
    <n v="4"/>
    <x v="9"/>
    <s v="555-2469"/>
    <x v="1"/>
    <s v="Fireplace"/>
  </r>
  <r>
    <n v="1560"/>
    <s v="Property 1560"/>
    <x v="3"/>
    <x v="1"/>
    <n v="719170"/>
    <d v="2024-10-01T00:00:00"/>
    <x v="81"/>
    <n v="765745"/>
    <n v="3493"/>
    <x v="282"/>
    <n v="4"/>
    <n v="3"/>
    <x v="0"/>
    <n v="2014"/>
    <m/>
    <n v="4"/>
    <x v="6"/>
    <s v="555-7672"/>
    <x v="0"/>
    <s v="Elevator|Fireplace|Sauna|Garden"/>
  </r>
  <r>
    <n v="1561"/>
    <s v="Property 1561"/>
    <x v="2"/>
    <x v="2"/>
    <n v="458107"/>
    <d v="2024-06-05T00:00:00"/>
    <x v="2"/>
    <n v="499713"/>
    <n v="3204"/>
    <x v="283"/>
    <n v="5"/>
    <n v="3"/>
    <x v="2"/>
    <n v="2011"/>
    <n v="7"/>
    <n v="4"/>
    <x v="6"/>
    <s v="555-4402"/>
    <x v="0"/>
    <s v="Pool"/>
  </r>
  <r>
    <n v="1562"/>
    <s v="Property 1562"/>
    <x v="2"/>
    <x v="1"/>
    <n v="639330"/>
    <d v="2024-04-03T00:00:00"/>
    <x v="188"/>
    <n v="669646"/>
    <n v="3025"/>
    <x v="284"/>
    <n v="2"/>
    <n v="5"/>
    <x v="0"/>
    <n v="2020"/>
    <m/>
    <n v="3"/>
    <x v="4"/>
    <s v="555-1354"/>
    <x v="0"/>
    <s v="Elevator|Pool"/>
  </r>
  <r>
    <n v="1563"/>
    <s v="Property 1563"/>
    <x v="0"/>
    <x v="1"/>
    <n v="324861"/>
    <d v="2024-09-04T00:00:00"/>
    <x v="1"/>
    <m/>
    <n v="2922"/>
    <x v="1"/>
    <n v="4"/>
    <n v="4"/>
    <x v="3"/>
    <n v="2018"/>
    <n v="4"/>
    <n v="1"/>
    <x v="0"/>
    <s v="555-5623"/>
    <x v="1"/>
    <s v="Pool|Gym|Elevator|Fireplace"/>
  </r>
  <r>
    <n v="1564"/>
    <s v="Property 1564"/>
    <x v="4"/>
    <x v="1"/>
    <n v="685143"/>
    <d v="2023-12-25T00:00:00"/>
    <x v="107"/>
    <n v="701264"/>
    <n v="4746"/>
    <x v="285"/>
    <n v="4"/>
    <n v="4"/>
    <x v="3"/>
    <n v="2005"/>
    <n v="1"/>
    <n v="2"/>
    <x v="8"/>
    <s v="555-3800"/>
    <x v="0"/>
    <s v="Elevator|Fireplace"/>
  </r>
  <r>
    <n v="1565"/>
    <s v="Property 1565"/>
    <x v="4"/>
    <x v="2"/>
    <n v="644744"/>
    <d v="2024-12-09T00:00:00"/>
    <x v="1"/>
    <m/>
    <n v="1774"/>
    <x v="1"/>
    <n v="5"/>
    <n v="3"/>
    <x v="1"/>
    <n v="2008"/>
    <n v="10"/>
    <n v="2"/>
    <x v="8"/>
    <s v="555-2906"/>
    <x v="1"/>
    <s v="Barn|Elevator"/>
  </r>
  <r>
    <n v="1566"/>
    <s v="Property 1566"/>
    <x v="1"/>
    <x v="2"/>
    <n v="522356"/>
    <d v="2024-08-17T00:00:00"/>
    <x v="1"/>
    <m/>
    <n v="2645"/>
    <x v="1"/>
    <n v="6"/>
    <n v="4"/>
    <x v="1"/>
    <n v="2002"/>
    <n v="7"/>
    <n v="2"/>
    <x v="8"/>
    <s v="555-8232"/>
    <x v="1"/>
    <s v="Garden"/>
  </r>
  <r>
    <n v="1567"/>
    <s v="Property 1567"/>
    <x v="3"/>
    <x v="1"/>
    <n v="696994"/>
    <d v="2024-05-30T00:00:00"/>
    <x v="179"/>
    <n v="743988"/>
    <n v="4547"/>
    <x v="286"/>
    <n v="2"/>
    <n v="5"/>
    <x v="2"/>
    <n v="2013"/>
    <n v="4"/>
    <n v="2"/>
    <x v="2"/>
    <s v="555-1435"/>
    <x v="0"/>
    <s v="Fireplace|Barn|Sauna"/>
  </r>
  <r>
    <n v="1568"/>
    <s v="Property 1568"/>
    <x v="2"/>
    <x v="1"/>
    <n v="865142"/>
    <d v="2024-10-23T00:00:00"/>
    <x v="1"/>
    <m/>
    <n v="4423"/>
    <x v="1"/>
    <n v="5"/>
    <n v="2"/>
    <x v="0"/>
    <n v="2007"/>
    <m/>
    <n v="1"/>
    <x v="2"/>
    <s v="555-4363"/>
    <x v="1"/>
    <s v="Pool"/>
  </r>
  <r>
    <n v="1569"/>
    <s v="Property 1569"/>
    <x v="1"/>
    <x v="2"/>
    <n v="638651"/>
    <d v="2024-10-31T00:00:00"/>
    <x v="205"/>
    <n v="678510"/>
    <n v="2836"/>
    <x v="287"/>
    <n v="2"/>
    <n v="2"/>
    <x v="2"/>
    <n v="2013"/>
    <n v="5"/>
    <n v="3"/>
    <x v="2"/>
    <s v="555-7704"/>
    <x v="0"/>
    <s v="Sauna|Barn|Elevator|Pool"/>
  </r>
  <r>
    <n v="1570"/>
    <s v="Property 1570"/>
    <x v="4"/>
    <x v="1"/>
    <n v="344980"/>
    <d v="2024-06-04T00:00:00"/>
    <x v="1"/>
    <m/>
    <n v="1930"/>
    <x v="1"/>
    <n v="4"/>
    <n v="4"/>
    <x v="0"/>
    <n v="2006"/>
    <m/>
    <n v="2"/>
    <x v="4"/>
    <s v="555-5453"/>
    <x v="1"/>
    <s v="Garage|Gym|Sauna"/>
  </r>
  <r>
    <n v="1571"/>
    <s v="Property 1571"/>
    <x v="2"/>
    <x v="1"/>
    <n v="674300"/>
    <d v="2024-06-16T00:00:00"/>
    <x v="1"/>
    <m/>
    <n v="1702"/>
    <x v="1"/>
    <n v="4"/>
    <n v="2"/>
    <x v="3"/>
    <n v="2002"/>
    <n v="10"/>
    <n v="4"/>
    <x v="7"/>
    <s v="555-5256"/>
    <x v="1"/>
    <s v="Gym|Garage"/>
  </r>
  <r>
    <n v="1572"/>
    <s v="Property 1572"/>
    <x v="0"/>
    <x v="1"/>
    <n v="829265"/>
    <d v="2024-06-18T00:00:00"/>
    <x v="1"/>
    <m/>
    <n v="4389"/>
    <x v="1"/>
    <n v="4"/>
    <n v="2"/>
    <x v="0"/>
    <n v="2019"/>
    <m/>
    <n v="1"/>
    <x v="6"/>
    <s v="555-9040"/>
    <x v="1"/>
    <s v="Sauna|Pool"/>
  </r>
  <r>
    <n v="1573"/>
    <s v="Property 1573"/>
    <x v="1"/>
    <x v="1"/>
    <n v="631929"/>
    <d v="2024-06-04T00:00:00"/>
    <x v="1"/>
    <m/>
    <n v="4530"/>
    <x v="1"/>
    <n v="6"/>
    <n v="2"/>
    <x v="1"/>
    <n v="2002"/>
    <n v="1"/>
    <n v="3"/>
    <x v="0"/>
    <s v="555-7998"/>
    <x v="1"/>
    <s v="Elevator|Garden|Gym|Garage"/>
  </r>
  <r>
    <n v="1574"/>
    <s v="Property 1574"/>
    <x v="4"/>
    <x v="0"/>
    <n v="469003"/>
    <d v="2024-02-10T00:00:00"/>
    <x v="1"/>
    <m/>
    <n v="4127"/>
    <x v="1"/>
    <n v="3"/>
    <n v="5"/>
    <x v="2"/>
    <n v="2019"/>
    <n v="3"/>
    <n v="1"/>
    <x v="7"/>
    <s v="555-4410"/>
    <x v="1"/>
    <s v="Elevator|Gym|Garage"/>
  </r>
  <r>
    <n v="1575"/>
    <s v="Property 1575"/>
    <x v="1"/>
    <x v="0"/>
    <n v="842532"/>
    <d v="2024-11-25T00:00:00"/>
    <x v="206"/>
    <n v="875332"/>
    <n v="4963"/>
    <x v="288"/>
    <n v="5"/>
    <n v="4"/>
    <x v="3"/>
    <n v="2013"/>
    <n v="4"/>
    <n v="1"/>
    <x v="8"/>
    <s v="555-2953"/>
    <x v="0"/>
    <s v="Pool|Fireplace|Garage"/>
  </r>
  <r>
    <n v="1576"/>
    <s v="Property 1576"/>
    <x v="2"/>
    <x v="2"/>
    <n v="918770"/>
    <d v="2024-05-06T00:00:00"/>
    <x v="1"/>
    <m/>
    <n v="4239"/>
    <x v="1"/>
    <n v="5"/>
    <n v="2"/>
    <x v="0"/>
    <n v="2000"/>
    <m/>
    <n v="1"/>
    <x v="0"/>
    <s v="555-2008"/>
    <x v="1"/>
    <s v="Barn|Fireplace|Garden|Garage"/>
  </r>
  <r>
    <n v="1577"/>
    <s v="Property 1577"/>
    <x v="1"/>
    <x v="0"/>
    <n v="922933"/>
    <d v="2024-01-23T00:00:00"/>
    <x v="123"/>
    <n v="945459"/>
    <n v="2408"/>
    <x v="289"/>
    <n v="4"/>
    <n v="3"/>
    <x v="2"/>
    <n v="2023"/>
    <n v="10"/>
    <n v="4"/>
    <x v="8"/>
    <s v="555-4553"/>
    <x v="0"/>
    <s v="Garden"/>
  </r>
  <r>
    <n v="1578"/>
    <s v="Property 1578"/>
    <x v="1"/>
    <x v="1"/>
    <n v="377851"/>
    <d v="2024-03-13T00:00:00"/>
    <x v="1"/>
    <m/>
    <n v="1636"/>
    <x v="1"/>
    <n v="6"/>
    <n v="3"/>
    <x v="2"/>
    <n v="2008"/>
    <n v="8"/>
    <n v="3"/>
    <x v="7"/>
    <s v="555-2666"/>
    <x v="1"/>
    <s v="Garden|Pool"/>
  </r>
  <r>
    <n v="1579"/>
    <s v="Property 1579"/>
    <x v="1"/>
    <x v="0"/>
    <n v="409275"/>
    <d v="2024-05-09T00:00:00"/>
    <x v="1"/>
    <m/>
    <n v="2732"/>
    <x v="1"/>
    <n v="5"/>
    <n v="3"/>
    <x v="3"/>
    <n v="2005"/>
    <n v="1"/>
    <n v="2"/>
    <x v="0"/>
    <s v="555-2036"/>
    <x v="1"/>
    <s v="Fireplace|Barn|Pool"/>
  </r>
  <r>
    <n v="1580"/>
    <s v="Property 1580"/>
    <x v="3"/>
    <x v="1"/>
    <n v="777612"/>
    <d v="2024-04-30T00:00:00"/>
    <x v="1"/>
    <m/>
    <n v="3401"/>
    <x v="1"/>
    <n v="5"/>
    <n v="5"/>
    <x v="3"/>
    <n v="2005"/>
    <n v="3"/>
    <n v="3"/>
    <x v="1"/>
    <s v="555-3362"/>
    <x v="1"/>
    <s v="Pool|Elevator"/>
  </r>
  <r>
    <n v="1581"/>
    <s v="Property 1581"/>
    <x v="0"/>
    <x v="0"/>
    <n v="584061"/>
    <d v="2024-09-07T00:00:00"/>
    <x v="1"/>
    <m/>
    <n v="2781"/>
    <x v="1"/>
    <n v="3"/>
    <n v="5"/>
    <x v="3"/>
    <n v="2023"/>
    <n v="7"/>
    <n v="4"/>
    <x v="2"/>
    <s v="555-6888"/>
    <x v="1"/>
    <s v="Garage|Gym"/>
  </r>
  <r>
    <n v="1582"/>
    <s v="Property 1582"/>
    <x v="2"/>
    <x v="0"/>
    <n v="793998"/>
    <d v="2024-04-07T00:00:00"/>
    <x v="1"/>
    <m/>
    <n v="2403"/>
    <x v="1"/>
    <n v="6"/>
    <n v="5"/>
    <x v="2"/>
    <n v="2023"/>
    <n v="10"/>
    <n v="4"/>
    <x v="2"/>
    <s v="555-5079"/>
    <x v="1"/>
    <s v="Fireplace|Sauna|Gym"/>
  </r>
  <r>
    <n v="1583"/>
    <s v="Property 1583"/>
    <x v="2"/>
    <x v="1"/>
    <n v="538139"/>
    <d v="2024-09-22T00:00:00"/>
    <x v="117"/>
    <n v="562057"/>
    <n v="3818"/>
    <x v="290"/>
    <n v="4"/>
    <n v="5"/>
    <x v="2"/>
    <n v="2013"/>
    <n v="10"/>
    <n v="4"/>
    <x v="5"/>
    <s v="555-9735"/>
    <x v="0"/>
    <s v="Barn|Pool|Elevator|Sauna"/>
  </r>
  <r>
    <n v="1584"/>
    <s v="Property 1584"/>
    <x v="4"/>
    <x v="0"/>
    <n v="462821"/>
    <d v="2023-12-24T00:00:00"/>
    <x v="1"/>
    <m/>
    <n v="2702"/>
    <x v="1"/>
    <n v="6"/>
    <n v="4"/>
    <x v="1"/>
    <n v="2003"/>
    <n v="2"/>
    <n v="4"/>
    <x v="1"/>
    <s v="555-3583"/>
    <x v="1"/>
    <s v="Sauna|Garden|Gym|Fireplace"/>
  </r>
  <r>
    <n v="1585"/>
    <s v="Property 1585"/>
    <x v="0"/>
    <x v="1"/>
    <n v="951657"/>
    <d v="2024-07-26T00:00:00"/>
    <x v="79"/>
    <n v="966571"/>
    <n v="2444"/>
    <x v="291"/>
    <n v="3"/>
    <n v="5"/>
    <x v="0"/>
    <n v="2001"/>
    <m/>
    <n v="1"/>
    <x v="7"/>
    <s v="555-8445"/>
    <x v="0"/>
    <s v="Fireplace|Elevator|Garden|Barn"/>
  </r>
  <r>
    <n v="1586"/>
    <s v="Property 1586"/>
    <x v="0"/>
    <x v="1"/>
    <n v="420035"/>
    <d v="2024-01-03T00:00:00"/>
    <x v="1"/>
    <m/>
    <n v="3467"/>
    <x v="1"/>
    <n v="6"/>
    <n v="3"/>
    <x v="1"/>
    <n v="2023"/>
    <n v="4"/>
    <n v="2"/>
    <x v="0"/>
    <s v="555-8823"/>
    <x v="1"/>
    <s v="Barn|Elevator|Gym|Fireplace"/>
  </r>
  <r>
    <n v="1587"/>
    <s v="Property 1587"/>
    <x v="2"/>
    <x v="0"/>
    <n v="983756"/>
    <d v="2024-09-19T00:00:00"/>
    <x v="207"/>
    <n v="1004956"/>
    <n v="4341"/>
    <x v="292"/>
    <n v="3"/>
    <n v="3"/>
    <x v="3"/>
    <n v="2020"/>
    <n v="7"/>
    <n v="3"/>
    <x v="3"/>
    <s v="555-9293"/>
    <x v="0"/>
    <s v="Elevator|Garden"/>
  </r>
  <r>
    <n v="1588"/>
    <s v="Property 1588"/>
    <x v="4"/>
    <x v="0"/>
    <n v="347639"/>
    <d v="2024-05-09T00:00:00"/>
    <x v="1"/>
    <m/>
    <n v="2050"/>
    <x v="1"/>
    <n v="3"/>
    <n v="3"/>
    <x v="0"/>
    <n v="2017"/>
    <m/>
    <n v="3"/>
    <x v="5"/>
    <s v="555-5883"/>
    <x v="1"/>
    <s v="Pool"/>
  </r>
  <r>
    <n v="1589"/>
    <s v="Property 1589"/>
    <x v="2"/>
    <x v="1"/>
    <n v="655495"/>
    <d v="2023-12-29T00:00:00"/>
    <x v="1"/>
    <m/>
    <n v="3448"/>
    <x v="1"/>
    <n v="3"/>
    <n v="5"/>
    <x v="1"/>
    <n v="2013"/>
    <n v="4"/>
    <n v="1"/>
    <x v="8"/>
    <s v="555-6507"/>
    <x v="1"/>
    <s v="Sauna|Garden"/>
  </r>
  <r>
    <n v="1590"/>
    <s v="Property 1590"/>
    <x v="2"/>
    <x v="0"/>
    <n v="689710"/>
    <d v="2024-03-18T00:00:00"/>
    <x v="179"/>
    <n v="739054"/>
    <n v="3700"/>
    <x v="293"/>
    <n v="2"/>
    <n v="2"/>
    <x v="3"/>
    <n v="2006"/>
    <n v="8"/>
    <n v="2"/>
    <x v="1"/>
    <s v="555-3805"/>
    <x v="0"/>
    <s v="Garden|Barn|Fireplace"/>
  </r>
  <r>
    <n v="1591"/>
    <s v="Property 1591"/>
    <x v="3"/>
    <x v="1"/>
    <n v="915357"/>
    <d v="2024-04-06T00:00:00"/>
    <x v="1"/>
    <m/>
    <n v="3011"/>
    <x v="1"/>
    <n v="2"/>
    <n v="3"/>
    <x v="3"/>
    <n v="2016"/>
    <n v="3"/>
    <n v="3"/>
    <x v="2"/>
    <s v="555-7793"/>
    <x v="1"/>
    <s v="Garden|Barn"/>
  </r>
  <r>
    <n v="1592"/>
    <s v="Property 1592"/>
    <x v="1"/>
    <x v="1"/>
    <n v="765282"/>
    <d v="2024-06-08T00:00:00"/>
    <x v="208"/>
    <n v="803058"/>
    <n v="3602"/>
    <x v="294"/>
    <n v="4"/>
    <n v="4"/>
    <x v="3"/>
    <n v="2007"/>
    <n v="5"/>
    <n v="2"/>
    <x v="6"/>
    <s v="555-2302"/>
    <x v="0"/>
    <s v="Pool|Gym|Garden|Elevator"/>
  </r>
  <r>
    <n v="1593"/>
    <s v="Property 1593"/>
    <x v="0"/>
    <x v="2"/>
    <n v="853248"/>
    <d v="2024-09-27T00:00:00"/>
    <x v="63"/>
    <n v="892197"/>
    <n v="3748"/>
    <x v="295"/>
    <n v="6"/>
    <n v="2"/>
    <x v="0"/>
    <n v="2018"/>
    <m/>
    <n v="3"/>
    <x v="6"/>
    <s v="555-6115"/>
    <x v="0"/>
    <s v="Garden"/>
  </r>
  <r>
    <n v="1594"/>
    <s v="Property 1594"/>
    <x v="0"/>
    <x v="0"/>
    <n v="407685"/>
    <d v="2024-06-03T00:00:00"/>
    <x v="129"/>
    <n v="448027"/>
    <n v="1530"/>
    <x v="296"/>
    <n v="2"/>
    <n v="5"/>
    <x v="3"/>
    <n v="2021"/>
    <n v="3"/>
    <n v="1"/>
    <x v="9"/>
    <s v="555-5203"/>
    <x v="0"/>
    <s v="Garden|Elevator"/>
  </r>
  <r>
    <n v="1595"/>
    <s v="Property 1595"/>
    <x v="3"/>
    <x v="0"/>
    <n v="870294"/>
    <d v="2024-06-16T00:00:00"/>
    <x v="1"/>
    <m/>
    <n v="1518"/>
    <x v="1"/>
    <n v="3"/>
    <n v="3"/>
    <x v="0"/>
    <n v="2003"/>
    <m/>
    <n v="2"/>
    <x v="9"/>
    <s v="555-9511"/>
    <x v="1"/>
    <s v="Fireplace|Garden|Elevator|Barn"/>
  </r>
  <r>
    <n v="1596"/>
    <s v="Property 1596"/>
    <x v="1"/>
    <x v="0"/>
    <n v="600438"/>
    <d v="2024-06-12T00:00:00"/>
    <x v="190"/>
    <n v="637965"/>
    <n v="2893"/>
    <x v="297"/>
    <n v="6"/>
    <n v="2"/>
    <x v="3"/>
    <n v="2004"/>
    <n v="9"/>
    <n v="4"/>
    <x v="9"/>
    <s v="555-7070"/>
    <x v="0"/>
    <s v="Elevator|Pool|Barn"/>
  </r>
  <r>
    <n v="1597"/>
    <s v="Property 1597"/>
    <x v="3"/>
    <x v="1"/>
    <n v="897504"/>
    <d v="2024-06-18T00:00:00"/>
    <x v="1"/>
    <m/>
    <n v="1063"/>
    <x v="1"/>
    <n v="6"/>
    <n v="2"/>
    <x v="0"/>
    <n v="2019"/>
    <m/>
    <n v="1"/>
    <x v="4"/>
    <s v="555-3842"/>
    <x v="1"/>
    <s v="Garage|Gym|Barn|Sauna"/>
  </r>
  <r>
    <n v="1598"/>
    <s v="Property 1598"/>
    <x v="2"/>
    <x v="2"/>
    <n v="893169"/>
    <d v="2024-10-11T00:00:00"/>
    <x v="209"/>
    <n v="919888"/>
    <n v="1742"/>
    <x v="298"/>
    <n v="5"/>
    <n v="5"/>
    <x v="3"/>
    <n v="2001"/>
    <n v="10"/>
    <n v="3"/>
    <x v="2"/>
    <s v="555-7115"/>
    <x v="0"/>
    <s v="Fireplace|Barn"/>
  </r>
  <r>
    <n v="1599"/>
    <s v="Property 1599"/>
    <x v="1"/>
    <x v="1"/>
    <n v="639930"/>
    <d v="2024-07-09T00:00:00"/>
    <x v="1"/>
    <m/>
    <n v="4253"/>
    <x v="1"/>
    <n v="3"/>
    <n v="4"/>
    <x v="3"/>
    <n v="2009"/>
    <n v="3"/>
    <n v="4"/>
    <x v="1"/>
    <s v="555-6137"/>
    <x v="1"/>
    <s v="Gym|Fireplace|Barn"/>
  </r>
  <r>
    <n v="1600"/>
    <s v="Property 1600"/>
    <x v="1"/>
    <x v="2"/>
    <n v="900438"/>
    <d v="2024-11-13T00:00:00"/>
    <x v="1"/>
    <m/>
    <n v="2330"/>
    <x v="1"/>
    <n v="5"/>
    <n v="4"/>
    <x v="3"/>
    <n v="2021"/>
    <n v="3"/>
    <n v="3"/>
    <x v="7"/>
    <s v="555-9335"/>
    <x v="1"/>
    <s v="Sauna|Elevator|Garden|Barn"/>
  </r>
  <r>
    <n v="1601"/>
    <s v="Property 1601"/>
    <x v="1"/>
    <x v="0"/>
    <n v="512919"/>
    <d v="2024-01-11T00:00:00"/>
    <x v="1"/>
    <m/>
    <n v="2423"/>
    <x v="1"/>
    <n v="4"/>
    <n v="2"/>
    <x v="2"/>
    <n v="2018"/>
    <n v="4"/>
    <n v="2"/>
    <x v="8"/>
    <s v="555-6547"/>
    <x v="1"/>
    <s v="Pool"/>
  </r>
  <r>
    <n v="1602"/>
    <s v="Property 1602"/>
    <x v="3"/>
    <x v="0"/>
    <n v="857230"/>
    <d v="2024-02-22T00:00:00"/>
    <x v="210"/>
    <n v="889157"/>
    <n v="2846"/>
    <x v="299"/>
    <n v="4"/>
    <n v="4"/>
    <x v="0"/>
    <n v="2017"/>
    <m/>
    <n v="4"/>
    <x v="4"/>
    <s v="555-4197"/>
    <x v="0"/>
    <s v="Elevator|Garden|Garage"/>
  </r>
  <r>
    <n v="1603"/>
    <s v="Property 1603"/>
    <x v="0"/>
    <x v="1"/>
    <n v="377934"/>
    <d v="2024-12-15T00:00:00"/>
    <x v="170"/>
    <n v="388538"/>
    <n v="1305"/>
    <x v="300"/>
    <n v="3"/>
    <n v="5"/>
    <x v="1"/>
    <n v="2013"/>
    <n v="5"/>
    <n v="2"/>
    <x v="6"/>
    <s v="555-1510"/>
    <x v="0"/>
    <s v="Gym|Garage|Fireplace"/>
  </r>
  <r>
    <n v="1604"/>
    <s v="Property 1604"/>
    <x v="2"/>
    <x v="2"/>
    <n v="570816"/>
    <d v="2024-11-26T00:00:00"/>
    <x v="167"/>
    <n v="591424"/>
    <n v="1022"/>
    <x v="301"/>
    <n v="6"/>
    <n v="3"/>
    <x v="1"/>
    <n v="2019"/>
    <n v="2"/>
    <n v="2"/>
    <x v="7"/>
    <s v="555-6839"/>
    <x v="0"/>
    <s v="Pool|Fireplace"/>
  </r>
  <r>
    <n v="1605"/>
    <s v="Property 1605"/>
    <x v="1"/>
    <x v="1"/>
    <n v="323935"/>
    <d v="2024-06-19T00:00:00"/>
    <x v="178"/>
    <n v="344701"/>
    <n v="2349"/>
    <x v="302"/>
    <n v="4"/>
    <n v="2"/>
    <x v="0"/>
    <n v="2022"/>
    <m/>
    <n v="1"/>
    <x v="9"/>
    <s v="555-1488"/>
    <x v="0"/>
    <s v="Elevator|Sauna"/>
  </r>
  <r>
    <n v="1606"/>
    <s v="Property 1606"/>
    <x v="2"/>
    <x v="0"/>
    <n v="425659"/>
    <d v="2024-12-04T00:00:00"/>
    <x v="1"/>
    <m/>
    <n v="1211"/>
    <x v="1"/>
    <n v="3"/>
    <n v="5"/>
    <x v="3"/>
    <n v="2020"/>
    <n v="9"/>
    <n v="2"/>
    <x v="8"/>
    <s v="555-8831"/>
    <x v="1"/>
    <s v="Garden|Elevator"/>
  </r>
  <r>
    <n v="1607"/>
    <s v="Property 1607"/>
    <x v="1"/>
    <x v="0"/>
    <n v="883799"/>
    <d v="2024-08-06T00:00:00"/>
    <x v="1"/>
    <m/>
    <n v="2376"/>
    <x v="1"/>
    <n v="5"/>
    <n v="5"/>
    <x v="3"/>
    <n v="2012"/>
    <n v="10"/>
    <n v="1"/>
    <x v="9"/>
    <s v="555-4786"/>
    <x v="1"/>
    <s v="Pool|Garden"/>
  </r>
  <r>
    <n v="1608"/>
    <s v="Property 1608"/>
    <x v="2"/>
    <x v="2"/>
    <n v="923285"/>
    <d v="2024-06-29T00:00:00"/>
    <x v="1"/>
    <m/>
    <n v="3949"/>
    <x v="1"/>
    <n v="2"/>
    <n v="4"/>
    <x v="3"/>
    <n v="2018"/>
    <n v="7"/>
    <n v="3"/>
    <x v="2"/>
    <s v="555-1276"/>
    <x v="1"/>
    <s v="Gym|Pool"/>
  </r>
  <r>
    <n v="1609"/>
    <s v="Property 1609"/>
    <x v="0"/>
    <x v="1"/>
    <n v="730718"/>
    <d v="2024-07-22T00:00:00"/>
    <x v="167"/>
    <n v="772661"/>
    <n v="2378"/>
    <x v="303"/>
    <n v="5"/>
    <n v="2"/>
    <x v="2"/>
    <n v="2000"/>
    <n v="10"/>
    <n v="1"/>
    <x v="5"/>
    <s v="555-1274"/>
    <x v="0"/>
    <s v="Gym|Garage|Elevator|Fireplace"/>
  </r>
  <r>
    <n v="1610"/>
    <s v="Property 1610"/>
    <x v="2"/>
    <x v="1"/>
    <n v="851637"/>
    <d v="2024-06-25T00:00:00"/>
    <x v="161"/>
    <n v="875435"/>
    <n v="3284"/>
    <x v="304"/>
    <n v="2"/>
    <n v="5"/>
    <x v="0"/>
    <n v="2000"/>
    <m/>
    <n v="4"/>
    <x v="9"/>
    <s v="555-7084"/>
    <x v="0"/>
    <s v="Garden"/>
  </r>
  <r>
    <n v="1611"/>
    <s v="Property 1611"/>
    <x v="2"/>
    <x v="0"/>
    <n v="311274"/>
    <d v="2024-07-05T00:00:00"/>
    <x v="1"/>
    <m/>
    <n v="2101"/>
    <x v="1"/>
    <n v="3"/>
    <n v="5"/>
    <x v="2"/>
    <n v="2005"/>
    <n v="7"/>
    <n v="2"/>
    <x v="9"/>
    <s v="555-9661"/>
    <x v="1"/>
    <s v="Garden|Pool|Elevator"/>
  </r>
  <r>
    <n v="1612"/>
    <s v="Property 1612"/>
    <x v="0"/>
    <x v="0"/>
    <n v="530333"/>
    <d v="2024-09-23T00:00:00"/>
    <x v="1"/>
    <m/>
    <n v="2786"/>
    <x v="1"/>
    <n v="3"/>
    <n v="2"/>
    <x v="3"/>
    <n v="2013"/>
    <n v="9"/>
    <n v="4"/>
    <x v="7"/>
    <s v="555-3062"/>
    <x v="1"/>
    <s v="Pool|Garage|Barn"/>
  </r>
  <r>
    <n v="1613"/>
    <s v="Property 1613"/>
    <x v="4"/>
    <x v="2"/>
    <n v="935446"/>
    <d v="2024-10-23T00:00:00"/>
    <x v="167"/>
    <n v="974873"/>
    <n v="3522"/>
    <x v="305"/>
    <n v="2"/>
    <n v="4"/>
    <x v="0"/>
    <n v="2023"/>
    <m/>
    <n v="4"/>
    <x v="6"/>
    <s v="555-3517"/>
    <x v="0"/>
    <s v="Garden|Pool|Fireplace|Garage"/>
  </r>
  <r>
    <n v="1614"/>
    <s v="Property 1614"/>
    <x v="0"/>
    <x v="2"/>
    <n v="335971"/>
    <d v="2024-10-26T00:00:00"/>
    <x v="29"/>
    <n v="355984"/>
    <n v="2670"/>
    <x v="306"/>
    <n v="3"/>
    <n v="3"/>
    <x v="1"/>
    <n v="2005"/>
    <n v="1"/>
    <n v="3"/>
    <x v="8"/>
    <s v="555-8266"/>
    <x v="0"/>
    <s v="Sauna|Fireplace|Gym|Elevator"/>
  </r>
  <r>
    <n v="1615"/>
    <s v="Property 1615"/>
    <x v="2"/>
    <x v="2"/>
    <n v="885280"/>
    <d v="2023-12-22T00:00:00"/>
    <x v="1"/>
    <m/>
    <n v="2279"/>
    <x v="1"/>
    <n v="6"/>
    <n v="3"/>
    <x v="1"/>
    <n v="2020"/>
    <n v="1"/>
    <n v="3"/>
    <x v="7"/>
    <s v="555-3458"/>
    <x v="1"/>
    <s v="Gym"/>
  </r>
  <r>
    <n v="1616"/>
    <s v="Property 1616"/>
    <x v="0"/>
    <x v="1"/>
    <n v="435864"/>
    <d v="2024-07-30T00:00:00"/>
    <x v="211"/>
    <n v="455539"/>
    <n v="3570"/>
    <x v="307"/>
    <n v="5"/>
    <n v="5"/>
    <x v="2"/>
    <n v="2015"/>
    <n v="6"/>
    <n v="1"/>
    <x v="1"/>
    <s v="555-1109"/>
    <x v="0"/>
    <s v="Fireplace|Sauna|Garage"/>
  </r>
  <r>
    <n v="1617"/>
    <s v="Property 1617"/>
    <x v="2"/>
    <x v="1"/>
    <n v="946043"/>
    <d v="2024-04-03T00:00:00"/>
    <x v="93"/>
    <n v="979718"/>
    <n v="2083"/>
    <x v="308"/>
    <n v="2"/>
    <n v="3"/>
    <x v="0"/>
    <n v="2008"/>
    <m/>
    <n v="4"/>
    <x v="8"/>
    <s v="555-1638"/>
    <x v="0"/>
    <s v="Fireplace|Sauna|Elevator"/>
  </r>
  <r>
    <n v="1618"/>
    <s v="Property 1618"/>
    <x v="3"/>
    <x v="1"/>
    <n v="899855"/>
    <d v="2024-03-08T00:00:00"/>
    <x v="1"/>
    <m/>
    <n v="3161"/>
    <x v="1"/>
    <n v="5"/>
    <n v="5"/>
    <x v="2"/>
    <n v="2005"/>
    <n v="5"/>
    <n v="3"/>
    <x v="0"/>
    <s v="555-4475"/>
    <x v="1"/>
    <s v="Sauna|Pool|Elevator"/>
  </r>
  <r>
    <n v="1619"/>
    <s v="Property 1619"/>
    <x v="1"/>
    <x v="1"/>
    <n v="864544"/>
    <d v="2024-10-31T00:00:00"/>
    <x v="1"/>
    <m/>
    <n v="4169"/>
    <x v="1"/>
    <n v="4"/>
    <n v="2"/>
    <x v="3"/>
    <n v="2017"/>
    <n v="4"/>
    <n v="4"/>
    <x v="3"/>
    <s v="555-4359"/>
    <x v="1"/>
    <s v="Garage|Pool|Sauna|Fireplace"/>
  </r>
  <r>
    <n v="1620"/>
    <s v="Property 1620"/>
    <x v="4"/>
    <x v="2"/>
    <n v="794742"/>
    <d v="2024-05-28T00:00:00"/>
    <x v="1"/>
    <m/>
    <n v="2486"/>
    <x v="1"/>
    <n v="6"/>
    <n v="4"/>
    <x v="0"/>
    <n v="2003"/>
    <m/>
    <n v="2"/>
    <x v="6"/>
    <s v="555-8580"/>
    <x v="1"/>
    <s v="Garage|Elevator|Garden|Sauna"/>
  </r>
  <r>
    <n v="1621"/>
    <s v="Property 1621"/>
    <x v="2"/>
    <x v="0"/>
    <n v="383979"/>
    <d v="2024-04-27T00:00:00"/>
    <x v="1"/>
    <m/>
    <n v="4978"/>
    <x v="1"/>
    <n v="6"/>
    <n v="5"/>
    <x v="1"/>
    <n v="2009"/>
    <n v="3"/>
    <n v="2"/>
    <x v="1"/>
    <s v="555-4900"/>
    <x v="1"/>
    <s v="Barn|Elevator|Gym|Garden"/>
  </r>
  <r>
    <n v="1622"/>
    <s v="Property 1622"/>
    <x v="2"/>
    <x v="2"/>
    <n v="614216"/>
    <d v="2024-11-23T00:00:00"/>
    <x v="1"/>
    <m/>
    <n v="1621"/>
    <x v="1"/>
    <n v="2"/>
    <n v="3"/>
    <x v="3"/>
    <n v="2005"/>
    <n v="10"/>
    <n v="2"/>
    <x v="6"/>
    <s v="555-3149"/>
    <x v="1"/>
    <s v="Pool|Gym"/>
  </r>
  <r>
    <n v="1623"/>
    <s v="Property 1623"/>
    <x v="1"/>
    <x v="0"/>
    <n v="877587"/>
    <d v="2024-11-01T00:00:00"/>
    <x v="212"/>
    <n v="898373"/>
    <n v="1922"/>
    <x v="309"/>
    <n v="5"/>
    <n v="2"/>
    <x v="0"/>
    <n v="2018"/>
    <m/>
    <n v="1"/>
    <x v="6"/>
    <s v="555-8991"/>
    <x v="0"/>
    <s v="Fireplace|Sauna"/>
  </r>
  <r>
    <n v="1624"/>
    <s v="Property 1624"/>
    <x v="4"/>
    <x v="2"/>
    <n v="819566"/>
    <d v="2024-06-18T00:00:00"/>
    <x v="162"/>
    <n v="839318"/>
    <n v="2098"/>
    <x v="310"/>
    <n v="6"/>
    <n v="3"/>
    <x v="3"/>
    <n v="2007"/>
    <n v="10"/>
    <n v="4"/>
    <x v="0"/>
    <s v="555-1397"/>
    <x v="0"/>
    <s v="Pool|Barn|Elevator"/>
  </r>
  <r>
    <n v="1625"/>
    <s v="Property 1625"/>
    <x v="3"/>
    <x v="0"/>
    <n v="508040"/>
    <d v="2024-06-29T00:00:00"/>
    <x v="188"/>
    <n v="531838"/>
    <n v="4439"/>
    <x v="311"/>
    <n v="3"/>
    <n v="2"/>
    <x v="3"/>
    <n v="2018"/>
    <n v="1"/>
    <n v="4"/>
    <x v="9"/>
    <s v="555-5748"/>
    <x v="0"/>
    <s v="Garage"/>
  </r>
  <r>
    <n v="1626"/>
    <s v="Property 1626"/>
    <x v="1"/>
    <x v="2"/>
    <n v="574098"/>
    <d v="2024-10-08T00:00:00"/>
    <x v="206"/>
    <n v="622627"/>
    <n v="1253"/>
    <x v="312"/>
    <n v="2"/>
    <n v="2"/>
    <x v="1"/>
    <n v="2016"/>
    <n v="7"/>
    <n v="3"/>
    <x v="0"/>
    <s v="555-5166"/>
    <x v="0"/>
    <s v="Garage|Garden|Elevator|Fireplace"/>
  </r>
  <r>
    <n v="1627"/>
    <s v="Property 1627"/>
    <x v="1"/>
    <x v="0"/>
    <n v="597538"/>
    <d v="2024-06-06T00:00:00"/>
    <x v="1"/>
    <m/>
    <n v="2839"/>
    <x v="1"/>
    <n v="6"/>
    <n v="3"/>
    <x v="3"/>
    <n v="2006"/>
    <n v="6"/>
    <n v="3"/>
    <x v="9"/>
    <s v="555-3944"/>
    <x v="1"/>
    <s v="Barn|Fireplace|Gym|Garage"/>
  </r>
  <r>
    <n v="1628"/>
    <s v="Property 1628"/>
    <x v="1"/>
    <x v="1"/>
    <n v="491979"/>
    <d v="2024-09-06T00:00:00"/>
    <x v="186"/>
    <n v="540561"/>
    <n v="3982"/>
    <x v="313"/>
    <n v="4"/>
    <n v="3"/>
    <x v="1"/>
    <n v="2011"/>
    <n v="3"/>
    <n v="4"/>
    <x v="2"/>
    <s v="555-9535"/>
    <x v="0"/>
    <s v="Elevator|Fireplace|Sauna|Pool"/>
  </r>
  <r>
    <n v="1629"/>
    <s v="Property 1629"/>
    <x v="0"/>
    <x v="0"/>
    <n v="629305"/>
    <d v="2024-08-30T00:00:00"/>
    <x v="1"/>
    <m/>
    <n v="1669"/>
    <x v="1"/>
    <n v="3"/>
    <n v="5"/>
    <x v="2"/>
    <n v="2008"/>
    <n v="3"/>
    <n v="1"/>
    <x v="0"/>
    <s v="555-9938"/>
    <x v="1"/>
    <s v="Fireplace"/>
  </r>
  <r>
    <n v="1630"/>
    <s v="Property 1630"/>
    <x v="3"/>
    <x v="2"/>
    <n v="533166"/>
    <d v="2024-02-24T00:00:00"/>
    <x v="1"/>
    <m/>
    <n v="1272"/>
    <x v="1"/>
    <n v="2"/>
    <n v="3"/>
    <x v="0"/>
    <n v="2023"/>
    <m/>
    <n v="3"/>
    <x v="2"/>
    <s v="555-3347"/>
    <x v="1"/>
    <s v="Sauna|Garden|Pool|Fireplace"/>
  </r>
  <r>
    <n v="1631"/>
    <s v="Property 1631"/>
    <x v="3"/>
    <x v="2"/>
    <n v="722396"/>
    <d v="2024-11-03T00:00:00"/>
    <x v="63"/>
    <n v="743093"/>
    <n v="4732"/>
    <x v="314"/>
    <n v="5"/>
    <n v="3"/>
    <x v="1"/>
    <n v="2016"/>
    <n v="4"/>
    <n v="4"/>
    <x v="2"/>
    <s v="555-6677"/>
    <x v="0"/>
    <s v="Fireplace"/>
  </r>
  <r>
    <n v="1632"/>
    <s v="Property 1632"/>
    <x v="1"/>
    <x v="1"/>
    <n v="883020"/>
    <d v="2024-06-25T00:00:00"/>
    <x v="99"/>
    <n v="909552"/>
    <n v="4306"/>
    <x v="315"/>
    <n v="4"/>
    <n v="5"/>
    <x v="3"/>
    <n v="2001"/>
    <n v="9"/>
    <n v="1"/>
    <x v="1"/>
    <s v="555-8303"/>
    <x v="0"/>
    <s v="Sauna|Garage"/>
  </r>
  <r>
    <n v="1633"/>
    <s v="Property 1633"/>
    <x v="0"/>
    <x v="1"/>
    <n v="974917"/>
    <d v="2024-06-25T00:00:00"/>
    <x v="150"/>
    <n v="1000796"/>
    <n v="3099"/>
    <x v="316"/>
    <n v="4"/>
    <n v="5"/>
    <x v="0"/>
    <n v="2015"/>
    <m/>
    <n v="2"/>
    <x v="5"/>
    <s v="555-3491"/>
    <x v="0"/>
    <s v="Fireplace|Pool|Elevator|Garden"/>
  </r>
  <r>
    <n v="1634"/>
    <s v="Property 1634"/>
    <x v="1"/>
    <x v="0"/>
    <n v="559085"/>
    <d v="2024-08-25T00:00:00"/>
    <x v="131"/>
    <n v="609008"/>
    <n v="3490"/>
    <x v="317"/>
    <n v="2"/>
    <n v="4"/>
    <x v="0"/>
    <n v="2008"/>
    <m/>
    <n v="1"/>
    <x v="9"/>
    <s v="555-3902"/>
    <x v="0"/>
    <s v="Garage|Sauna|Barn"/>
  </r>
  <r>
    <n v="1635"/>
    <s v="Property 1635"/>
    <x v="0"/>
    <x v="0"/>
    <n v="415479"/>
    <d v="2024-10-12T00:00:00"/>
    <x v="213"/>
    <n v="450220"/>
    <n v="3259"/>
    <x v="318"/>
    <n v="3"/>
    <n v="5"/>
    <x v="1"/>
    <n v="2018"/>
    <n v="9"/>
    <n v="3"/>
    <x v="8"/>
    <s v="555-1100"/>
    <x v="0"/>
    <s v="Garden|Sauna|Fireplace"/>
  </r>
  <r>
    <n v="1636"/>
    <s v="Property 1636"/>
    <x v="2"/>
    <x v="2"/>
    <n v="741298"/>
    <d v="2024-02-24T00:00:00"/>
    <x v="160"/>
    <n v="778079"/>
    <n v="2049"/>
    <x v="319"/>
    <n v="2"/>
    <n v="4"/>
    <x v="0"/>
    <n v="2016"/>
    <m/>
    <n v="1"/>
    <x v="7"/>
    <s v="555-1099"/>
    <x v="0"/>
    <s v="Fireplace|Garden|Garage|Pool"/>
  </r>
  <r>
    <n v="1637"/>
    <s v="Property 1637"/>
    <x v="4"/>
    <x v="2"/>
    <n v="563104"/>
    <d v="2024-12-15T00:00:00"/>
    <x v="198"/>
    <n v="579740"/>
    <n v="1460"/>
    <x v="320"/>
    <n v="5"/>
    <n v="2"/>
    <x v="3"/>
    <n v="2022"/>
    <n v="9"/>
    <n v="3"/>
    <x v="8"/>
    <s v="555-8015"/>
    <x v="0"/>
    <s v="Elevator|Sauna|Pool"/>
  </r>
  <r>
    <n v="1638"/>
    <s v="Property 1638"/>
    <x v="4"/>
    <x v="0"/>
    <n v="533042"/>
    <d v="2024-01-29T00:00:00"/>
    <x v="1"/>
    <m/>
    <n v="2469"/>
    <x v="1"/>
    <n v="2"/>
    <n v="5"/>
    <x v="0"/>
    <n v="2009"/>
    <m/>
    <n v="2"/>
    <x v="4"/>
    <s v="555-5840"/>
    <x v="1"/>
    <s v="Sauna|Fireplace"/>
  </r>
  <r>
    <n v="1639"/>
    <s v="Property 1639"/>
    <x v="3"/>
    <x v="0"/>
    <n v="947561"/>
    <d v="2024-05-30T00:00:00"/>
    <x v="214"/>
    <n v="983217"/>
    <n v="4827"/>
    <x v="321"/>
    <n v="3"/>
    <n v="4"/>
    <x v="3"/>
    <n v="2017"/>
    <n v="7"/>
    <n v="4"/>
    <x v="7"/>
    <s v="555-9152"/>
    <x v="0"/>
    <s v="Pool|Gym|Fireplace|Barn"/>
  </r>
  <r>
    <n v="1640"/>
    <s v="Property 1640"/>
    <x v="0"/>
    <x v="0"/>
    <n v="960868"/>
    <d v="2024-09-17T00:00:00"/>
    <x v="60"/>
    <n v="1009597"/>
    <n v="3143"/>
    <x v="322"/>
    <n v="6"/>
    <n v="3"/>
    <x v="3"/>
    <n v="2008"/>
    <n v="3"/>
    <n v="3"/>
    <x v="9"/>
    <s v="555-2379"/>
    <x v="0"/>
    <s v="Garage|Pool"/>
  </r>
  <r>
    <n v="1641"/>
    <s v="Property 1641"/>
    <x v="0"/>
    <x v="1"/>
    <n v="465185"/>
    <d v="2024-10-24T00:00:00"/>
    <x v="1"/>
    <m/>
    <n v="1327"/>
    <x v="1"/>
    <n v="4"/>
    <n v="5"/>
    <x v="0"/>
    <n v="2023"/>
    <m/>
    <n v="4"/>
    <x v="7"/>
    <s v="555-5156"/>
    <x v="1"/>
    <s v="Gym"/>
  </r>
  <r>
    <n v="1642"/>
    <s v="Property 1642"/>
    <x v="3"/>
    <x v="1"/>
    <n v="587836"/>
    <d v="2024-07-26T00:00:00"/>
    <x v="1"/>
    <m/>
    <n v="2409"/>
    <x v="1"/>
    <n v="4"/>
    <n v="5"/>
    <x v="2"/>
    <n v="2011"/>
    <n v="5"/>
    <n v="4"/>
    <x v="3"/>
    <s v="555-9550"/>
    <x v="1"/>
    <s v="Elevator"/>
  </r>
  <r>
    <n v="1643"/>
    <s v="Property 1643"/>
    <x v="3"/>
    <x v="2"/>
    <n v="395155"/>
    <d v="2024-12-11T00:00:00"/>
    <x v="1"/>
    <m/>
    <n v="4116"/>
    <x v="1"/>
    <n v="2"/>
    <n v="3"/>
    <x v="1"/>
    <n v="2004"/>
    <n v="6"/>
    <n v="2"/>
    <x v="5"/>
    <s v="555-1800"/>
    <x v="1"/>
    <s v="Garden|Sauna"/>
  </r>
  <r>
    <n v="1644"/>
    <s v="Property 1644"/>
    <x v="3"/>
    <x v="2"/>
    <n v="557859"/>
    <d v="2024-08-26T00:00:00"/>
    <x v="173"/>
    <n v="574775"/>
    <n v="3592"/>
    <x v="323"/>
    <n v="5"/>
    <n v="2"/>
    <x v="2"/>
    <n v="2002"/>
    <n v="5"/>
    <n v="3"/>
    <x v="1"/>
    <s v="555-1052"/>
    <x v="0"/>
    <s v="Barn|Sauna"/>
  </r>
  <r>
    <n v="1645"/>
    <s v="Property 1645"/>
    <x v="3"/>
    <x v="1"/>
    <n v="568725"/>
    <d v="2024-10-11T00:00:00"/>
    <x v="123"/>
    <n v="616274"/>
    <n v="1900"/>
    <x v="324"/>
    <n v="5"/>
    <n v="5"/>
    <x v="2"/>
    <n v="2022"/>
    <n v="6"/>
    <n v="4"/>
    <x v="6"/>
    <s v="555-6268"/>
    <x v="0"/>
    <s v="Gym|Fireplace|Barn|Pool"/>
  </r>
  <r>
    <n v="1646"/>
    <s v="Property 1646"/>
    <x v="3"/>
    <x v="2"/>
    <n v="841509"/>
    <d v="2024-04-05T00:00:00"/>
    <x v="1"/>
    <m/>
    <n v="4591"/>
    <x v="1"/>
    <n v="6"/>
    <n v="3"/>
    <x v="0"/>
    <n v="2001"/>
    <m/>
    <n v="1"/>
    <x v="9"/>
    <s v="555-2335"/>
    <x v="1"/>
    <s v="Gym|Fireplace|Garage"/>
  </r>
  <r>
    <n v="1647"/>
    <s v="Property 1647"/>
    <x v="2"/>
    <x v="1"/>
    <n v="870237"/>
    <d v="2024-04-09T00:00:00"/>
    <x v="1"/>
    <m/>
    <n v="3006"/>
    <x v="1"/>
    <n v="3"/>
    <n v="3"/>
    <x v="0"/>
    <n v="2019"/>
    <m/>
    <n v="2"/>
    <x v="4"/>
    <s v="555-9944"/>
    <x v="1"/>
    <s v="Elevator"/>
  </r>
  <r>
    <n v="1648"/>
    <s v="Property 1648"/>
    <x v="0"/>
    <x v="0"/>
    <n v="671648"/>
    <d v="2024-08-13T00:00:00"/>
    <x v="215"/>
    <n v="695181"/>
    <n v="1119"/>
    <x v="325"/>
    <n v="3"/>
    <n v="4"/>
    <x v="1"/>
    <n v="2014"/>
    <n v="2"/>
    <n v="1"/>
    <x v="6"/>
    <s v="555-8243"/>
    <x v="0"/>
    <s v="Pool|Barn|Sauna|Garage"/>
  </r>
  <r>
    <n v="1649"/>
    <s v="Property 1649"/>
    <x v="1"/>
    <x v="0"/>
    <n v="440473"/>
    <d v="2024-10-16T00:00:00"/>
    <x v="1"/>
    <m/>
    <n v="4580"/>
    <x v="1"/>
    <n v="5"/>
    <n v="5"/>
    <x v="0"/>
    <n v="2009"/>
    <m/>
    <n v="1"/>
    <x v="1"/>
    <s v="555-7186"/>
    <x v="1"/>
    <s v="Sauna|Pool|Garage"/>
  </r>
  <r>
    <n v="1650"/>
    <s v="Property 1650"/>
    <x v="4"/>
    <x v="1"/>
    <n v="769029"/>
    <d v="2024-02-10T00:00:00"/>
    <x v="123"/>
    <n v="789068"/>
    <n v="3904"/>
    <x v="326"/>
    <n v="5"/>
    <n v="2"/>
    <x v="0"/>
    <n v="2010"/>
    <m/>
    <n v="1"/>
    <x v="5"/>
    <s v="555-5879"/>
    <x v="0"/>
    <s v="Elevator|Fireplace|Barn|Garden"/>
  </r>
  <r>
    <n v="1651"/>
    <s v="Property 1651"/>
    <x v="2"/>
    <x v="2"/>
    <n v="850901"/>
    <d v="2024-02-06T00:00:00"/>
    <x v="1"/>
    <m/>
    <n v="3582"/>
    <x v="1"/>
    <n v="5"/>
    <n v="4"/>
    <x v="3"/>
    <n v="2015"/>
    <n v="5"/>
    <n v="2"/>
    <x v="5"/>
    <s v="555-1090"/>
    <x v="1"/>
    <s v="Garden|Garage|Fireplace"/>
  </r>
  <r>
    <n v="1652"/>
    <s v="Property 1652"/>
    <x v="4"/>
    <x v="0"/>
    <n v="429325"/>
    <d v="2024-03-31T00:00:00"/>
    <x v="62"/>
    <n v="446043"/>
    <n v="1129"/>
    <x v="327"/>
    <n v="2"/>
    <n v="5"/>
    <x v="2"/>
    <n v="2013"/>
    <n v="8"/>
    <n v="3"/>
    <x v="4"/>
    <s v="555-3437"/>
    <x v="0"/>
    <s v="Sauna|Pool"/>
  </r>
  <r>
    <n v="1653"/>
    <s v="Property 1653"/>
    <x v="3"/>
    <x v="1"/>
    <n v="361763"/>
    <d v="2024-02-02T00:00:00"/>
    <x v="1"/>
    <m/>
    <n v="3155"/>
    <x v="1"/>
    <n v="6"/>
    <n v="2"/>
    <x v="1"/>
    <n v="2020"/>
    <n v="1"/>
    <n v="4"/>
    <x v="5"/>
    <s v="555-5612"/>
    <x v="1"/>
    <s v="Barn|Gym|Elevator"/>
  </r>
  <r>
    <n v="1654"/>
    <s v="Property 1654"/>
    <x v="0"/>
    <x v="1"/>
    <n v="724333"/>
    <d v="2024-06-13T00:00:00"/>
    <x v="216"/>
    <n v="735514"/>
    <n v="2308"/>
    <x v="328"/>
    <n v="4"/>
    <n v="2"/>
    <x v="3"/>
    <n v="2013"/>
    <n v="8"/>
    <n v="1"/>
    <x v="4"/>
    <s v="555-7350"/>
    <x v="0"/>
    <s v="Sauna"/>
  </r>
  <r>
    <n v="1655"/>
    <s v="Property 1655"/>
    <x v="2"/>
    <x v="0"/>
    <n v="703906"/>
    <d v="2024-08-10T00:00:00"/>
    <x v="25"/>
    <n v="737751"/>
    <n v="1881"/>
    <x v="329"/>
    <n v="3"/>
    <n v="3"/>
    <x v="0"/>
    <n v="2011"/>
    <m/>
    <n v="3"/>
    <x v="3"/>
    <s v="555-7862"/>
    <x v="0"/>
    <s v="Garden|Barn|Fireplace"/>
  </r>
  <r>
    <n v="1656"/>
    <s v="Property 1656"/>
    <x v="4"/>
    <x v="2"/>
    <n v="634288"/>
    <d v="2024-05-27T00:00:00"/>
    <x v="1"/>
    <m/>
    <n v="2816"/>
    <x v="1"/>
    <n v="6"/>
    <n v="2"/>
    <x v="1"/>
    <n v="2020"/>
    <n v="8"/>
    <n v="4"/>
    <x v="4"/>
    <s v="555-9138"/>
    <x v="1"/>
    <s v="Sauna"/>
  </r>
  <r>
    <n v="1657"/>
    <s v="Property 1657"/>
    <x v="0"/>
    <x v="0"/>
    <n v="457646"/>
    <d v="2024-07-01T00:00:00"/>
    <x v="181"/>
    <n v="485645"/>
    <n v="3022"/>
    <x v="330"/>
    <n v="6"/>
    <n v="3"/>
    <x v="1"/>
    <n v="2017"/>
    <n v="5"/>
    <n v="1"/>
    <x v="6"/>
    <s v="555-9267"/>
    <x v="0"/>
    <s v="Garden|Sauna|Barn|Gym"/>
  </r>
  <r>
    <n v="1658"/>
    <s v="Property 1658"/>
    <x v="0"/>
    <x v="0"/>
    <n v="978031"/>
    <d v="2024-08-13T00:00:00"/>
    <x v="178"/>
    <n v="1017767"/>
    <n v="3763"/>
    <x v="331"/>
    <n v="4"/>
    <n v="2"/>
    <x v="0"/>
    <n v="2016"/>
    <m/>
    <n v="1"/>
    <x v="9"/>
    <s v="555-6830"/>
    <x v="0"/>
    <s v="Garage|Gym|Sauna"/>
  </r>
  <r>
    <n v="1659"/>
    <s v="Property 1659"/>
    <x v="2"/>
    <x v="0"/>
    <n v="694309"/>
    <d v="2024-09-15T00:00:00"/>
    <x v="1"/>
    <m/>
    <n v="1435"/>
    <x v="1"/>
    <n v="4"/>
    <n v="3"/>
    <x v="0"/>
    <n v="2005"/>
    <m/>
    <n v="1"/>
    <x v="9"/>
    <s v="555-2260"/>
    <x v="1"/>
    <s v="Garden|Gym"/>
  </r>
  <r>
    <n v="1660"/>
    <s v="Property 1660"/>
    <x v="3"/>
    <x v="1"/>
    <n v="876146"/>
    <d v="2024-11-29T00:00:00"/>
    <x v="1"/>
    <m/>
    <n v="2748"/>
    <x v="1"/>
    <n v="6"/>
    <n v="4"/>
    <x v="1"/>
    <n v="2020"/>
    <n v="7"/>
    <n v="3"/>
    <x v="0"/>
    <s v="555-7054"/>
    <x v="1"/>
    <s v="Elevator|Garage|Garden"/>
  </r>
  <r>
    <n v="1661"/>
    <s v="Property 1661"/>
    <x v="3"/>
    <x v="0"/>
    <n v="836119"/>
    <d v="2024-07-30T00:00:00"/>
    <x v="1"/>
    <m/>
    <n v="2571"/>
    <x v="1"/>
    <n v="6"/>
    <n v="3"/>
    <x v="2"/>
    <n v="2006"/>
    <n v="3"/>
    <n v="2"/>
    <x v="6"/>
    <s v="555-6592"/>
    <x v="1"/>
    <s v="Sauna|Garage"/>
  </r>
  <r>
    <n v="1662"/>
    <s v="Property 1662"/>
    <x v="3"/>
    <x v="0"/>
    <n v="335990"/>
    <d v="2024-08-09T00:00:00"/>
    <x v="160"/>
    <n v="375821"/>
    <n v="4948"/>
    <x v="332"/>
    <n v="4"/>
    <n v="4"/>
    <x v="0"/>
    <n v="2015"/>
    <m/>
    <n v="3"/>
    <x v="4"/>
    <s v="555-4469"/>
    <x v="0"/>
    <s v="Pool"/>
  </r>
  <r>
    <n v="1663"/>
    <s v="Property 1663"/>
    <x v="2"/>
    <x v="2"/>
    <n v="541818"/>
    <d v="2024-08-24T00:00:00"/>
    <x v="1"/>
    <m/>
    <n v="2075"/>
    <x v="1"/>
    <n v="3"/>
    <n v="3"/>
    <x v="3"/>
    <n v="2004"/>
    <n v="1"/>
    <n v="2"/>
    <x v="5"/>
    <s v="555-6878"/>
    <x v="1"/>
    <s v="Garden|Elevator"/>
  </r>
  <r>
    <n v="1664"/>
    <s v="Property 1664"/>
    <x v="0"/>
    <x v="1"/>
    <n v="752483"/>
    <d v="2023-12-30T00:00:00"/>
    <x v="141"/>
    <n v="792115"/>
    <n v="1510"/>
    <x v="333"/>
    <n v="3"/>
    <n v="2"/>
    <x v="1"/>
    <n v="2007"/>
    <n v="1"/>
    <n v="3"/>
    <x v="4"/>
    <s v="555-7854"/>
    <x v="0"/>
    <s v="Pool|Fireplace|Garage"/>
  </r>
  <r>
    <n v="1665"/>
    <s v="Property 1665"/>
    <x v="3"/>
    <x v="1"/>
    <n v="531094"/>
    <d v="2024-02-23T00:00:00"/>
    <x v="211"/>
    <n v="541798"/>
    <n v="4420"/>
    <x v="334"/>
    <n v="4"/>
    <n v="4"/>
    <x v="1"/>
    <n v="2004"/>
    <n v="1"/>
    <n v="3"/>
    <x v="9"/>
    <s v="555-4851"/>
    <x v="0"/>
    <s v="Barn|Gym|Garden|Elevator"/>
  </r>
  <r>
    <n v="1666"/>
    <s v="Property 1666"/>
    <x v="1"/>
    <x v="0"/>
    <n v="976257"/>
    <d v="2024-02-22T00:00:00"/>
    <x v="1"/>
    <m/>
    <n v="2342"/>
    <x v="1"/>
    <n v="2"/>
    <n v="4"/>
    <x v="2"/>
    <n v="2003"/>
    <n v="6"/>
    <n v="1"/>
    <x v="2"/>
    <s v="555-5829"/>
    <x v="1"/>
    <s v="Fireplace|Gym"/>
  </r>
  <r>
    <n v="1667"/>
    <s v="Property 1667"/>
    <x v="1"/>
    <x v="0"/>
    <n v="465224"/>
    <d v="2024-09-04T00:00:00"/>
    <x v="80"/>
    <n v="476253"/>
    <n v="3279"/>
    <x v="335"/>
    <n v="3"/>
    <n v="3"/>
    <x v="3"/>
    <n v="2001"/>
    <n v="10"/>
    <n v="2"/>
    <x v="2"/>
    <s v="555-2612"/>
    <x v="0"/>
    <s v="Sauna|Fireplace"/>
  </r>
  <r>
    <n v="1668"/>
    <s v="Property 1668"/>
    <x v="1"/>
    <x v="0"/>
    <n v="959769"/>
    <d v="2024-09-01T00:00:00"/>
    <x v="1"/>
    <m/>
    <n v="4431"/>
    <x v="1"/>
    <n v="5"/>
    <n v="5"/>
    <x v="2"/>
    <n v="2016"/>
    <n v="10"/>
    <n v="4"/>
    <x v="5"/>
    <s v="555-1810"/>
    <x v="1"/>
    <s v="Barn|Elevator|Fireplace"/>
  </r>
  <r>
    <n v="1669"/>
    <s v="Property 1669"/>
    <x v="0"/>
    <x v="0"/>
    <n v="882386"/>
    <d v="2024-11-07T00:00:00"/>
    <x v="84"/>
    <n v="921267"/>
    <n v="1228"/>
    <x v="336"/>
    <n v="3"/>
    <n v="3"/>
    <x v="1"/>
    <n v="2023"/>
    <n v="6"/>
    <n v="3"/>
    <x v="4"/>
    <s v="555-8069"/>
    <x v="0"/>
    <s v="Fireplace|Elevator|Pool|Barn"/>
  </r>
  <r>
    <n v="1670"/>
    <s v="Property 1670"/>
    <x v="2"/>
    <x v="2"/>
    <n v="716524"/>
    <d v="2024-12-12T00:00:00"/>
    <x v="1"/>
    <m/>
    <n v="2109"/>
    <x v="1"/>
    <n v="6"/>
    <n v="4"/>
    <x v="3"/>
    <n v="2022"/>
    <n v="7"/>
    <n v="4"/>
    <x v="1"/>
    <s v="555-1255"/>
    <x v="1"/>
    <s v="Sauna|Garden"/>
  </r>
  <r>
    <n v="1671"/>
    <s v="Property 1671"/>
    <x v="3"/>
    <x v="2"/>
    <n v="508186"/>
    <d v="2024-04-07T00:00:00"/>
    <x v="78"/>
    <n v="539019"/>
    <n v="2294"/>
    <x v="337"/>
    <n v="4"/>
    <n v="5"/>
    <x v="0"/>
    <n v="2015"/>
    <m/>
    <n v="2"/>
    <x v="0"/>
    <s v="555-3612"/>
    <x v="0"/>
    <s v="Pool|Elevator|Sauna|Garage"/>
  </r>
  <r>
    <n v="1672"/>
    <s v="Property 1672"/>
    <x v="2"/>
    <x v="0"/>
    <n v="896862"/>
    <d v="2024-08-17T00:00:00"/>
    <x v="1"/>
    <m/>
    <n v="4677"/>
    <x v="1"/>
    <n v="6"/>
    <n v="4"/>
    <x v="1"/>
    <n v="2014"/>
    <n v="1"/>
    <n v="4"/>
    <x v="4"/>
    <s v="555-7310"/>
    <x v="1"/>
    <s v="Garden|Garage"/>
  </r>
  <r>
    <n v="1673"/>
    <s v="Property 1673"/>
    <x v="4"/>
    <x v="2"/>
    <n v="412994"/>
    <d v="2024-05-23T00:00:00"/>
    <x v="1"/>
    <m/>
    <n v="4838"/>
    <x v="1"/>
    <n v="3"/>
    <n v="4"/>
    <x v="0"/>
    <n v="2017"/>
    <m/>
    <n v="1"/>
    <x v="6"/>
    <s v="555-3419"/>
    <x v="1"/>
    <s v="Sauna"/>
  </r>
  <r>
    <n v="1674"/>
    <s v="Property 1674"/>
    <x v="0"/>
    <x v="0"/>
    <n v="710654"/>
    <d v="2024-05-19T00:00:00"/>
    <x v="217"/>
    <n v="727740"/>
    <n v="3930"/>
    <x v="338"/>
    <n v="2"/>
    <n v="5"/>
    <x v="0"/>
    <n v="2023"/>
    <m/>
    <n v="1"/>
    <x v="6"/>
    <s v="555-9219"/>
    <x v="0"/>
    <s v="Barn|Sauna"/>
  </r>
  <r>
    <n v="1675"/>
    <s v="Property 1675"/>
    <x v="2"/>
    <x v="0"/>
    <n v="355941"/>
    <d v="2024-11-28T00:00:00"/>
    <x v="0"/>
    <n v="371865"/>
    <n v="4764"/>
    <x v="339"/>
    <n v="2"/>
    <n v="2"/>
    <x v="0"/>
    <n v="2023"/>
    <m/>
    <n v="2"/>
    <x v="2"/>
    <s v="555-9482"/>
    <x v="0"/>
    <s v="Barn|Gym"/>
  </r>
  <r>
    <n v="1676"/>
    <s v="Property 1676"/>
    <x v="3"/>
    <x v="0"/>
    <n v="537515"/>
    <d v="2024-01-23T00:00:00"/>
    <x v="127"/>
    <n v="568647"/>
    <n v="4474"/>
    <x v="340"/>
    <n v="5"/>
    <n v="4"/>
    <x v="3"/>
    <n v="2009"/>
    <n v="2"/>
    <n v="3"/>
    <x v="6"/>
    <s v="555-5502"/>
    <x v="0"/>
    <s v="Barn|Garage|Gym"/>
  </r>
  <r>
    <n v="1677"/>
    <s v="Property 1677"/>
    <x v="4"/>
    <x v="0"/>
    <n v="946433"/>
    <d v="2024-12-03T00:00:00"/>
    <x v="185"/>
    <n v="980260"/>
    <n v="4388"/>
    <x v="341"/>
    <n v="6"/>
    <n v="3"/>
    <x v="1"/>
    <n v="2013"/>
    <n v="9"/>
    <n v="2"/>
    <x v="4"/>
    <s v="555-8384"/>
    <x v="0"/>
    <s v="Sauna|Elevator|Garage"/>
  </r>
  <r>
    <n v="1678"/>
    <s v="Property 1678"/>
    <x v="1"/>
    <x v="0"/>
    <n v="625863"/>
    <d v="2024-02-08T00:00:00"/>
    <x v="130"/>
    <n v="645172"/>
    <n v="2423"/>
    <x v="342"/>
    <n v="4"/>
    <n v="4"/>
    <x v="2"/>
    <n v="2019"/>
    <n v="4"/>
    <n v="4"/>
    <x v="7"/>
    <s v="555-7040"/>
    <x v="0"/>
    <s v="Garden|Sauna"/>
  </r>
  <r>
    <n v="1679"/>
    <s v="Property 1679"/>
    <x v="2"/>
    <x v="0"/>
    <n v="745439"/>
    <d v="2024-01-30T00:00:00"/>
    <x v="174"/>
    <n v="771285"/>
    <n v="4848"/>
    <x v="343"/>
    <n v="3"/>
    <n v="3"/>
    <x v="2"/>
    <n v="2002"/>
    <n v="1"/>
    <n v="2"/>
    <x v="9"/>
    <s v="555-8484"/>
    <x v="0"/>
    <s v="Barn|Fireplace|Elevator|Sauna"/>
  </r>
  <r>
    <n v="1680"/>
    <s v="Property 1680"/>
    <x v="0"/>
    <x v="1"/>
    <n v="608235"/>
    <d v="2024-01-19T00:00:00"/>
    <x v="218"/>
    <n v="622426"/>
    <n v="2009"/>
    <x v="344"/>
    <n v="4"/>
    <n v="5"/>
    <x v="3"/>
    <n v="2002"/>
    <n v="2"/>
    <n v="2"/>
    <x v="9"/>
    <s v="555-5165"/>
    <x v="0"/>
    <s v="Garden|Fireplace|Sauna"/>
  </r>
  <r>
    <n v="1681"/>
    <s v="Property 1681"/>
    <x v="3"/>
    <x v="0"/>
    <n v="753850"/>
    <d v="2023-12-27T00:00:00"/>
    <x v="219"/>
    <n v="769579"/>
    <n v="3517"/>
    <x v="345"/>
    <n v="6"/>
    <n v="3"/>
    <x v="0"/>
    <n v="2007"/>
    <m/>
    <n v="4"/>
    <x v="0"/>
    <s v="555-7218"/>
    <x v="0"/>
    <s v="Garden|Fireplace|Pool|Gym"/>
  </r>
  <r>
    <n v="1682"/>
    <s v="Property 1682"/>
    <x v="2"/>
    <x v="2"/>
    <n v="918004"/>
    <d v="2024-03-22T00:00:00"/>
    <x v="1"/>
    <m/>
    <n v="3159"/>
    <x v="1"/>
    <n v="4"/>
    <n v="5"/>
    <x v="2"/>
    <n v="2016"/>
    <n v="4"/>
    <n v="4"/>
    <x v="3"/>
    <s v="555-6388"/>
    <x v="1"/>
    <s v="Pool|Fireplace|Sauna"/>
  </r>
  <r>
    <n v="1683"/>
    <s v="Property 1683"/>
    <x v="0"/>
    <x v="2"/>
    <n v="812463"/>
    <d v="2024-11-18T00:00:00"/>
    <x v="220"/>
    <n v="857128"/>
    <n v="1415"/>
    <x v="346"/>
    <n v="3"/>
    <n v="4"/>
    <x v="3"/>
    <n v="2012"/>
    <n v="8"/>
    <n v="4"/>
    <x v="3"/>
    <s v="555-3904"/>
    <x v="0"/>
    <s v="Barn|Pool|Elevator|Fireplace"/>
  </r>
  <r>
    <n v="1684"/>
    <s v="Property 1684"/>
    <x v="1"/>
    <x v="2"/>
    <n v="833093"/>
    <d v="2024-10-25T00:00:00"/>
    <x v="221"/>
    <n v="864582"/>
    <n v="3929"/>
    <x v="347"/>
    <n v="4"/>
    <n v="2"/>
    <x v="1"/>
    <n v="2017"/>
    <n v="5"/>
    <n v="3"/>
    <x v="4"/>
    <s v="555-5243"/>
    <x v="0"/>
    <s v="Pool|Fireplace|Gym"/>
  </r>
  <r>
    <n v="1685"/>
    <s v="Property 1685"/>
    <x v="0"/>
    <x v="2"/>
    <n v="343062"/>
    <d v="2024-04-20T00:00:00"/>
    <x v="222"/>
    <n v="388896"/>
    <n v="2138"/>
    <x v="348"/>
    <n v="5"/>
    <n v="2"/>
    <x v="2"/>
    <n v="2009"/>
    <n v="6"/>
    <n v="2"/>
    <x v="1"/>
    <s v="555-5775"/>
    <x v="0"/>
    <s v="Fireplace"/>
  </r>
  <r>
    <n v="1686"/>
    <s v="Property 1686"/>
    <x v="1"/>
    <x v="0"/>
    <n v="692323"/>
    <d v="2024-06-01T00:00:00"/>
    <x v="50"/>
    <n v="739647"/>
    <n v="4794"/>
    <x v="349"/>
    <n v="2"/>
    <n v="2"/>
    <x v="2"/>
    <n v="2005"/>
    <n v="2"/>
    <n v="2"/>
    <x v="3"/>
    <s v="555-8874"/>
    <x v="0"/>
    <s v="Elevator|Gym"/>
  </r>
  <r>
    <n v="1687"/>
    <s v="Property 1687"/>
    <x v="0"/>
    <x v="0"/>
    <n v="536945"/>
    <d v="2024-03-13T00:00:00"/>
    <x v="91"/>
    <n v="549307"/>
    <n v="1286"/>
    <x v="350"/>
    <n v="2"/>
    <n v="4"/>
    <x v="1"/>
    <n v="2000"/>
    <n v="2"/>
    <n v="2"/>
    <x v="5"/>
    <s v="555-7017"/>
    <x v="0"/>
    <s v="Fireplace|Elevator|Garage|Pool"/>
  </r>
  <r>
    <n v="1688"/>
    <s v="Property 1688"/>
    <x v="1"/>
    <x v="1"/>
    <n v="487045"/>
    <d v="2024-07-18T00:00:00"/>
    <x v="182"/>
    <n v="531558"/>
    <n v="4294"/>
    <x v="351"/>
    <n v="6"/>
    <n v="4"/>
    <x v="2"/>
    <n v="2008"/>
    <n v="10"/>
    <n v="4"/>
    <x v="8"/>
    <s v="555-2993"/>
    <x v="0"/>
    <s v="Garden|Sauna|Pool|Elevator"/>
  </r>
  <r>
    <n v="1689"/>
    <s v="Property 1689"/>
    <x v="4"/>
    <x v="1"/>
    <n v="427700"/>
    <d v="2024-12-13T00:00:00"/>
    <x v="1"/>
    <m/>
    <n v="3409"/>
    <x v="1"/>
    <n v="6"/>
    <n v="2"/>
    <x v="0"/>
    <n v="2021"/>
    <m/>
    <n v="3"/>
    <x v="3"/>
    <s v="555-6178"/>
    <x v="1"/>
    <s v="Sauna|Gym|Barn|Fireplace"/>
  </r>
  <r>
    <n v="1690"/>
    <s v="Property 1690"/>
    <x v="0"/>
    <x v="2"/>
    <n v="710583"/>
    <d v="2024-03-24T00:00:00"/>
    <x v="1"/>
    <m/>
    <n v="1888"/>
    <x v="1"/>
    <n v="2"/>
    <n v="5"/>
    <x v="1"/>
    <n v="2016"/>
    <n v="6"/>
    <n v="3"/>
    <x v="4"/>
    <s v="555-4061"/>
    <x v="1"/>
    <s v="Elevator|Barn"/>
  </r>
  <r>
    <n v="1691"/>
    <s v="Property 1691"/>
    <x v="4"/>
    <x v="1"/>
    <n v="713129"/>
    <d v="2023-12-19T00:00:00"/>
    <x v="1"/>
    <m/>
    <n v="3403"/>
    <x v="1"/>
    <n v="4"/>
    <n v="3"/>
    <x v="0"/>
    <n v="2003"/>
    <m/>
    <n v="4"/>
    <x v="6"/>
    <s v="555-3637"/>
    <x v="1"/>
    <s v="Sauna|Fireplace|Pool"/>
  </r>
  <r>
    <n v="1692"/>
    <s v="Property 1692"/>
    <x v="0"/>
    <x v="2"/>
    <n v="681701"/>
    <d v="2024-11-25T00:00:00"/>
    <x v="1"/>
    <m/>
    <n v="2951"/>
    <x v="1"/>
    <n v="6"/>
    <n v="3"/>
    <x v="0"/>
    <n v="2013"/>
    <m/>
    <n v="4"/>
    <x v="8"/>
    <s v="555-7484"/>
    <x v="1"/>
    <s v="Garden"/>
  </r>
  <r>
    <n v="1693"/>
    <s v="Property 1693"/>
    <x v="0"/>
    <x v="0"/>
    <n v="429189"/>
    <d v="2024-09-18T00:00:00"/>
    <x v="1"/>
    <m/>
    <n v="4892"/>
    <x v="1"/>
    <n v="4"/>
    <n v="3"/>
    <x v="3"/>
    <n v="2003"/>
    <n v="1"/>
    <n v="3"/>
    <x v="4"/>
    <s v="555-9689"/>
    <x v="1"/>
    <s v="Pool"/>
  </r>
  <r>
    <n v="1694"/>
    <s v="Property 1694"/>
    <x v="3"/>
    <x v="2"/>
    <n v="990161"/>
    <d v="2024-06-29T00:00:00"/>
    <x v="1"/>
    <m/>
    <n v="4317"/>
    <x v="1"/>
    <n v="3"/>
    <n v="2"/>
    <x v="3"/>
    <n v="2016"/>
    <n v="1"/>
    <n v="2"/>
    <x v="8"/>
    <s v="555-8448"/>
    <x v="1"/>
    <s v="Gym|Sauna|Garden"/>
  </r>
  <r>
    <n v="1695"/>
    <s v="Property 1695"/>
    <x v="2"/>
    <x v="1"/>
    <n v="731198"/>
    <d v="2024-01-30T00:00:00"/>
    <x v="223"/>
    <n v="757691"/>
    <n v="3113"/>
    <x v="352"/>
    <n v="2"/>
    <n v="4"/>
    <x v="2"/>
    <n v="2003"/>
    <n v="4"/>
    <n v="3"/>
    <x v="2"/>
    <s v="555-2445"/>
    <x v="0"/>
    <s v="Sauna|Garage|Barn|Elevator"/>
  </r>
  <r>
    <n v="1696"/>
    <s v="Property 1696"/>
    <x v="0"/>
    <x v="0"/>
    <n v="471590"/>
    <d v="2024-02-17T00:00:00"/>
    <x v="197"/>
    <n v="504979"/>
    <n v="1366"/>
    <x v="353"/>
    <n v="5"/>
    <n v="4"/>
    <x v="2"/>
    <n v="2022"/>
    <n v="6"/>
    <n v="2"/>
    <x v="4"/>
    <s v="555-1942"/>
    <x v="0"/>
    <s v="Barn|Gym|Pool|Elevator"/>
  </r>
  <r>
    <n v="1697"/>
    <s v="Property 1697"/>
    <x v="1"/>
    <x v="1"/>
    <n v="892780"/>
    <d v="2024-10-15T00:00:00"/>
    <x v="1"/>
    <m/>
    <n v="4455"/>
    <x v="1"/>
    <n v="3"/>
    <n v="2"/>
    <x v="3"/>
    <n v="2019"/>
    <n v="3"/>
    <n v="1"/>
    <x v="0"/>
    <s v="555-7649"/>
    <x v="1"/>
    <s v="Garden|Sauna|Elevator|Gym"/>
  </r>
  <r>
    <n v="1698"/>
    <s v="Property 1698"/>
    <x v="1"/>
    <x v="0"/>
    <n v="566890"/>
    <d v="2024-03-15T00:00:00"/>
    <x v="1"/>
    <m/>
    <n v="3153"/>
    <x v="1"/>
    <n v="3"/>
    <n v="4"/>
    <x v="2"/>
    <n v="2009"/>
    <n v="7"/>
    <n v="4"/>
    <x v="5"/>
    <s v="555-5810"/>
    <x v="1"/>
    <s v="Garage|Garden|Pool"/>
  </r>
  <r>
    <n v="1699"/>
    <s v="Property 1699"/>
    <x v="2"/>
    <x v="0"/>
    <n v="530327"/>
    <d v="2023-12-27T00:00:00"/>
    <x v="1"/>
    <m/>
    <n v="3752"/>
    <x v="1"/>
    <n v="5"/>
    <n v="2"/>
    <x v="1"/>
    <n v="2016"/>
    <n v="9"/>
    <n v="2"/>
    <x v="4"/>
    <s v="555-1283"/>
    <x v="1"/>
    <s v="Pool"/>
  </r>
  <r>
    <n v="1700"/>
    <s v="Property 1700"/>
    <x v="2"/>
    <x v="1"/>
    <n v="967917"/>
    <d v="2024-09-13T00:00:00"/>
    <x v="68"/>
    <n v="995688"/>
    <n v="3595"/>
    <x v="354"/>
    <n v="3"/>
    <n v="4"/>
    <x v="0"/>
    <n v="2004"/>
    <m/>
    <n v="3"/>
    <x v="4"/>
    <s v="555-2922"/>
    <x v="0"/>
    <s v="Garden|Pool"/>
  </r>
  <r>
    <n v="1701"/>
    <s v="Property 1701"/>
    <x v="2"/>
    <x v="2"/>
    <n v="556323"/>
    <d v="2024-10-26T00:00:00"/>
    <x v="134"/>
    <n v="591600"/>
    <n v="4542"/>
    <x v="355"/>
    <n v="5"/>
    <n v="4"/>
    <x v="2"/>
    <n v="2020"/>
    <n v="6"/>
    <n v="3"/>
    <x v="9"/>
    <s v="555-7758"/>
    <x v="0"/>
    <s v="Sauna|Gym|Garden|Fireplace"/>
  </r>
  <r>
    <n v="1702"/>
    <s v="Property 1702"/>
    <x v="4"/>
    <x v="0"/>
    <n v="924042"/>
    <d v="2024-06-21T00:00:00"/>
    <x v="224"/>
    <n v="952844"/>
    <n v="1266"/>
    <x v="356"/>
    <n v="6"/>
    <n v="3"/>
    <x v="1"/>
    <n v="2013"/>
    <n v="6"/>
    <n v="2"/>
    <x v="3"/>
    <s v="555-3318"/>
    <x v="0"/>
    <s v="Elevator|Pool|Gym"/>
  </r>
  <r>
    <n v="1703"/>
    <s v="Property 1703"/>
    <x v="0"/>
    <x v="0"/>
    <n v="979445"/>
    <d v="2024-08-29T00:00:00"/>
    <x v="225"/>
    <n v="994622"/>
    <n v="1809"/>
    <x v="357"/>
    <n v="5"/>
    <n v="4"/>
    <x v="2"/>
    <n v="2021"/>
    <n v="8"/>
    <n v="3"/>
    <x v="0"/>
    <s v="555-8956"/>
    <x v="0"/>
    <s v="Gym"/>
  </r>
  <r>
    <n v="1704"/>
    <s v="Property 1704"/>
    <x v="2"/>
    <x v="0"/>
    <n v="471394"/>
    <d v="2024-10-19T00:00:00"/>
    <x v="1"/>
    <m/>
    <n v="4365"/>
    <x v="1"/>
    <n v="2"/>
    <n v="2"/>
    <x v="1"/>
    <n v="2005"/>
    <n v="2"/>
    <n v="2"/>
    <x v="5"/>
    <s v="555-3617"/>
    <x v="1"/>
    <s v="Elevator|Fireplace|Sauna|Garden"/>
  </r>
  <r>
    <n v="1705"/>
    <s v="Property 1705"/>
    <x v="3"/>
    <x v="1"/>
    <n v="443722"/>
    <d v="2024-06-30T00:00:00"/>
    <x v="1"/>
    <m/>
    <n v="4695"/>
    <x v="1"/>
    <n v="4"/>
    <n v="4"/>
    <x v="0"/>
    <n v="2008"/>
    <m/>
    <n v="4"/>
    <x v="0"/>
    <s v="555-1952"/>
    <x v="1"/>
    <s v="Gym"/>
  </r>
  <r>
    <n v="1706"/>
    <s v="Property 1706"/>
    <x v="0"/>
    <x v="2"/>
    <n v="708027"/>
    <d v="2024-07-07T00:00:00"/>
    <x v="1"/>
    <m/>
    <n v="1187"/>
    <x v="1"/>
    <n v="6"/>
    <n v="3"/>
    <x v="0"/>
    <n v="2020"/>
    <m/>
    <n v="3"/>
    <x v="9"/>
    <s v="555-8160"/>
    <x v="1"/>
    <s v="Fireplace|Elevator|Gym|Garden"/>
  </r>
  <r>
    <n v="1707"/>
    <s v="Property 1707"/>
    <x v="0"/>
    <x v="0"/>
    <n v="822015"/>
    <d v="2024-08-10T00:00:00"/>
    <x v="1"/>
    <m/>
    <n v="1382"/>
    <x v="1"/>
    <n v="6"/>
    <n v="4"/>
    <x v="3"/>
    <n v="2012"/>
    <n v="8"/>
    <n v="3"/>
    <x v="7"/>
    <s v="555-8007"/>
    <x v="1"/>
    <s v="Garden|Elevator|Barn|Sauna"/>
  </r>
  <r>
    <n v="1708"/>
    <s v="Property 1708"/>
    <x v="0"/>
    <x v="1"/>
    <n v="436955"/>
    <d v="2024-05-15T00:00:00"/>
    <x v="80"/>
    <n v="463890"/>
    <n v="3963"/>
    <x v="358"/>
    <n v="2"/>
    <n v="4"/>
    <x v="1"/>
    <n v="2014"/>
    <n v="5"/>
    <n v="1"/>
    <x v="0"/>
    <s v="555-6343"/>
    <x v="0"/>
    <s v="Elevator"/>
  </r>
  <r>
    <n v="1709"/>
    <s v="Property 1709"/>
    <x v="1"/>
    <x v="1"/>
    <n v="457636"/>
    <d v="2024-03-09T00:00:00"/>
    <x v="148"/>
    <n v="497840"/>
    <n v="2770"/>
    <x v="359"/>
    <n v="6"/>
    <n v="2"/>
    <x v="3"/>
    <n v="2011"/>
    <n v="2"/>
    <n v="3"/>
    <x v="4"/>
    <s v="555-7788"/>
    <x v="0"/>
    <s v="Elevator"/>
  </r>
  <r>
    <n v="1710"/>
    <s v="Property 1710"/>
    <x v="2"/>
    <x v="0"/>
    <n v="652765"/>
    <d v="2024-07-30T00:00:00"/>
    <x v="1"/>
    <m/>
    <n v="3106"/>
    <x v="1"/>
    <n v="3"/>
    <n v="5"/>
    <x v="2"/>
    <n v="2011"/>
    <n v="5"/>
    <n v="2"/>
    <x v="7"/>
    <s v="555-3125"/>
    <x v="1"/>
    <s v="Elevator|Fireplace|Garden|Sauna"/>
  </r>
  <r>
    <n v="1711"/>
    <s v="Property 1711"/>
    <x v="1"/>
    <x v="2"/>
    <n v="556477"/>
    <d v="2024-10-19T00:00:00"/>
    <x v="162"/>
    <n v="595076"/>
    <n v="1549"/>
    <x v="360"/>
    <n v="6"/>
    <n v="2"/>
    <x v="0"/>
    <n v="2015"/>
    <m/>
    <n v="2"/>
    <x v="0"/>
    <s v="555-2717"/>
    <x v="0"/>
    <s v="Gym"/>
  </r>
  <r>
    <n v="1712"/>
    <s v="Property 1712"/>
    <x v="0"/>
    <x v="2"/>
    <n v="855776"/>
    <d v="2024-08-11T00:00:00"/>
    <x v="226"/>
    <n v="872464"/>
    <n v="3931"/>
    <x v="361"/>
    <n v="4"/>
    <n v="2"/>
    <x v="2"/>
    <n v="2013"/>
    <n v="5"/>
    <n v="2"/>
    <x v="5"/>
    <s v="555-2439"/>
    <x v="0"/>
    <s v="Garden"/>
  </r>
  <r>
    <n v="1713"/>
    <s v="Property 1713"/>
    <x v="2"/>
    <x v="1"/>
    <n v="365762"/>
    <d v="2024-07-23T00:00:00"/>
    <x v="1"/>
    <m/>
    <n v="2019"/>
    <x v="1"/>
    <n v="4"/>
    <n v="2"/>
    <x v="0"/>
    <n v="2018"/>
    <m/>
    <n v="1"/>
    <x v="9"/>
    <s v="555-4562"/>
    <x v="1"/>
    <s v="Fireplace|Elevator"/>
  </r>
  <r>
    <n v="1714"/>
    <s v="Property 1714"/>
    <x v="3"/>
    <x v="1"/>
    <n v="653546"/>
    <d v="2024-05-10T00:00:00"/>
    <x v="1"/>
    <m/>
    <n v="1915"/>
    <x v="1"/>
    <n v="6"/>
    <n v="3"/>
    <x v="0"/>
    <n v="2004"/>
    <m/>
    <n v="1"/>
    <x v="6"/>
    <s v="555-2358"/>
    <x v="1"/>
    <s v="Fireplace|Sauna|Garage"/>
  </r>
  <r>
    <n v="1715"/>
    <s v="Property 1715"/>
    <x v="0"/>
    <x v="0"/>
    <n v="904121"/>
    <d v="2024-04-13T00:00:00"/>
    <x v="31"/>
    <n v="938499"/>
    <n v="2178"/>
    <x v="362"/>
    <n v="6"/>
    <n v="5"/>
    <x v="0"/>
    <n v="2002"/>
    <m/>
    <n v="4"/>
    <x v="0"/>
    <s v="555-7290"/>
    <x v="0"/>
    <s v="Sauna"/>
  </r>
  <r>
    <n v="1716"/>
    <s v="Property 1716"/>
    <x v="0"/>
    <x v="2"/>
    <n v="581728"/>
    <d v="2024-05-18T00:00:00"/>
    <x v="1"/>
    <m/>
    <n v="1500"/>
    <x v="1"/>
    <n v="6"/>
    <n v="2"/>
    <x v="3"/>
    <n v="2000"/>
    <n v="9"/>
    <n v="2"/>
    <x v="3"/>
    <s v="555-3772"/>
    <x v="1"/>
    <s v="Garden"/>
  </r>
  <r>
    <n v="1717"/>
    <s v="Property 1717"/>
    <x v="1"/>
    <x v="2"/>
    <n v="616901"/>
    <d v="2024-08-08T00:00:00"/>
    <x v="1"/>
    <m/>
    <n v="1457"/>
    <x v="1"/>
    <n v="4"/>
    <n v="4"/>
    <x v="2"/>
    <n v="2018"/>
    <n v="1"/>
    <n v="3"/>
    <x v="5"/>
    <s v="555-8505"/>
    <x v="1"/>
    <s v="Barn|Pool|Garden|Garage"/>
  </r>
  <r>
    <n v="1718"/>
    <s v="Property 1718"/>
    <x v="4"/>
    <x v="2"/>
    <n v="537397"/>
    <d v="2024-10-29T00:00:00"/>
    <x v="227"/>
    <n v="572531"/>
    <n v="4518"/>
    <x v="363"/>
    <n v="6"/>
    <n v="3"/>
    <x v="0"/>
    <n v="2019"/>
    <m/>
    <n v="1"/>
    <x v="1"/>
    <s v="555-4897"/>
    <x v="0"/>
    <s v="Fireplace|Gym|Garden"/>
  </r>
  <r>
    <n v="1719"/>
    <s v="Property 1719"/>
    <x v="2"/>
    <x v="0"/>
    <n v="514534"/>
    <d v="2024-11-06T00:00:00"/>
    <x v="1"/>
    <m/>
    <n v="4242"/>
    <x v="1"/>
    <n v="4"/>
    <n v="5"/>
    <x v="3"/>
    <n v="2004"/>
    <n v="4"/>
    <n v="1"/>
    <x v="2"/>
    <s v="555-2138"/>
    <x v="1"/>
    <s v="Barn|Gym|Elevator|Fireplace"/>
  </r>
  <r>
    <n v="1720"/>
    <s v="Property 1720"/>
    <x v="0"/>
    <x v="0"/>
    <n v="966179"/>
    <d v="2024-07-09T00:00:00"/>
    <x v="1"/>
    <m/>
    <n v="4122"/>
    <x v="1"/>
    <n v="5"/>
    <n v="4"/>
    <x v="1"/>
    <n v="2009"/>
    <n v="9"/>
    <n v="1"/>
    <x v="9"/>
    <s v="555-8963"/>
    <x v="1"/>
    <s v="Gym|Pool"/>
  </r>
  <r>
    <n v="1721"/>
    <s v="Property 1721"/>
    <x v="3"/>
    <x v="2"/>
    <n v="957801"/>
    <d v="2024-01-09T00:00:00"/>
    <x v="228"/>
    <n v="997664"/>
    <n v="2130"/>
    <x v="364"/>
    <n v="5"/>
    <n v="4"/>
    <x v="3"/>
    <n v="2002"/>
    <n v="6"/>
    <n v="1"/>
    <x v="7"/>
    <s v="555-6453"/>
    <x v="0"/>
    <s v="Barn"/>
  </r>
  <r>
    <n v="1722"/>
    <s v="Property 1722"/>
    <x v="0"/>
    <x v="0"/>
    <n v="697117"/>
    <d v="2024-04-04T00:00:00"/>
    <x v="1"/>
    <m/>
    <n v="3603"/>
    <x v="1"/>
    <n v="4"/>
    <n v="4"/>
    <x v="3"/>
    <n v="2017"/>
    <n v="7"/>
    <n v="4"/>
    <x v="6"/>
    <s v="555-8022"/>
    <x v="1"/>
    <s v="Garage"/>
  </r>
  <r>
    <n v="1723"/>
    <s v="Property 1723"/>
    <x v="0"/>
    <x v="0"/>
    <n v="571534"/>
    <d v="2024-04-24T00:00:00"/>
    <x v="206"/>
    <n v="583634"/>
    <n v="3617"/>
    <x v="365"/>
    <n v="2"/>
    <n v="5"/>
    <x v="1"/>
    <n v="2011"/>
    <n v="10"/>
    <n v="3"/>
    <x v="3"/>
    <s v="555-3071"/>
    <x v="0"/>
    <s v="Garage|Sauna|Pool|Gym"/>
  </r>
  <r>
    <n v="1724"/>
    <s v="Property 1724"/>
    <x v="3"/>
    <x v="0"/>
    <n v="999208"/>
    <d v="2024-12-11T00:00:00"/>
    <x v="1"/>
    <m/>
    <n v="4651"/>
    <x v="1"/>
    <n v="6"/>
    <n v="5"/>
    <x v="1"/>
    <n v="2020"/>
    <n v="5"/>
    <n v="4"/>
    <x v="5"/>
    <s v="555-5643"/>
    <x v="1"/>
    <s v="Elevator|Barn"/>
  </r>
  <r>
    <n v="1725"/>
    <s v="Property 1725"/>
    <x v="4"/>
    <x v="0"/>
    <n v="571926"/>
    <d v="2024-08-31T00:00:00"/>
    <x v="1"/>
    <m/>
    <n v="1285"/>
    <x v="1"/>
    <n v="6"/>
    <n v="4"/>
    <x v="0"/>
    <n v="2021"/>
    <m/>
    <n v="4"/>
    <x v="5"/>
    <s v="555-6547"/>
    <x v="1"/>
    <s v="Gym|Sauna"/>
  </r>
  <r>
    <n v="1726"/>
    <s v="Property 1726"/>
    <x v="1"/>
    <x v="0"/>
    <n v="962538"/>
    <d v="2024-07-02T00:00:00"/>
    <x v="1"/>
    <m/>
    <n v="2921"/>
    <x v="1"/>
    <n v="3"/>
    <n v="2"/>
    <x v="0"/>
    <n v="2019"/>
    <m/>
    <n v="1"/>
    <x v="5"/>
    <s v="555-6422"/>
    <x v="1"/>
    <s v="Pool|Elevator|Garden|Garage"/>
  </r>
  <r>
    <n v="1727"/>
    <s v="Property 1727"/>
    <x v="2"/>
    <x v="1"/>
    <n v="433885"/>
    <d v="2024-01-24T00:00:00"/>
    <x v="1"/>
    <m/>
    <n v="2599"/>
    <x v="1"/>
    <n v="2"/>
    <n v="2"/>
    <x v="1"/>
    <n v="2018"/>
    <n v="7"/>
    <n v="3"/>
    <x v="2"/>
    <s v="555-1917"/>
    <x v="1"/>
    <s v="Fireplace"/>
  </r>
  <r>
    <n v="1728"/>
    <s v="Property 1728"/>
    <x v="4"/>
    <x v="2"/>
    <n v="784688"/>
    <d v="2024-03-10T00:00:00"/>
    <x v="1"/>
    <m/>
    <n v="4385"/>
    <x v="1"/>
    <n v="2"/>
    <n v="3"/>
    <x v="2"/>
    <n v="2004"/>
    <n v="2"/>
    <n v="4"/>
    <x v="1"/>
    <s v="555-7368"/>
    <x v="1"/>
    <s v="Garage"/>
  </r>
  <r>
    <n v="1729"/>
    <s v="Property 1729"/>
    <x v="2"/>
    <x v="1"/>
    <n v="998765"/>
    <d v="2024-10-19T00:00:00"/>
    <x v="1"/>
    <m/>
    <n v="1043"/>
    <x v="1"/>
    <n v="5"/>
    <n v="4"/>
    <x v="3"/>
    <n v="2020"/>
    <n v="8"/>
    <n v="4"/>
    <x v="5"/>
    <s v="555-3459"/>
    <x v="1"/>
    <s v="Elevator|Fireplace|Barn"/>
  </r>
  <r>
    <n v="1730"/>
    <s v="Property 1730"/>
    <x v="4"/>
    <x v="0"/>
    <n v="690361"/>
    <d v="2024-11-09T00:00:00"/>
    <x v="229"/>
    <n v="726307"/>
    <n v="3271"/>
    <x v="366"/>
    <n v="4"/>
    <n v="4"/>
    <x v="1"/>
    <n v="2007"/>
    <n v="9"/>
    <n v="3"/>
    <x v="4"/>
    <s v="555-1850"/>
    <x v="0"/>
    <s v="Garage|Gym|Garden|Pool"/>
  </r>
  <r>
    <n v="1731"/>
    <s v="Property 1731"/>
    <x v="0"/>
    <x v="1"/>
    <n v="730255"/>
    <d v="2024-11-25T00:00:00"/>
    <x v="1"/>
    <m/>
    <n v="2362"/>
    <x v="1"/>
    <n v="3"/>
    <n v="4"/>
    <x v="2"/>
    <n v="2017"/>
    <n v="3"/>
    <n v="4"/>
    <x v="6"/>
    <s v="555-5655"/>
    <x v="1"/>
    <s v="Sauna|Pool|Garden"/>
  </r>
  <r>
    <n v="1732"/>
    <s v="Property 1732"/>
    <x v="1"/>
    <x v="0"/>
    <n v="341232"/>
    <d v="2024-04-29T00:00:00"/>
    <x v="1"/>
    <m/>
    <n v="4189"/>
    <x v="1"/>
    <n v="4"/>
    <n v="4"/>
    <x v="1"/>
    <n v="2021"/>
    <n v="8"/>
    <n v="1"/>
    <x v="7"/>
    <s v="555-3681"/>
    <x v="1"/>
    <s v="Garden|Garage|Barn"/>
  </r>
  <r>
    <n v="1733"/>
    <s v="Property 1733"/>
    <x v="4"/>
    <x v="1"/>
    <n v="924199"/>
    <d v="2024-08-19T00:00:00"/>
    <x v="1"/>
    <m/>
    <n v="3229"/>
    <x v="1"/>
    <n v="2"/>
    <n v="2"/>
    <x v="1"/>
    <n v="2014"/>
    <n v="2"/>
    <n v="3"/>
    <x v="3"/>
    <s v="555-1314"/>
    <x v="1"/>
    <s v="Garage|Garden|Gym|Elevator"/>
  </r>
  <r>
    <n v="1734"/>
    <s v="Property 1734"/>
    <x v="0"/>
    <x v="0"/>
    <n v="589992"/>
    <d v="2024-05-06T00:00:00"/>
    <x v="1"/>
    <m/>
    <n v="3934"/>
    <x v="1"/>
    <n v="4"/>
    <n v="4"/>
    <x v="1"/>
    <n v="2012"/>
    <n v="10"/>
    <n v="1"/>
    <x v="1"/>
    <s v="555-6727"/>
    <x v="1"/>
    <s v="Elevator"/>
  </r>
  <r>
    <n v="1735"/>
    <s v="Property 1735"/>
    <x v="1"/>
    <x v="0"/>
    <n v="887807"/>
    <d v="2024-10-24T00:00:00"/>
    <x v="1"/>
    <m/>
    <n v="3429"/>
    <x v="1"/>
    <n v="5"/>
    <n v="2"/>
    <x v="0"/>
    <n v="2001"/>
    <m/>
    <n v="2"/>
    <x v="4"/>
    <s v="555-8261"/>
    <x v="1"/>
    <s v="Garage|Sauna"/>
  </r>
  <r>
    <n v="1736"/>
    <s v="Property 1736"/>
    <x v="4"/>
    <x v="0"/>
    <n v="547089"/>
    <d v="2024-06-20T00:00:00"/>
    <x v="1"/>
    <m/>
    <n v="1325"/>
    <x v="1"/>
    <n v="5"/>
    <n v="3"/>
    <x v="1"/>
    <n v="2018"/>
    <n v="6"/>
    <n v="2"/>
    <x v="2"/>
    <s v="555-7332"/>
    <x v="1"/>
    <s v="Gym"/>
  </r>
  <r>
    <n v="1737"/>
    <s v="Property 1737"/>
    <x v="3"/>
    <x v="0"/>
    <n v="340896"/>
    <d v="2024-03-10T00:00:00"/>
    <x v="1"/>
    <m/>
    <n v="4786"/>
    <x v="1"/>
    <n v="2"/>
    <n v="4"/>
    <x v="0"/>
    <n v="2006"/>
    <m/>
    <n v="2"/>
    <x v="8"/>
    <s v="555-9044"/>
    <x v="1"/>
    <s v="Fireplace|Pool|Garage|Sauna"/>
  </r>
  <r>
    <n v="1738"/>
    <s v="Property 1738"/>
    <x v="4"/>
    <x v="2"/>
    <n v="563606"/>
    <d v="2024-03-25T00:00:00"/>
    <x v="230"/>
    <n v="574151"/>
    <n v="3999"/>
    <x v="367"/>
    <n v="6"/>
    <n v="5"/>
    <x v="0"/>
    <n v="2003"/>
    <m/>
    <n v="4"/>
    <x v="8"/>
    <s v="555-5446"/>
    <x v="0"/>
    <s v="Pool|Elevator|Barn|Gym"/>
  </r>
  <r>
    <n v="1739"/>
    <s v="Property 1739"/>
    <x v="2"/>
    <x v="1"/>
    <n v="464357"/>
    <d v="2024-11-24T00:00:00"/>
    <x v="1"/>
    <m/>
    <n v="2603"/>
    <x v="1"/>
    <n v="6"/>
    <n v="4"/>
    <x v="0"/>
    <n v="2016"/>
    <m/>
    <n v="1"/>
    <x v="2"/>
    <s v="555-8394"/>
    <x v="1"/>
    <s v="Garden|Barn|Fireplace|Pool"/>
  </r>
  <r>
    <n v="1740"/>
    <s v="Property 1740"/>
    <x v="1"/>
    <x v="0"/>
    <n v="508199"/>
    <d v="2024-08-31T00:00:00"/>
    <x v="231"/>
    <n v="524092"/>
    <n v="3429"/>
    <x v="368"/>
    <n v="4"/>
    <n v="3"/>
    <x v="3"/>
    <n v="2022"/>
    <n v="2"/>
    <n v="1"/>
    <x v="1"/>
    <s v="555-3773"/>
    <x v="0"/>
    <s v="Barn|Garage"/>
  </r>
  <r>
    <n v="1741"/>
    <s v="Property 1741"/>
    <x v="0"/>
    <x v="1"/>
    <n v="323789"/>
    <d v="2024-01-18T00:00:00"/>
    <x v="77"/>
    <n v="361996"/>
    <n v="4999"/>
    <x v="369"/>
    <n v="6"/>
    <n v="2"/>
    <x v="2"/>
    <n v="2001"/>
    <n v="8"/>
    <n v="3"/>
    <x v="6"/>
    <s v="555-9146"/>
    <x v="0"/>
    <s v="Barn|Gym|Elevator|Fireplace"/>
  </r>
  <r>
    <n v="1742"/>
    <s v="Property 1742"/>
    <x v="1"/>
    <x v="2"/>
    <n v="716184"/>
    <d v="2024-06-25T00:00:00"/>
    <x v="177"/>
    <n v="728502"/>
    <n v="3862"/>
    <x v="370"/>
    <n v="5"/>
    <n v="4"/>
    <x v="3"/>
    <n v="2000"/>
    <n v="4"/>
    <n v="3"/>
    <x v="4"/>
    <s v="555-6644"/>
    <x v="0"/>
    <s v="Gym|Elevator|Pool|Garage"/>
  </r>
  <r>
    <n v="1743"/>
    <s v="Property 1743"/>
    <x v="3"/>
    <x v="2"/>
    <n v="486726"/>
    <d v="2024-04-13T00:00:00"/>
    <x v="1"/>
    <m/>
    <n v="3337"/>
    <x v="1"/>
    <n v="2"/>
    <n v="4"/>
    <x v="1"/>
    <n v="2012"/>
    <n v="2"/>
    <n v="1"/>
    <x v="7"/>
    <s v="555-3193"/>
    <x v="1"/>
    <s v="Garage"/>
  </r>
  <r>
    <n v="1744"/>
    <s v="Property 1744"/>
    <x v="1"/>
    <x v="2"/>
    <n v="454629"/>
    <d v="2024-01-25T00:00:00"/>
    <x v="86"/>
    <n v="489779"/>
    <n v="4833"/>
    <x v="371"/>
    <n v="3"/>
    <n v="3"/>
    <x v="1"/>
    <n v="2011"/>
    <n v="3"/>
    <n v="2"/>
    <x v="4"/>
    <s v="555-7252"/>
    <x v="0"/>
    <s v="Sauna"/>
  </r>
  <r>
    <n v="1745"/>
    <s v="Property 1745"/>
    <x v="0"/>
    <x v="0"/>
    <n v="862443"/>
    <d v="2023-12-28T00:00:00"/>
    <x v="1"/>
    <m/>
    <n v="2611"/>
    <x v="1"/>
    <n v="6"/>
    <n v="4"/>
    <x v="3"/>
    <n v="2023"/>
    <n v="5"/>
    <n v="4"/>
    <x v="0"/>
    <s v="555-3451"/>
    <x v="1"/>
    <s v="Gym|Garden|Elevator|Garage"/>
  </r>
  <r>
    <n v="1746"/>
    <s v="Property 1746"/>
    <x v="2"/>
    <x v="2"/>
    <n v="784436"/>
    <d v="2024-01-05T00:00:00"/>
    <x v="74"/>
    <n v="827895"/>
    <n v="1954"/>
    <x v="372"/>
    <n v="2"/>
    <n v="5"/>
    <x v="0"/>
    <n v="2011"/>
    <m/>
    <n v="2"/>
    <x v="6"/>
    <s v="555-9238"/>
    <x v="0"/>
    <s v="Pool"/>
  </r>
  <r>
    <n v="1747"/>
    <s v="Property 1747"/>
    <x v="1"/>
    <x v="1"/>
    <n v="391605"/>
    <d v="2024-08-10T00:00:00"/>
    <x v="232"/>
    <n v="434879"/>
    <n v="2178"/>
    <x v="373"/>
    <n v="6"/>
    <n v="4"/>
    <x v="0"/>
    <n v="2010"/>
    <m/>
    <n v="1"/>
    <x v="9"/>
    <s v="555-1464"/>
    <x v="0"/>
    <s v="Garden"/>
  </r>
  <r>
    <n v="1748"/>
    <s v="Property 1748"/>
    <x v="3"/>
    <x v="2"/>
    <n v="829013"/>
    <d v="2024-03-21T00:00:00"/>
    <x v="1"/>
    <m/>
    <n v="1994"/>
    <x v="1"/>
    <n v="2"/>
    <n v="4"/>
    <x v="0"/>
    <n v="2002"/>
    <m/>
    <n v="4"/>
    <x v="2"/>
    <s v="555-8800"/>
    <x v="1"/>
    <s v="Barn|Sauna"/>
  </r>
  <r>
    <n v="1749"/>
    <s v="Property 1749"/>
    <x v="0"/>
    <x v="2"/>
    <n v="928267"/>
    <d v="2024-05-25T00:00:00"/>
    <x v="139"/>
    <n v="968456"/>
    <n v="1882"/>
    <x v="374"/>
    <n v="6"/>
    <n v="2"/>
    <x v="3"/>
    <n v="2002"/>
    <n v="7"/>
    <n v="3"/>
    <x v="3"/>
    <s v="555-8103"/>
    <x v="0"/>
    <s v="Elevator|Fireplace"/>
  </r>
  <r>
    <n v="1750"/>
    <s v="Property 1750"/>
    <x v="1"/>
    <x v="0"/>
    <n v="532194"/>
    <d v="2024-02-03T00:00:00"/>
    <x v="1"/>
    <m/>
    <n v="2231"/>
    <x v="1"/>
    <n v="2"/>
    <n v="4"/>
    <x v="1"/>
    <n v="2016"/>
    <n v="9"/>
    <n v="2"/>
    <x v="3"/>
    <s v="555-1227"/>
    <x v="1"/>
    <s v="Pool|Elevator"/>
  </r>
  <r>
    <n v="1751"/>
    <s v="Property 1751"/>
    <x v="0"/>
    <x v="0"/>
    <n v="615571"/>
    <d v="2024-09-02T00:00:00"/>
    <x v="1"/>
    <m/>
    <n v="4039"/>
    <x v="1"/>
    <n v="3"/>
    <n v="4"/>
    <x v="1"/>
    <n v="2000"/>
    <n v="8"/>
    <n v="1"/>
    <x v="1"/>
    <s v="555-5610"/>
    <x v="1"/>
    <s v="Sauna|Fireplace|Garage|Elevator"/>
  </r>
  <r>
    <n v="1752"/>
    <s v="Property 1752"/>
    <x v="3"/>
    <x v="2"/>
    <n v="324213"/>
    <d v="2024-11-07T00:00:00"/>
    <x v="233"/>
    <n v="351884"/>
    <n v="2301"/>
    <x v="375"/>
    <n v="6"/>
    <n v="3"/>
    <x v="3"/>
    <n v="2005"/>
    <n v="4"/>
    <n v="3"/>
    <x v="5"/>
    <s v="555-1675"/>
    <x v="0"/>
    <s v="Gym"/>
  </r>
  <r>
    <n v="1753"/>
    <s v="Property 1753"/>
    <x v="2"/>
    <x v="2"/>
    <n v="496094"/>
    <d v="2024-04-21T00:00:00"/>
    <x v="138"/>
    <n v="522014"/>
    <n v="3945"/>
    <x v="376"/>
    <n v="2"/>
    <n v="5"/>
    <x v="1"/>
    <n v="2011"/>
    <n v="2"/>
    <n v="2"/>
    <x v="9"/>
    <s v="555-5181"/>
    <x v="0"/>
    <s v="Barn|Gym|Garage"/>
  </r>
  <r>
    <n v="1754"/>
    <s v="Property 1754"/>
    <x v="3"/>
    <x v="2"/>
    <n v="312010"/>
    <d v="2024-03-12T00:00:00"/>
    <x v="1"/>
    <m/>
    <n v="2336"/>
    <x v="1"/>
    <n v="4"/>
    <n v="4"/>
    <x v="0"/>
    <n v="2013"/>
    <m/>
    <n v="2"/>
    <x v="2"/>
    <s v="555-7131"/>
    <x v="1"/>
    <s v="Barn|Sauna|Elevator|Fireplace"/>
  </r>
  <r>
    <n v="1755"/>
    <s v="Property 1755"/>
    <x v="0"/>
    <x v="2"/>
    <n v="943115"/>
    <d v="2024-09-10T00:00:00"/>
    <x v="41"/>
    <n v="973365"/>
    <n v="3368"/>
    <x v="377"/>
    <n v="4"/>
    <n v="3"/>
    <x v="3"/>
    <n v="2008"/>
    <n v="5"/>
    <n v="2"/>
    <x v="3"/>
    <s v="555-5135"/>
    <x v="0"/>
    <s v="Elevator|Fireplace|Barn"/>
  </r>
  <r>
    <n v="1756"/>
    <s v="Property 1756"/>
    <x v="4"/>
    <x v="2"/>
    <n v="500196"/>
    <d v="2024-08-12T00:00:00"/>
    <x v="223"/>
    <n v="536303"/>
    <n v="2844"/>
    <x v="378"/>
    <n v="2"/>
    <n v="5"/>
    <x v="1"/>
    <n v="2016"/>
    <n v="7"/>
    <n v="3"/>
    <x v="2"/>
    <s v="555-9615"/>
    <x v="0"/>
    <s v="Sauna"/>
  </r>
  <r>
    <n v="1757"/>
    <s v="Property 1757"/>
    <x v="1"/>
    <x v="2"/>
    <n v="345122"/>
    <d v="2024-06-19T00:00:00"/>
    <x v="46"/>
    <n v="361073"/>
    <n v="1506"/>
    <x v="379"/>
    <n v="5"/>
    <n v="4"/>
    <x v="1"/>
    <n v="2018"/>
    <n v="3"/>
    <n v="4"/>
    <x v="8"/>
    <s v="555-1367"/>
    <x v="0"/>
    <s v="Pool"/>
  </r>
  <r>
    <n v="1758"/>
    <s v="Property 1758"/>
    <x v="3"/>
    <x v="1"/>
    <n v="735864"/>
    <d v="2024-03-16T00:00:00"/>
    <x v="1"/>
    <m/>
    <n v="3940"/>
    <x v="1"/>
    <n v="5"/>
    <n v="4"/>
    <x v="1"/>
    <n v="2023"/>
    <n v="3"/>
    <n v="2"/>
    <x v="5"/>
    <s v="555-6507"/>
    <x v="1"/>
    <s v="Garden|Elevator|Fireplace"/>
  </r>
  <r>
    <n v="1759"/>
    <s v="Property 1759"/>
    <x v="2"/>
    <x v="2"/>
    <n v="952267"/>
    <d v="2024-11-18T00:00:00"/>
    <x v="1"/>
    <m/>
    <n v="2133"/>
    <x v="1"/>
    <n v="6"/>
    <n v="2"/>
    <x v="3"/>
    <n v="2016"/>
    <n v="6"/>
    <n v="3"/>
    <x v="9"/>
    <s v="555-6090"/>
    <x v="1"/>
    <s v="Barn|Gym|Sauna|Fireplace"/>
  </r>
  <r>
    <n v="1760"/>
    <s v="Property 1760"/>
    <x v="0"/>
    <x v="1"/>
    <n v="523177"/>
    <d v="2024-04-23T00:00:00"/>
    <x v="1"/>
    <m/>
    <n v="4652"/>
    <x v="1"/>
    <n v="4"/>
    <n v="3"/>
    <x v="0"/>
    <n v="2002"/>
    <m/>
    <n v="4"/>
    <x v="3"/>
    <s v="555-3333"/>
    <x v="1"/>
    <s v="Fireplace|Garage"/>
  </r>
  <r>
    <n v="1761"/>
    <s v="Property 1761"/>
    <x v="4"/>
    <x v="2"/>
    <n v="526143"/>
    <d v="2024-11-18T00:00:00"/>
    <x v="160"/>
    <n v="554047"/>
    <n v="2791"/>
    <x v="380"/>
    <n v="4"/>
    <n v="3"/>
    <x v="3"/>
    <n v="2004"/>
    <n v="10"/>
    <n v="2"/>
    <x v="6"/>
    <s v="555-6540"/>
    <x v="0"/>
    <s v="Fireplace|Garage"/>
  </r>
  <r>
    <n v="1762"/>
    <s v="Property 1762"/>
    <x v="1"/>
    <x v="1"/>
    <n v="341823"/>
    <d v="2024-06-23T00:00:00"/>
    <x v="1"/>
    <m/>
    <n v="1442"/>
    <x v="1"/>
    <n v="6"/>
    <n v="3"/>
    <x v="1"/>
    <n v="2004"/>
    <n v="7"/>
    <n v="2"/>
    <x v="2"/>
    <s v="555-3939"/>
    <x v="1"/>
    <s v="Sauna|Pool|Elevator|Fireplace"/>
  </r>
  <r>
    <n v="1763"/>
    <s v="Property 1763"/>
    <x v="3"/>
    <x v="1"/>
    <n v="598346"/>
    <d v="2024-02-22T00:00:00"/>
    <x v="234"/>
    <n v="635987"/>
    <n v="3375"/>
    <x v="381"/>
    <n v="5"/>
    <n v="2"/>
    <x v="1"/>
    <n v="2019"/>
    <n v="4"/>
    <n v="2"/>
    <x v="7"/>
    <s v="555-7604"/>
    <x v="0"/>
    <s v="Gym|Elevator"/>
  </r>
  <r>
    <n v="1764"/>
    <s v="Property 1764"/>
    <x v="0"/>
    <x v="1"/>
    <n v="881511"/>
    <d v="2024-01-17T00:00:00"/>
    <x v="1"/>
    <m/>
    <n v="3813"/>
    <x v="1"/>
    <n v="4"/>
    <n v="3"/>
    <x v="2"/>
    <n v="2019"/>
    <n v="1"/>
    <n v="1"/>
    <x v="1"/>
    <s v="555-5612"/>
    <x v="1"/>
    <s v="Fireplace|Barn|Sauna|Gym"/>
  </r>
  <r>
    <n v="1765"/>
    <s v="Property 1765"/>
    <x v="4"/>
    <x v="2"/>
    <n v="545352"/>
    <d v="2024-02-17T00:00:00"/>
    <x v="35"/>
    <n v="568106"/>
    <n v="3963"/>
    <x v="382"/>
    <n v="4"/>
    <n v="2"/>
    <x v="2"/>
    <n v="2019"/>
    <n v="2"/>
    <n v="1"/>
    <x v="0"/>
    <s v="555-4442"/>
    <x v="0"/>
    <s v="Pool|Fireplace|Barn"/>
  </r>
  <r>
    <n v="1766"/>
    <s v="Property 1766"/>
    <x v="4"/>
    <x v="1"/>
    <n v="839153"/>
    <d v="2024-06-09T00:00:00"/>
    <x v="189"/>
    <n v="870304"/>
    <n v="2795"/>
    <x v="383"/>
    <n v="2"/>
    <n v="4"/>
    <x v="1"/>
    <n v="2004"/>
    <n v="6"/>
    <n v="2"/>
    <x v="2"/>
    <s v="555-5416"/>
    <x v="0"/>
    <s v="Elevator|Garden"/>
  </r>
  <r>
    <n v="1767"/>
    <s v="Property 1767"/>
    <x v="3"/>
    <x v="0"/>
    <n v="903126"/>
    <d v="2024-10-13T00:00:00"/>
    <x v="1"/>
    <m/>
    <n v="3665"/>
    <x v="1"/>
    <n v="2"/>
    <n v="5"/>
    <x v="0"/>
    <n v="2021"/>
    <m/>
    <n v="3"/>
    <x v="9"/>
    <s v="555-7409"/>
    <x v="1"/>
    <s v="Sauna"/>
  </r>
  <r>
    <n v="1768"/>
    <s v="Property 1768"/>
    <x v="4"/>
    <x v="2"/>
    <n v="453347"/>
    <d v="2024-09-04T00:00:00"/>
    <x v="1"/>
    <m/>
    <n v="1534"/>
    <x v="1"/>
    <n v="4"/>
    <n v="2"/>
    <x v="1"/>
    <n v="2019"/>
    <n v="1"/>
    <n v="2"/>
    <x v="3"/>
    <s v="555-1235"/>
    <x v="1"/>
    <s v="Gym"/>
  </r>
  <r>
    <n v="1769"/>
    <s v="Property 1769"/>
    <x v="0"/>
    <x v="1"/>
    <n v="674761"/>
    <d v="2024-05-24T00:00:00"/>
    <x v="81"/>
    <n v="708711"/>
    <n v="3484"/>
    <x v="384"/>
    <n v="6"/>
    <n v="2"/>
    <x v="3"/>
    <n v="2016"/>
    <n v="8"/>
    <n v="3"/>
    <x v="9"/>
    <s v="555-9563"/>
    <x v="0"/>
    <s v="Pool|Elevator|Sauna|Barn"/>
  </r>
  <r>
    <n v="1770"/>
    <s v="Property 1770"/>
    <x v="3"/>
    <x v="0"/>
    <n v="871186"/>
    <d v="2024-01-13T00:00:00"/>
    <x v="1"/>
    <m/>
    <n v="4601"/>
    <x v="1"/>
    <n v="3"/>
    <n v="2"/>
    <x v="3"/>
    <n v="2002"/>
    <n v="9"/>
    <n v="3"/>
    <x v="9"/>
    <s v="555-7030"/>
    <x v="1"/>
    <s v="Gym"/>
  </r>
  <r>
    <n v="1771"/>
    <s v="Property 1771"/>
    <x v="0"/>
    <x v="1"/>
    <n v="956211"/>
    <d v="2024-04-29T00:00:00"/>
    <x v="1"/>
    <m/>
    <n v="3154"/>
    <x v="1"/>
    <n v="6"/>
    <n v="5"/>
    <x v="1"/>
    <n v="2007"/>
    <n v="7"/>
    <n v="3"/>
    <x v="3"/>
    <s v="555-2281"/>
    <x v="1"/>
    <s v="Gym|Garage"/>
  </r>
  <r>
    <n v="1772"/>
    <s v="Property 1772"/>
    <x v="2"/>
    <x v="0"/>
    <n v="398925"/>
    <d v="2024-12-03T00:00:00"/>
    <x v="105"/>
    <n v="439763"/>
    <n v="3937"/>
    <x v="385"/>
    <n v="3"/>
    <n v="2"/>
    <x v="2"/>
    <n v="2003"/>
    <n v="6"/>
    <n v="1"/>
    <x v="5"/>
    <s v="555-2009"/>
    <x v="0"/>
    <s v="Fireplace|Garden|Gym"/>
  </r>
  <r>
    <n v="1773"/>
    <s v="Property 1773"/>
    <x v="3"/>
    <x v="1"/>
    <n v="614409"/>
    <d v="2024-03-17T00:00:00"/>
    <x v="7"/>
    <n v="662386"/>
    <n v="3192"/>
    <x v="386"/>
    <n v="5"/>
    <n v="3"/>
    <x v="1"/>
    <n v="2006"/>
    <n v="6"/>
    <n v="1"/>
    <x v="8"/>
    <s v="555-5669"/>
    <x v="0"/>
    <s v="Barn|Garden|Gym|Pool"/>
  </r>
  <r>
    <n v="1774"/>
    <s v="Property 1774"/>
    <x v="2"/>
    <x v="0"/>
    <n v="500013"/>
    <d v="2024-09-21T00:00:00"/>
    <x v="215"/>
    <n v="526181"/>
    <n v="2175"/>
    <x v="387"/>
    <n v="4"/>
    <n v="2"/>
    <x v="1"/>
    <n v="2014"/>
    <n v="5"/>
    <n v="2"/>
    <x v="9"/>
    <s v="555-5385"/>
    <x v="0"/>
    <s v="Fireplace"/>
  </r>
  <r>
    <n v="1775"/>
    <s v="Property 1775"/>
    <x v="1"/>
    <x v="1"/>
    <n v="892216"/>
    <d v="2024-08-03T00:00:00"/>
    <x v="1"/>
    <m/>
    <n v="3706"/>
    <x v="1"/>
    <n v="4"/>
    <n v="2"/>
    <x v="1"/>
    <n v="2014"/>
    <n v="5"/>
    <n v="3"/>
    <x v="9"/>
    <s v="555-5745"/>
    <x v="1"/>
    <s v="Garage|Fireplace|Sauna"/>
  </r>
  <r>
    <n v="1776"/>
    <s v="Property 1776"/>
    <x v="0"/>
    <x v="0"/>
    <n v="661043"/>
    <d v="2024-04-01T00:00:00"/>
    <x v="235"/>
    <n v="693056"/>
    <n v="1852"/>
    <x v="388"/>
    <n v="5"/>
    <n v="3"/>
    <x v="0"/>
    <n v="2016"/>
    <m/>
    <n v="1"/>
    <x v="0"/>
    <s v="555-9286"/>
    <x v="0"/>
    <s v="Pool|Garden|Gym"/>
  </r>
  <r>
    <n v="1777"/>
    <s v="Property 1777"/>
    <x v="1"/>
    <x v="1"/>
    <n v="632819"/>
    <d v="2024-07-05T00:00:00"/>
    <x v="1"/>
    <m/>
    <n v="2226"/>
    <x v="1"/>
    <n v="5"/>
    <n v="2"/>
    <x v="1"/>
    <n v="2010"/>
    <n v="9"/>
    <n v="2"/>
    <x v="3"/>
    <s v="555-8133"/>
    <x v="1"/>
    <s v="Pool|Sauna"/>
  </r>
  <r>
    <n v="1778"/>
    <s v="Property 1778"/>
    <x v="1"/>
    <x v="0"/>
    <n v="557803"/>
    <d v="2024-04-28T00:00:00"/>
    <x v="112"/>
    <n v="600099"/>
    <n v="3773"/>
    <x v="389"/>
    <n v="2"/>
    <n v="4"/>
    <x v="0"/>
    <n v="2010"/>
    <m/>
    <n v="3"/>
    <x v="5"/>
    <s v="555-6280"/>
    <x v="0"/>
    <s v="Fireplace|Elevator|Sauna|Garage"/>
  </r>
  <r>
    <n v="1779"/>
    <s v="Property 1779"/>
    <x v="3"/>
    <x v="0"/>
    <n v="359511"/>
    <d v="2024-08-08T00:00:00"/>
    <x v="1"/>
    <m/>
    <n v="2585"/>
    <x v="1"/>
    <n v="4"/>
    <n v="2"/>
    <x v="3"/>
    <n v="2001"/>
    <n v="10"/>
    <n v="3"/>
    <x v="7"/>
    <s v="555-5952"/>
    <x v="1"/>
    <s v="Elevator|Gym|Garden|Sauna"/>
  </r>
  <r>
    <n v="1780"/>
    <s v="Property 1780"/>
    <x v="1"/>
    <x v="2"/>
    <n v="473884"/>
    <d v="2024-08-28T00:00:00"/>
    <x v="83"/>
    <n v="508213"/>
    <n v="1202"/>
    <x v="390"/>
    <n v="4"/>
    <n v="2"/>
    <x v="1"/>
    <n v="2019"/>
    <n v="6"/>
    <n v="1"/>
    <x v="8"/>
    <s v="555-5251"/>
    <x v="0"/>
    <s v="Garage|Garden|Elevator"/>
  </r>
  <r>
    <n v="1781"/>
    <s v="Property 1781"/>
    <x v="0"/>
    <x v="1"/>
    <n v="479366"/>
    <d v="2024-12-07T00:00:00"/>
    <x v="236"/>
    <n v="514044"/>
    <n v="4200"/>
    <x v="391"/>
    <n v="4"/>
    <n v="2"/>
    <x v="3"/>
    <n v="2019"/>
    <n v="9"/>
    <n v="4"/>
    <x v="7"/>
    <s v="555-3825"/>
    <x v="0"/>
    <s v="Garden|Pool"/>
  </r>
  <r>
    <n v="1782"/>
    <s v="Property 1782"/>
    <x v="0"/>
    <x v="1"/>
    <n v="347255"/>
    <d v="2024-06-09T00:00:00"/>
    <x v="1"/>
    <m/>
    <n v="4347"/>
    <x v="1"/>
    <n v="4"/>
    <n v="5"/>
    <x v="0"/>
    <n v="2003"/>
    <m/>
    <n v="4"/>
    <x v="0"/>
    <s v="555-1634"/>
    <x v="1"/>
    <s v="Garage|Sauna|Pool|Elevator"/>
  </r>
  <r>
    <n v="1783"/>
    <s v="Property 1783"/>
    <x v="4"/>
    <x v="2"/>
    <n v="559535"/>
    <d v="2024-11-10T00:00:00"/>
    <x v="1"/>
    <m/>
    <n v="1650"/>
    <x v="1"/>
    <n v="2"/>
    <n v="3"/>
    <x v="0"/>
    <n v="2017"/>
    <m/>
    <n v="2"/>
    <x v="1"/>
    <s v="555-2724"/>
    <x v="1"/>
    <s v="Garden|Gym|Sauna|Pool"/>
  </r>
  <r>
    <n v="1784"/>
    <s v="Property 1784"/>
    <x v="3"/>
    <x v="1"/>
    <n v="543400"/>
    <d v="2024-06-11T00:00:00"/>
    <x v="1"/>
    <m/>
    <n v="1839"/>
    <x v="1"/>
    <n v="6"/>
    <n v="5"/>
    <x v="2"/>
    <n v="2001"/>
    <n v="8"/>
    <n v="3"/>
    <x v="8"/>
    <s v="555-4976"/>
    <x v="1"/>
    <s v="Garden|Sauna|Elevator"/>
  </r>
  <r>
    <n v="1785"/>
    <s v="Property 1785"/>
    <x v="4"/>
    <x v="1"/>
    <n v="705324"/>
    <d v="2024-08-19T00:00:00"/>
    <x v="228"/>
    <n v="715574"/>
    <n v="2230"/>
    <x v="392"/>
    <n v="5"/>
    <n v="5"/>
    <x v="0"/>
    <n v="2010"/>
    <m/>
    <n v="2"/>
    <x v="9"/>
    <s v="555-5896"/>
    <x v="0"/>
    <s v="Garden"/>
  </r>
  <r>
    <n v="1786"/>
    <s v="Property 1786"/>
    <x v="0"/>
    <x v="1"/>
    <n v="817801"/>
    <d v="2024-04-25T00:00:00"/>
    <x v="60"/>
    <n v="866246"/>
    <n v="3704"/>
    <x v="393"/>
    <n v="5"/>
    <n v="3"/>
    <x v="0"/>
    <n v="2006"/>
    <m/>
    <n v="1"/>
    <x v="7"/>
    <s v="555-8628"/>
    <x v="0"/>
    <s v="Garden|Pool"/>
  </r>
  <r>
    <n v="1787"/>
    <s v="Property 1787"/>
    <x v="2"/>
    <x v="0"/>
    <n v="704678"/>
    <d v="2024-08-16T00:00:00"/>
    <x v="120"/>
    <n v="743698"/>
    <n v="2264"/>
    <x v="394"/>
    <n v="3"/>
    <n v="4"/>
    <x v="2"/>
    <n v="2019"/>
    <n v="2"/>
    <n v="2"/>
    <x v="2"/>
    <s v="555-5180"/>
    <x v="0"/>
    <s v="Garden|Pool"/>
  </r>
  <r>
    <n v="1788"/>
    <s v="Property 1788"/>
    <x v="0"/>
    <x v="2"/>
    <n v="748178"/>
    <d v="2024-08-31T00:00:00"/>
    <x v="150"/>
    <n v="771317"/>
    <n v="4121"/>
    <x v="395"/>
    <n v="2"/>
    <n v="5"/>
    <x v="1"/>
    <n v="2004"/>
    <n v="1"/>
    <n v="4"/>
    <x v="6"/>
    <s v="555-3873"/>
    <x v="0"/>
    <s v="Barn"/>
  </r>
  <r>
    <n v="1789"/>
    <s v="Property 1789"/>
    <x v="2"/>
    <x v="0"/>
    <n v="946831"/>
    <d v="2024-03-07T00:00:00"/>
    <x v="190"/>
    <n v="976857"/>
    <n v="4300"/>
    <x v="396"/>
    <n v="2"/>
    <n v="4"/>
    <x v="2"/>
    <n v="2000"/>
    <n v="8"/>
    <n v="1"/>
    <x v="5"/>
    <s v="555-4842"/>
    <x v="0"/>
    <s v="Pool|Fireplace"/>
  </r>
  <r>
    <n v="1790"/>
    <s v="Property 1790"/>
    <x v="1"/>
    <x v="0"/>
    <n v="978901"/>
    <d v="2024-01-21T00:00:00"/>
    <x v="1"/>
    <m/>
    <n v="2534"/>
    <x v="1"/>
    <n v="4"/>
    <n v="2"/>
    <x v="3"/>
    <n v="2009"/>
    <n v="7"/>
    <n v="3"/>
    <x v="2"/>
    <s v="555-1272"/>
    <x v="1"/>
    <s v="Gym|Pool"/>
  </r>
  <r>
    <n v="1791"/>
    <s v="Property 1791"/>
    <x v="2"/>
    <x v="1"/>
    <n v="777087"/>
    <d v="2024-06-02T00:00:00"/>
    <x v="6"/>
    <n v="810049"/>
    <n v="3268"/>
    <x v="397"/>
    <n v="4"/>
    <n v="3"/>
    <x v="0"/>
    <n v="2014"/>
    <m/>
    <n v="4"/>
    <x v="4"/>
    <s v="555-1185"/>
    <x v="0"/>
    <s v="Gym|Garden|Garage|Barn"/>
  </r>
  <r>
    <n v="1792"/>
    <s v="Property 1792"/>
    <x v="0"/>
    <x v="2"/>
    <n v="510291"/>
    <d v="2024-01-18T00:00:00"/>
    <x v="117"/>
    <n v="527328"/>
    <n v="1972"/>
    <x v="398"/>
    <n v="6"/>
    <n v="5"/>
    <x v="3"/>
    <n v="2023"/>
    <n v="5"/>
    <n v="2"/>
    <x v="4"/>
    <s v="555-1865"/>
    <x v="0"/>
    <s v="Pool"/>
  </r>
  <r>
    <n v="1793"/>
    <s v="Property 1793"/>
    <x v="4"/>
    <x v="2"/>
    <n v="622296"/>
    <d v="2024-11-05T00:00:00"/>
    <x v="1"/>
    <m/>
    <n v="3281"/>
    <x v="1"/>
    <n v="6"/>
    <n v="4"/>
    <x v="3"/>
    <n v="2021"/>
    <n v="2"/>
    <n v="4"/>
    <x v="2"/>
    <s v="555-2116"/>
    <x v="1"/>
    <s v="Garage|Garden|Barn"/>
  </r>
  <r>
    <n v="1794"/>
    <s v="Property 1794"/>
    <x v="4"/>
    <x v="0"/>
    <n v="922015"/>
    <d v="2024-10-06T00:00:00"/>
    <x v="166"/>
    <n v="963265"/>
    <n v="4000"/>
    <x v="399"/>
    <n v="5"/>
    <n v="2"/>
    <x v="3"/>
    <n v="2004"/>
    <n v="8"/>
    <n v="1"/>
    <x v="0"/>
    <s v="555-3549"/>
    <x v="0"/>
    <s v="Fireplace|Garage"/>
  </r>
  <r>
    <n v="1795"/>
    <s v="Property 1795"/>
    <x v="2"/>
    <x v="1"/>
    <n v="955981"/>
    <d v="2024-11-03T00:00:00"/>
    <x v="1"/>
    <m/>
    <n v="2499"/>
    <x v="1"/>
    <n v="4"/>
    <n v="3"/>
    <x v="0"/>
    <n v="2009"/>
    <m/>
    <n v="3"/>
    <x v="2"/>
    <s v="555-7885"/>
    <x v="1"/>
    <s v="Garden|Garage|Elevator|Sauna"/>
  </r>
  <r>
    <n v="1796"/>
    <s v="Property 1796"/>
    <x v="2"/>
    <x v="2"/>
    <n v="974806"/>
    <d v="2024-09-14T00:00:00"/>
    <x v="1"/>
    <m/>
    <n v="3784"/>
    <x v="1"/>
    <n v="4"/>
    <n v="5"/>
    <x v="1"/>
    <n v="2021"/>
    <n v="6"/>
    <n v="3"/>
    <x v="3"/>
    <s v="555-6707"/>
    <x v="1"/>
    <s v="Gym|Garden|Sauna|Barn"/>
  </r>
  <r>
    <n v="1797"/>
    <s v="Property 1797"/>
    <x v="4"/>
    <x v="1"/>
    <n v="922145"/>
    <d v="2024-12-01T00:00:00"/>
    <x v="1"/>
    <m/>
    <n v="4854"/>
    <x v="1"/>
    <n v="3"/>
    <n v="5"/>
    <x v="0"/>
    <n v="2018"/>
    <m/>
    <n v="2"/>
    <x v="6"/>
    <s v="555-5991"/>
    <x v="1"/>
    <s v="Elevator|Sauna|Pool|Fireplace"/>
  </r>
  <r>
    <n v="1798"/>
    <s v="Property 1798"/>
    <x v="2"/>
    <x v="0"/>
    <n v="861153"/>
    <d v="2024-02-10T00:00:00"/>
    <x v="237"/>
    <n v="883616"/>
    <n v="1084"/>
    <x v="400"/>
    <n v="6"/>
    <n v="2"/>
    <x v="2"/>
    <n v="2003"/>
    <n v="2"/>
    <n v="4"/>
    <x v="5"/>
    <s v="555-7107"/>
    <x v="0"/>
    <s v="Gym|Sauna|Fireplace|Barn"/>
  </r>
  <r>
    <n v="1799"/>
    <s v="Property 1799"/>
    <x v="0"/>
    <x v="0"/>
    <n v="328356"/>
    <d v="2024-12-05T00:00:00"/>
    <x v="64"/>
    <n v="364802"/>
    <n v="2286"/>
    <x v="401"/>
    <n v="6"/>
    <n v="3"/>
    <x v="3"/>
    <n v="2014"/>
    <n v="7"/>
    <n v="2"/>
    <x v="3"/>
    <s v="555-8968"/>
    <x v="0"/>
    <s v="Gym|Garage|Fireplace"/>
  </r>
  <r>
    <n v="1800"/>
    <s v="Property 1800"/>
    <x v="4"/>
    <x v="2"/>
    <n v="920520"/>
    <d v="2024-01-28T00:00:00"/>
    <x v="1"/>
    <m/>
    <n v="2891"/>
    <x v="1"/>
    <n v="3"/>
    <n v="2"/>
    <x v="1"/>
    <n v="2021"/>
    <n v="9"/>
    <n v="1"/>
    <x v="5"/>
    <s v="555-7227"/>
    <x v="1"/>
    <s v="Garage|Gym|Barn|Sauna"/>
  </r>
  <r>
    <n v="1801"/>
    <s v="Property 1801"/>
    <x v="3"/>
    <x v="1"/>
    <n v="685560"/>
    <d v="2024-10-13T00:00:00"/>
    <x v="1"/>
    <m/>
    <n v="3142"/>
    <x v="1"/>
    <n v="4"/>
    <n v="2"/>
    <x v="2"/>
    <n v="2011"/>
    <n v="1"/>
    <n v="2"/>
    <x v="7"/>
    <s v="555-7943"/>
    <x v="1"/>
    <s v="Garden|Elevator|Fireplace"/>
  </r>
  <r>
    <n v="1802"/>
    <s v="Property 1802"/>
    <x v="1"/>
    <x v="1"/>
    <n v="367911"/>
    <d v="2024-05-30T00:00:00"/>
    <x v="119"/>
    <n v="395583"/>
    <n v="1402"/>
    <x v="402"/>
    <n v="3"/>
    <n v="2"/>
    <x v="2"/>
    <n v="2021"/>
    <n v="6"/>
    <n v="2"/>
    <x v="9"/>
    <s v="555-7247"/>
    <x v="0"/>
    <s v="Gym|Sauna|Elevator|Garage"/>
  </r>
  <r>
    <n v="1803"/>
    <s v="Property 1803"/>
    <x v="4"/>
    <x v="1"/>
    <n v="790746"/>
    <d v="2024-09-26T00:00:00"/>
    <x v="238"/>
    <n v="831839"/>
    <n v="3983"/>
    <x v="403"/>
    <n v="4"/>
    <n v="2"/>
    <x v="1"/>
    <n v="2016"/>
    <n v="5"/>
    <n v="3"/>
    <x v="9"/>
    <s v="555-1002"/>
    <x v="0"/>
    <s v="Fireplace|Sauna|Barn|Gym"/>
  </r>
  <r>
    <n v="1804"/>
    <s v="Property 1804"/>
    <x v="0"/>
    <x v="2"/>
    <n v="409384"/>
    <d v="2024-11-12T00:00:00"/>
    <x v="239"/>
    <n v="440972"/>
    <n v="3226"/>
    <x v="404"/>
    <n v="2"/>
    <n v="3"/>
    <x v="2"/>
    <n v="2000"/>
    <n v="1"/>
    <n v="4"/>
    <x v="7"/>
    <s v="555-5099"/>
    <x v="0"/>
    <s v="Barn|Garage"/>
  </r>
  <r>
    <n v="1805"/>
    <s v="Property 1805"/>
    <x v="2"/>
    <x v="2"/>
    <n v="565849"/>
    <d v="2024-10-24T00:00:00"/>
    <x v="225"/>
    <n v="584822"/>
    <n v="4735"/>
    <x v="405"/>
    <n v="5"/>
    <n v="5"/>
    <x v="2"/>
    <n v="2006"/>
    <n v="8"/>
    <n v="2"/>
    <x v="7"/>
    <s v="555-4281"/>
    <x v="0"/>
    <s v="Pool"/>
  </r>
  <r>
    <n v="1806"/>
    <s v="Property 1806"/>
    <x v="3"/>
    <x v="2"/>
    <n v="617071"/>
    <d v="2024-07-26T00:00:00"/>
    <x v="1"/>
    <m/>
    <n v="2332"/>
    <x v="1"/>
    <n v="4"/>
    <n v="2"/>
    <x v="1"/>
    <n v="2001"/>
    <n v="6"/>
    <n v="3"/>
    <x v="5"/>
    <s v="555-8039"/>
    <x v="1"/>
    <s v="Sauna|Garden"/>
  </r>
  <r>
    <n v="1807"/>
    <s v="Property 1807"/>
    <x v="3"/>
    <x v="0"/>
    <n v="345676"/>
    <d v="2024-07-27T00:00:00"/>
    <x v="240"/>
    <n v="393411"/>
    <n v="1309"/>
    <x v="406"/>
    <n v="6"/>
    <n v="2"/>
    <x v="2"/>
    <n v="2004"/>
    <n v="5"/>
    <n v="4"/>
    <x v="0"/>
    <s v="555-9892"/>
    <x v="0"/>
    <s v="Elevator|Garden|Barn"/>
  </r>
  <r>
    <n v="1808"/>
    <s v="Property 1808"/>
    <x v="2"/>
    <x v="0"/>
    <n v="724124"/>
    <d v="2024-01-15T00:00:00"/>
    <x v="169"/>
    <n v="737336"/>
    <n v="3484"/>
    <x v="407"/>
    <n v="3"/>
    <n v="4"/>
    <x v="0"/>
    <n v="2023"/>
    <m/>
    <n v="3"/>
    <x v="3"/>
    <s v="555-2111"/>
    <x v="0"/>
    <s v="Barn|Fireplace|Garage|Garden"/>
  </r>
  <r>
    <n v="1809"/>
    <s v="Property 1809"/>
    <x v="0"/>
    <x v="2"/>
    <n v="658748"/>
    <d v="2024-08-15T00:00:00"/>
    <x v="1"/>
    <m/>
    <n v="3444"/>
    <x v="1"/>
    <n v="2"/>
    <n v="5"/>
    <x v="1"/>
    <n v="2018"/>
    <n v="6"/>
    <n v="1"/>
    <x v="5"/>
    <s v="555-7884"/>
    <x v="1"/>
    <s v="Barn|Fireplace|Sauna"/>
  </r>
  <r>
    <n v="1810"/>
    <s v="Property 1810"/>
    <x v="2"/>
    <x v="0"/>
    <n v="828713"/>
    <d v="2023-12-22T00:00:00"/>
    <x v="133"/>
    <n v="839864"/>
    <n v="1348"/>
    <x v="408"/>
    <n v="6"/>
    <n v="2"/>
    <x v="3"/>
    <n v="2019"/>
    <n v="3"/>
    <n v="3"/>
    <x v="9"/>
    <s v="555-2663"/>
    <x v="0"/>
    <s v="Gym"/>
  </r>
  <r>
    <n v="1811"/>
    <s v="Property 1811"/>
    <x v="2"/>
    <x v="2"/>
    <n v="973184"/>
    <d v="2024-01-12T00:00:00"/>
    <x v="1"/>
    <m/>
    <n v="2265"/>
    <x v="1"/>
    <n v="6"/>
    <n v="4"/>
    <x v="1"/>
    <n v="2007"/>
    <n v="6"/>
    <n v="4"/>
    <x v="2"/>
    <s v="555-3875"/>
    <x v="1"/>
    <s v="Garden"/>
  </r>
  <r>
    <n v="1812"/>
    <s v="Property 1812"/>
    <x v="2"/>
    <x v="2"/>
    <n v="739269"/>
    <d v="2024-07-10T00:00:00"/>
    <x v="241"/>
    <n v="787890"/>
    <n v="2163"/>
    <x v="409"/>
    <n v="6"/>
    <n v="2"/>
    <x v="1"/>
    <n v="2003"/>
    <n v="9"/>
    <n v="4"/>
    <x v="4"/>
    <s v="555-9510"/>
    <x v="0"/>
    <s v="Fireplace|Garden"/>
  </r>
  <r>
    <n v="1813"/>
    <s v="Property 1813"/>
    <x v="2"/>
    <x v="0"/>
    <n v="991886"/>
    <d v="2024-08-03T00:00:00"/>
    <x v="242"/>
    <n v="1014820"/>
    <n v="3539"/>
    <x v="410"/>
    <n v="3"/>
    <n v="5"/>
    <x v="2"/>
    <n v="2010"/>
    <n v="7"/>
    <n v="2"/>
    <x v="1"/>
    <s v="555-7760"/>
    <x v="0"/>
    <s v="Barn|Garden|Gym"/>
  </r>
  <r>
    <n v="1814"/>
    <s v="Property 1814"/>
    <x v="4"/>
    <x v="1"/>
    <n v="617167"/>
    <d v="2024-09-01T00:00:00"/>
    <x v="86"/>
    <n v="664702"/>
    <n v="3939"/>
    <x v="411"/>
    <n v="6"/>
    <n v="3"/>
    <x v="2"/>
    <n v="2020"/>
    <n v="5"/>
    <n v="4"/>
    <x v="5"/>
    <s v="555-5164"/>
    <x v="0"/>
    <s v="Sauna"/>
  </r>
  <r>
    <n v="1815"/>
    <s v="Property 1815"/>
    <x v="3"/>
    <x v="1"/>
    <n v="343562"/>
    <d v="2024-04-21T00:00:00"/>
    <x v="1"/>
    <m/>
    <n v="1773"/>
    <x v="1"/>
    <n v="4"/>
    <n v="3"/>
    <x v="2"/>
    <n v="2006"/>
    <n v="9"/>
    <n v="2"/>
    <x v="2"/>
    <s v="555-9200"/>
    <x v="1"/>
    <s v="Garden|Elevator|Barn|Fireplace"/>
  </r>
  <r>
    <n v="1816"/>
    <s v="Property 1816"/>
    <x v="0"/>
    <x v="0"/>
    <n v="779639"/>
    <d v="2024-06-18T00:00:00"/>
    <x v="243"/>
    <n v="825285"/>
    <n v="1987"/>
    <x v="412"/>
    <n v="3"/>
    <n v="3"/>
    <x v="3"/>
    <n v="2008"/>
    <n v="8"/>
    <n v="2"/>
    <x v="1"/>
    <s v="555-6642"/>
    <x v="0"/>
    <s v="Gym|Fireplace|Pool|Sauna"/>
  </r>
  <r>
    <n v="1817"/>
    <s v="Property 1817"/>
    <x v="1"/>
    <x v="1"/>
    <n v="599789"/>
    <d v="2024-02-26T00:00:00"/>
    <x v="1"/>
    <m/>
    <n v="2077"/>
    <x v="1"/>
    <n v="2"/>
    <n v="4"/>
    <x v="2"/>
    <n v="2015"/>
    <n v="2"/>
    <n v="1"/>
    <x v="4"/>
    <s v="555-6498"/>
    <x v="1"/>
    <s v="Garden|Fireplace|Gym|Barn"/>
  </r>
  <r>
    <n v="1818"/>
    <s v="Property 1818"/>
    <x v="1"/>
    <x v="1"/>
    <n v="632844"/>
    <d v="2024-05-21T00:00:00"/>
    <x v="1"/>
    <m/>
    <n v="3619"/>
    <x v="1"/>
    <n v="2"/>
    <n v="5"/>
    <x v="2"/>
    <n v="2005"/>
    <n v="6"/>
    <n v="3"/>
    <x v="6"/>
    <s v="555-1456"/>
    <x v="1"/>
    <s v="Elevator|Pool|Sauna|Barn"/>
  </r>
  <r>
    <n v="1819"/>
    <s v="Property 1819"/>
    <x v="0"/>
    <x v="1"/>
    <n v="422440"/>
    <d v="2024-11-20T00:00:00"/>
    <x v="1"/>
    <m/>
    <n v="2844"/>
    <x v="1"/>
    <n v="4"/>
    <n v="4"/>
    <x v="3"/>
    <n v="2021"/>
    <n v="1"/>
    <n v="3"/>
    <x v="3"/>
    <s v="555-6089"/>
    <x v="1"/>
    <s v="Gym|Garage|Elevator"/>
  </r>
  <r>
    <n v="1820"/>
    <s v="Property 1820"/>
    <x v="4"/>
    <x v="1"/>
    <n v="340079"/>
    <d v="2024-11-24T00:00:00"/>
    <x v="1"/>
    <m/>
    <n v="1855"/>
    <x v="1"/>
    <n v="6"/>
    <n v="5"/>
    <x v="0"/>
    <n v="2010"/>
    <m/>
    <n v="3"/>
    <x v="6"/>
    <s v="555-9304"/>
    <x v="1"/>
    <s v="Fireplace|Gym|Garage|Sauna"/>
  </r>
  <r>
    <n v="1821"/>
    <s v="Property 1821"/>
    <x v="1"/>
    <x v="0"/>
    <n v="979874"/>
    <d v="2024-03-13T00:00:00"/>
    <x v="1"/>
    <m/>
    <n v="2632"/>
    <x v="1"/>
    <n v="3"/>
    <n v="2"/>
    <x v="1"/>
    <n v="2004"/>
    <n v="4"/>
    <n v="4"/>
    <x v="7"/>
    <s v="555-5209"/>
    <x v="1"/>
    <s v="Fireplace|Gym|Elevator"/>
  </r>
  <r>
    <n v="1822"/>
    <s v="Property 1822"/>
    <x v="2"/>
    <x v="1"/>
    <n v="992256"/>
    <d v="2024-11-07T00:00:00"/>
    <x v="1"/>
    <m/>
    <n v="4180"/>
    <x v="1"/>
    <n v="2"/>
    <n v="5"/>
    <x v="2"/>
    <n v="2022"/>
    <n v="1"/>
    <n v="4"/>
    <x v="6"/>
    <s v="555-7725"/>
    <x v="1"/>
    <s v="Fireplace|Gym|Garden|Sauna"/>
  </r>
  <r>
    <n v="1823"/>
    <s v="Property 1823"/>
    <x v="0"/>
    <x v="2"/>
    <n v="499105"/>
    <d v="2024-11-27T00:00:00"/>
    <x v="244"/>
    <n v="527824"/>
    <n v="2991"/>
    <x v="413"/>
    <n v="2"/>
    <n v="4"/>
    <x v="3"/>
    <n v="2022"/>
    <n v="9"/>
    <n v="3"/>
    <x v="5"/>
    <s v="555-1438"/>
    <x v="0"/>
    <s v="Sauna|Pool|Garage"/>
  </r>
  <r>
    <n v="1824"/>
    <s v="Property 1824"/>
    <x v="0"/>
    <x v="1"/>
    <n v="308616"/>
    <d v="2024-01-18T00:00:00"/>
    <x v="220"/>
    <n v="357337"/>
    <n v="4543"/>
    <x v="414"/>
    <n v="2"/>
    <n v="4"/>
    <x v="1"/>
    <n v="2008"/>
    <n v="3"/>
    <n v="4"/>
    <x v="1"/>
    <s v="555-8566"/>
    <x v="0"/>
    <s v="Gym"/>
  </r>
  <r>
    <n v="1825"/>
    <s v="Property 1825"/>
    <x v="3"/>
    <x v="0"/>
    <n v="657011"/>
    <d v="2024-11-13T00:00:00"/>
    <x v="234"/>
    <n v="675545"/>
    <n v="1509"/>
    <x v="415"/>
    <n v="3"/>
    <n v="5"/>
    <x v="0"/>
    <n v="2005"/>
    <m/>
    <n v="4"/>
    <x v="9"/>
    <s v="555-5417"/>
    <x v="0"/>
    <s v="Elevator|Barn|Sauna|Pool"/>
  </r>
  <r>
    <n v="1826"/>
    <s v="Property 1826"/>
    <x v="4"/>
    <x v="0"/>
    <n v="512401"/>
    <d v="2024-08-29T00:00:00"/>
    <x v="1"/>
    <m/>
    <n v="3215"/>
    <x v="1"/>
    <n v="2"/>
    <n v="2"/>
    <x v="0"/>
    <n v="2000"/>
    <m/>
    <n v="2"/>
    <x v="4"/>
    <s v="555-2314"/>
    <x v="1"/>
    <s v="Sauna"/>
  </r>
  <r>
    <n v="1827"/>
    <s v="Property 1827"/>
    <x v="2"/>
    <x v="2"/>
    <n v="301838"/>
    <d v="2024-06-12T00:00:00"/>
    <x v="1"/>
    <m/>
    <n v="4226"/>
    <x v="1"/>
    <n v="6"/>
    <n v="5"/>
    <x v="0"/>
    <n v="2020"/>
    <m/>
    <n v="2"/>
    <x v="3"/>
    <s v="555-9077"/>
    <x v="1"/>
    <s v="Fireplace|Elevator"/>
  </r>
  <r>
    <n v="1828"/>
    <s v="Property 1828"/>
    <x v="4"/>
    <x v="0"/>
    <n v="618452"/>
    <d v="2024-03-05T00:00:00"/>
    <x v="220"/>
    <n v="634169"/>
    <n v="3269"/>
    <x v="416"/>
    <n v="4"/>
    <n v="4"/>
    <x v="2"/>
    <n v="2013"/>
    <n v="1"/>
    <n v="1"/>
    <x v="8"/>
    <s v="555-9169"/>
    <x v="0"/>
    <s v="Garden|Pool|Fireplace|Sauna"/>
  </r>
  <r>
    <n v="1829"/>
    <s v="Property 1829"/>
    <x v="1"/>
    <x v="1"/>
    <n v="606327"/>
    <d v="2024-06-28T00:00:00"/>
    <x v="38"/>
    <n v="635960"/>
    <n v="4906"/>
    <x v="417"/>
    <n v="4"/>
    <n v="2"/>
    <x v="2"/>
    <n v="2010"/>
    <n v="10"/>
    <n v="1"/>
    <x v="6"/>
    <s v="555-5646"/>
    <x v="0"/>
    <s v="Elevator|Fireplace"/>
  </r>
  <r>
    <n v="1830"/>
    <s v="Property 1830"/>
    <x v="1"/>
    <x v="1"/>
    <n v="701459"/>
    <d v="2024-02-21T00:00:00"/>
    <x v="87"/>
    <n v="744352"/>
    <n v="1040"/>
    <x v="418"/>
    <n v="3"/>
    <n v="2"/>
    <x v="0"/>
    <n v="2016"/>
    <m/>
    <n v="1"/>
    <x v="3"/>
    <s v="555-5505"/>
    <x v="0"/>
    <s v="Fireplace"/>
  </r>
  <r>
    <n v="1831"/>
    <s v="Property 1831"/>
    <x v="3"/>
    <x v="0"/>
    <n v="822977"/>
    <d v="2024-11-23T00:00:00"/>
    <x v="67"/>
    <n v="867019"/>
    <n v="3769"/>
    <x v="419"/>
    <n v="5"/>
    <n v="5"/>
    <x v="2"/>
    <n v="2013"/>
    <n v="7"/>
    <n v="4"/>
    <x v="4"/>
    <s v="555-6067"/>
    <x v="0"/>
    <s v="Elevator|Fireplace|Gym|Sauna"/>
  </r>
  <r>
    <n v="1832"/>
    <s v="Property 1832"/>
    <x v="3"/>
    <x v="2"/>
    <n v="931845"/>
    <d v="2024-01-04T00:00:00"/>
    <x v="92"/>
    <n v="965111"/>
    <n v="3604"/>
    <x v="420"/>
    <n v="3"/>
    <n v="4"/>
    <x v="2"/>
    <n v="2009"/>
    <n v="8"/>
    <n v="3"/>
    <x v="2"/>
    <s v="555-7975"/>
    <x v="0"/>
    <s v="Garage|Fireplace|Sauna"/>
  </r>
  <r>
    <n v="1833"/>
    <s v="Property 1833"/>
    <x v="2"/>
    <x v="1"/>
    <n v="795677"/>
    <d v="2024-03-20T00:00:00"/>
    <x v="97"/>
    <n v="813220"/>
    <n v="2805"/>
    <x v="421"/>
    <n v="3"/>
    <n v="5"/>
    <x v="3"/>
    <n v="2014"/>
    <n v="9"/>
    <n v="4"/>
    <x v="0"/>
    <s v="555-3951"/>
    <x v="0"/>
    <s v="Barn|Elevator|Gym|Pool"/>
  </r>
  <r>
    <n v="1834"/>
    <s v="Property 1834"/>
    <x v="1"/>
    <x v="2"/>
    <n v="888534"/>
    <d v="2024-07-21T00:00:00"/>
    <x v="245"/>
    <n v="924171"/>
    <n v="3564"/>
    <x v="422"/>
    <n v="6"/>
    <n v="5"/>
    <x v="3"/>
    <n v="2012"/>
    <n v="7"/>
    <n v="3"/>
    <x v="1"/>
    <s v="555-9766"/>
    <x v="0"/>
    <s v="Elevator|Barn|Garden|Gym"/>
  </r>
  <r>
    <n v="1835"/>
    <s v="Property 1835"/>
    <x v="2"/>
    <x v="2"/>
    <n v="903623"/>
    <d v="2024-04-11T00:00:00"/>
    <x v="209"/>
    <n v="931834"/>
    <n v="4987"/>
    <x v="423"/>
    <n v="6"/>
    <n v="2"/>
    <x v="3"/>
    <n v="2015"/>
    <n v="3"/>
    <n v="2"/>
    <x v="0"/>
    <s v="555-1835"/>
    <x v="0"/>
    <s v="Garden"/>
  </r>
  <r>
    <n v="1836"/>
    <s v="Property 1836"/>
    <x v="4"/>
    <x v="0"/>
    <n v="918770"/>
    <d v="2024-08-07T00:00:00"/>
    <x v="1"/>
    <m/>
    <n v="4388"/>
    <x v="1"/>
    <n v="5"/>
    <n v="5"/>
    <x v="3"/>
    <n v="2022"/>
    <n v="3"/>
    <n v="3"/>
    <x v="0"/>
    <s v="555-3783"/>
    <x v="1"/>
    <s v="Pool"/>
  </r>
  <r>
    <n v="1837"/>
    <s v="Property 1837"/>
    <x v="2"/>
    <x v="0"/>
    <n v="999373"/>
    <d v="2024-07-06T00:00:00"/>
    <x v="1"/>
    <m/>
    <n v="1912"/>
    <x v="1"/>
    <n v="3"/>
    <n v="3"/>
    <x v="0"/>
    <n v="2001"/>
    <m/>
    <n v="2"/>
    <x v="4"/>
    <s v="555-5917"/>
    <x v="1"/>
    <s v="Fireplace|Barn|Garage"/>
  </r>
  <r>
    <n v="1838"/>
    <s v="Property 1838"/>
    <x v="0"/>
    <x v="2"/>
    <n v="659147"/>
    <d v="2024-11-01T00:00:00"/>
    <x v="246"/>
    <n v="675181"/>
    <n v="1279"/>
    <x v="424"/>
    <n v="4"/>
    <n v="4"/>
    <x v="0"/>
    <n v="2000"/>
    <m/>
    <n v="1"/>
    <x v="7"/>
    <s v="555-9186"/>
    <x v="0"/>
    <s v="Fireplace"/>
  </r>
  <r>
    <n v="1839"/>
    <s v="Property 1839"/>
    <x v="0"/>
    <x v="0"/>
    <n v="915861"/>
    <d v="2024-10-31T00:00:00"/>
    <x v="1"/>
    <m/>
    <n v="3043"/>
    <x v="1"/>
    <n v="3"/>
    <n v="5"/>
    <x v="3"/>
    <n v="2002"/>
    <n v="7"/>
    <n v="3"/>
    <x v="9"/>
    <s v="555-5536"/>
    <x v="1"/>
    <s v="Garage|Gym|Garden"/>
  </r>
  <r>
    <n v="1840"/>
    <s v="Property 1840"/>
    <x v="0"/>
    <x v="0"/>
    <n v="988481"/>
    <d v="2024-05-13T00:00:00"/>
    <x v="247"/>
    <n v="1010749"/>
    <n v="3510"/>
    <x v="425"/>
    <n v="6"/>
    <n v="5"/>
    <x v="3"/>
    <n v="2010"/>
    <n v="3"/>
    <n v="3"/>
    <x v="0"/>
    <s v="555-9347"/>
    <x v="0"/>
    <s v="Barn"/>
  </r>
  <r>
    <n v="1841"/>
    <s v="Property 1841"/>
    <x v="4"/>
    <x v="0"/>
    <n v="319221"/>
    <d v="2024-09-27T00:00:00"/>
    <x v="248"/>
    <n v="344225"/>
    <n v="1953"/>
    <x v="426"/>
    <n v="5"/>
    <n v="3"/>
    <x v="1"/>
    <n v="2017"/>
    <n v="10"/>
    <n v="2"/>
    <x v="3"/>
    <s v="555-6400"/>
    <x v="0"/>
    <s v="Pool|Gym|Garage|Garden"/>
  </r>
  <r>
    <n v="1842"/>
    <s v="Property 1842"/>
    <x v="0"/>
    <x v="2"/>
    <n v="626661"/>
    <d v="2024-11-20T00:00:00"/>
    <x v="17"/>
    <n v="641425"/>
    <n v="2028"/>
    <x v="427"/>
    <n v="3"/>
    <n v="5"/>
    <x v="2"/>
    <n v="2002"/>
    <n v="4"/>
    <n v="3"/>
    <x v="1"/>
    <s v="555-1688"/>
    <x v="0"/>
    <s v="Fireplace|Garden"/>
  </r>
  <r>
    <n v="1843"/>
    <s v="Property 1843"/>
    <x v="2"/>
    <x v="2"/>
    <n v="353035"/>
    <d v="2024-07-17T00:00:00"/>
    <x v="208"/>
    <n v="364883"/>
    <n v="3704"/>
    <x v="428"/>
    <n v="2"/>
    <n v="4"/>
    <x v="0"/>
    <n v="2008"/>
    <m/>
    <n v="4"/>
    <x v="9"/>
    <s v="555-8301"/>
    <x v="0"/>
    <s v="Garage|Pool|Fireplace|Sauna"/>
  </r>
  <r>
    <n v="1844"/>
    <s v="Property 1844"/>
    <x v="2"/>
    <x v="0"/>
    <n v="683842"/>
    <d v="2024-04-22T00:00:00"/>
    <x v="1"/>
    <m/>
    <n v="3198"/>
    <x v="1"/>
    <n v="3"/>
    <n v="2"/>
    <x v="0"/>
    <n v="2006"/>
    <m/>
    <n v="3"/>
    <x v="7"/>
    <s v="555-1053"/>
    <x v="1"/>
    <s v="Gym|Garage|Elevator"/>
  </r>
  <r>
    <n v="1845"/>
    <s v="Property 1845"/>
    <x v="4"/>
    <x v="0"/>
    <n v="501219"/>
    <d v="2024-10-30T00:00:00"/>
    <x v="1"/>
    <m/>
    <n v="2898"/>
    <x v="1"/>
    <n v="4"/>
    <n v="4"/>
    <x v="0"/>
    <n v="2010"/>
    <m/>
    <n v="4"/>
    <x v="4"/>
    <s v="555-9974"/>
    <x v="1"/>
    <s v="Elevator"/>
  </r>
  <r>
    <n v="1846"/>
    <s v="Property 1846"/>
    <x v="1"/>
    <x v="2"/>
    <n v="957835"/>
    <d v="2024-02-16T00:00:00"/>
    <x v="1"/>
    <m/>
    <n v="1429"/>
    <x v="1"/>
    <n v="6"/>
    <n v="5"/>
    <x v="0"/>
    <n v="2004"/>
    <m/>
    <n v="2"/>
    <x v="6"/>
    <s v="555-1981"/>
    <x v="1"/>
    <s v="Gym|Garage|Pool|Barn"/>
  </r>
  <r>
    <n v="1847"/>
    <s v="Property 1847"/>
    <x v="1"/>
    <x v="2"/>
    <n v="828108"/>
    <d v="2024-12-13T00:00:00"/>
    <x v="10"/>
    <n v="858547"/>
    <n v="4370"/>
    <x v="429"/>
    <n v="6"/>
    <n v="2"/>
    <x v="3"/>
    <n v="2003"/>
    <n v="9"/>
    <n v="4"/>
    <x v="6"/>
    <s v="555-6805"/>
    <x v="0"/>
    <s v="Fireplace|Barn|Garden"/>
  </r>
  <r>
    <n v="1848"/>
    <s v="Property 1848"/>
    <x v="0"/>
    <x v="1"/>
    <n v="995224"/>
    <d v="2024-01-31T00:00:00"/>
    <x v="1"/>
    <m/>
    <n v="3786"/>
    <x v="1"/>
    <n v="5"/>
    <n v="4"/>
    <x v="0"/>
    <n v="2002"/>
    <m/>
    <n v="4"/>
    <x v="0"/>
    <s v="555-8669"/>
    <x v="1"/>
    <s v="Barn|Gym"/>
  </r>
  <r>
    <n v="1849"/>
    <s v="Property 1849"/>
    <x v="0"/>
    <x v="0"/>
    <n v="752759"/>
    <d v="2024-02-09T00:00:00"/>
    <x v="157"/>
    <n v="779170"/>
    <n v="1846"/>
    <x v="430"/>
    <n v="6"/>
    <n v="4"/>
    <x v="1"/>
    <n v="2013"/>
    <n v="9"/>
    <n v="2"/>
    <x v="2"/>
    <s v="555-1601"/>
    <x v="0"/>
    <s v="Sauna|Barn"/>
  </r>
  <r>
    <n v="1850"/>
    <s v="Property 1850"/>
    <x v="1"/>
    <x v="0"/>
    <n v="859993"/>
    <d v="2024-07-01T00:00:00"/>
    <x v="1"/>
    <m/>
    <n v="1588"/>
    <x v="1"/>
    <n v="6"/>
    <n v="5"/>
    <x v="0"/>
    <n v="2009"/>
    <m/>
    <n v="3"/>
    <x v="3"/>
    <s v="555-9605"/>
    <x v="1"/>
    <s v="Pool|Garden|Fireplace|Garage"/>
  </r>
  <r>
    <n v="1851"/>
    <s v="Property 1851"/>
    <x v="3"/>
    <x v="1"/>
    <n v="524283"/>
    <d v="2024-08-08T00:00:00"/>
    <x v="1"/>
    <m/>
    <n v="3674"/>
    <x v="1"/>
    <n v="2"/>
    <n v="4"/>
    <x v="0"/>
    <n v="2004"/>
    <m/>
    <n v="1"/>
    <x v="4"/>
    <s v="555-7247"/>
    <x v="1"/>
    <s v="Garage|Barn|Sauna"/>
  </r>
  <r>
    <n v="1852"/>
    <s v="Property 1852"/>
    <x v="3"/>
    <x v="0"/>
    <n v="735090"/>
    <d v="2024-11-24T00:00:00"/>
    <x v="171"/>
    <n v="749017"/>
    <n v="2863"/>
    <x v="431"/>
    <n v="4"/>
    <n v="5"/>
    <x v="1"/>
    <n v="2020"/>
    <n v="9"/>
    <n v="1"/>
    <x v="6"/>
    <s v="555-9373"/>
    <x v="0"/>
    <s v="Fireplace|Elevator"/>
  </r>
  <r>
    <n v="1853"/>
    <s v="Property 1853"/>
    <x v="2"/>
    <x v="0"/>
    <n v="764670"/>
    <d v="2024-07-11T00:00:00"/>
    <x v="1"/>
    <m/>
    <n v="1502"/>
    <x v="1"/>
    <n v="6"/>
    <n v="2"/>
    <x v="1"/>
    <n v="2011"/>
    <n v="6"/>
    <n v="1"/>
    <x v="3"/>
    <s v="555-3029"/>
    <x v="1"/>
    <s v="Barn"/>
  </r>
  <r>
    <n v="1854"/>
    <s v="Property 1854"/>
    <x v="0"/>
    <x v="1"/>
    <n v="508697"/>
    <d v="2024-08-05T00:00:00"/>
    <x v="1"/>
    <m/>
    <n v="3670"/>
    <x v="1"/>
    <n v="3"/>
    <n v="3"/>
    <x v="0"/>
    <n v="2004"/>
    <m/>
    <n v="3"/>
    <x v="6"/>
    <s v="555-2905"/>
    <x v="1"/>
    <s v="Sauna"/>
  </r>
  <r>
    <n v="1855"/>
    <s v="Property 1855"/>
    <x v="4"/>
    <x v="1"/>
    <n v="683146"/>
    <d v="2024-12-04T00:00:00"/>
    <x v="138"/>
    <n v="726495"/>
    <n v="2949"/>
    <x v="432"/>
    <n v="2"/>
    <n v="2"/>
    <x v="3"/>
    <n v="2009"/>
    <n v="1"/>
    <n v="4"/>
    <x v="5"/>
    <s v="555-8826"/>
    <x v="0"/>
    <s v="Gym|Fireplace|Barn|Garden"/>
  </r>
  <r>
    <n v="1856"/>
    <s v="Property 1856"/>
    <x v="4"/>
    <x v="2"/>
    <n v="404137"/>
    <d v="2024-01-15T00:00:00"/>
    <x v="180"/>
    <n v="431937"/>
    <n v="1805"/>
    <x v="433"/>
    <n v="2"/>
    <n v="2"/>
    <x v="2"/>
    <n v="2006"/>
    <n v="5"/>
    <n v="2"/>
    <x v="2"/>
    <s v="555-1907"/>
    <x v="0"/>
    <s v="Garden|Barn|Garage|Pool"/>
  </r>
  <r>
    <n v="1857"/>
    <s v="Property 1857"/>
    <x v="4"/>
    <x v="2"/>
    <n v="918309"/>
    <d v="2024-05-11T00:00:00"/>
    <x v="1"/>
    <m/>
    <n v="3318"/>
    <x v="1"/>
    <n v="3"/>
    <n v="3"/>
    <x v="1"/>
    <n v="2016"/>
    <n v="5"/>
    <n v="4"/>
    <x v="5"/>
    <s v="555-5343"/>
    <x v="1"/>
    <s v="Elevator"/>
  </r>
  <r>
    <n v="1858"/>
    <s v="Property 1858"/>
    <x v="1"/>
    <x v="2"/>
    <n v="927443"/>
    <d v="2024-09-23T00:00:00"/>
    <x v="1"/>
    <m/>
    <n v="1268"/>
    <x v="1"/>
    <n v="3"/>
    <n v="2"/>
    <x v="1"/>
    <n v="2023"/>
    <n v="1"/>
    <n v="3"/>
    <x v="2"/>
    <s v="555-9718"/>
    <x v="1"/>
    <s v="Sauna|Elevator"/>
  </r>
  <r>
    <n v="1859"/>
    <s v="Property 1859"/>
    <x v="1"/>
    <x v="0"/>
    <n v="402396"/>
    <d v="2024-07-18T00:00:00"/>
    <x v="62"/>
    <n v="429678"/>
    <n v="2492"/>
    <x v="434"/>
    <n v="5"/>
    <n v="5"/>
    <x v="3"/>
    <n v="2006"/>
    <n v="7"/>
    <n v="2"/>
    <x v="5"/>
    <s v="555-6494"/>
    <x v="0"/>
    <s v="Fireplace|Elevator|Barn|Pool"/>
  </r>
  <r>
    <n v="1860"/>
    <s v="Property 1860"/>
    <x v="0"/>
    <x v="2"/>
    <n v="512603"/>
    <d v="2024-08-18T00:00:00"/>
    <x v="1"/>
    <m/>
    <n v="3054"/>
    <x v="1"/>
    <n v="4"/>
    <n v="5"/>
    <x v="3"/>
    <n v="2011"/>
    <n v="9"/>
    <n v="3"/>
    <x v="1"/>
    <s v="555-9149"/>
    <x v="1"/>
    <s v="Barn|Garden"/>
  </r>
  <r>
    <n v="1861"/>
    <s v="Property 1861"/>
    <x v="1"/>
    <x v="0"/>
    <n v="491216"/>
    <d v="2024-09-11T00:00:00"/>
    <x v="35"/>
    <n v="530931"/>
    <n v="1434"/>
    <x v="435"/>
    <n v="3"/>
    <n v="4"/>
    <x v="0"/>
    <n v="2005"/>
    <m/>
    <n v="2"/>
    <x v="5"/>
    <s v="555-2587"/>
    <x v="0"/>
    <s v="Gym"/>
  </r>
  <r>
    <n v="1862"/>
    <s v="Property 1862"/>
    <x v="1"/>
    <x v="2"/>
    <n v="746455"/>
    <d v="2024-08-21T00:00:00"/>
    <x v="1"/>
    <m/>
    <n v="3220"/>
    <x v="1"/>
    <n v="6"/>
    <n v="3"/>
    <x v="0"/>
    <n v="2008"/>
    <m/>
    <n v="3"/>
    <x v="7"/>
    <s v="555-8915"/>
    <x v="1"/>
    <s v="Elevator"/>
  </r>
  <r>
    <n v="1863"/>
    <s v="Property 1863"/>
    <x v="1"/>
    <x v="2"/>
    <n v="401394"/>
    <d v="2024-11-17T00:00:00"/>
    <x v="12"/>
    <n v="422231"/>
    <n v="4873"/>
    <x v="436"/>
    <n v="5"/>
    <n v="4"/>
    <x v="2"/>
    <n v="2010"/>
    <n v="8"/>
    <n v="2"/>
    <x v="9"/>
    <s v="555-2242"/>
    <x v="0"/>
    <s v="Elevator|Barn"/>
  </r>
  <r>
    <n v="1864"/>
    <s v="Property 1864"/>
    <x v="1"/>
    <x v="0"/>
    <n v="642890"/>
    <d v="2024-03-18T00:00:00"/>
    <x v="1"/>
    <m/>
    <n v="4864"/>
    <x v="1"/>
    <n v="6"/>
    <n v="2"/>
    <x v="1"/>
    <n v="2005"/>
    <n v="5"/>
    <n v="2"/>
    <x v="5"/>
    <s v="555-1012"/>
    <x v="1"/>
    <s v="Garage"/>
  </r>
  <r>
    <n v="1865"/>
    <s v="Property 1865"/>
    <x v="1"/>
    <x v="2"/>
    <n v="901190"/>
    <d v="2024-11-14T00:00:00"/>
    <x v="1"/>
    <m/>
    <n v="4665"/>
    <x v="1"/>
    <n v="4"/>
    <n v="3"/>
    <x v="3"/>
    <n v="2003"/>
    <n v="2"/>
    <n v="3"/>
    <x v="9"/>
    <s v="555-4502"/>
    <x v="1"/>
    <s v="Elevator"/>
  </r>
  <r>
    <n v="1866"/>
    <s v="Property 1866"/>
    <x v="3"/>
    <x v="2"/>
    <n v="540441"/>
    <d v="2023-12-26T00:00:00"/>
    <x v="1"/>
    <m/>
    <n v="1017"/>
    <x v="1"/>
    <n v="5"/>
    <n v="2"/>
    <x v="3"/>
    <n v="2008"/>
    <n v="10"/>
    <n v="2"/>
    <x v="5"/>
    <s v="555-9619"/>
    <x v="1"/>
    <s v="Sauna"/>
  </r>
  <r>
    <n v="1867"/>
    <s v="Property 1867"/>
    <x v="0"/>
    <x v="1"/>
    <n v="416531"/>
    <d v="2024-09-20T00:00:00"/>
    <x v="249"/>
    <n v="427285"/>
    <n v="2897"/>
    <x v="437"/>
    <n v="3"/>
    <n v="5"/>
    <x v="1"/>
    <n v="2010"/>
    <n v="3"/>
    <n v="3"/>
    <x v="8"/>
    <s v="555-1782"/>
    <x v="0"/>
    <s v="Pool|Garden|Barn|Fireplace"/>
  </r>
  <r>
    <n v="1868"/>
    <s v="Property 1868"/>
    <x v="0"/>
    <x v="0"/>
    <n v="536205"/>
    <d v="2023-12-23T00:00:00"/>
    <x v="1"/>
    <m/>
    <n v="4670"/>
    <x v="1"/>
    <n v="4"/>
    <n v="2"/>
    <x v="3"/>
    <n v="2014"/>
    <n v="9"/>
    <n v="2"/>
    <x v="9"/>
    <s v="555-6295"/>
    <x v="1"/>
    <s v="Gym|Sauna|Garden"/>
  </r>
  <r>
    <n v="1869"/>
    <s v="Property 1869"/>
    <x v="4"/>
    <x v="2"/>
    <n v="976682"/>
    <d v="2023-12-21T00:00:00"/>
    <x v="143"/>
    <n v="1005866"/>
    <n v="2966"/>
    <x v="438"/>
    <n v="6"/>
    <n v="2"/>
    <x v="2"/>
    <n v="2000"/>
    <n v="6"/>
    <n v="2"/>
    <x v="4"/>
    <s v="555-4800"/>
    <x v="0"/>
    <s v="Sauna|Gym|Garden|Elevator"/>
  </r>
  <r>
    <n v="1870"/>
    <s v="Property 1870"/>
    <x v="1"/>
    <x v="0"/>
    <n v="425671"/>
    <d v="2024-03-09T00:00:00"/>
    <x v="1"/>
    <m/>
    <n v="1022"/>
    <x v="1"/>
    <n v="2"/>
    <n v="5"/>
    <x v="3"/>
    <n v="2021"/>
    <n v="4"/>
    <n v="1"/>
    <x v="5"/>
    <s v="555-4364"/>
    <x v="1"/>
    <s v="Pool"/>
  </r>
  <r>
    <n v="1871"/>
    <s v="Property 1871"/>
    <x v="0"/>
    <x v="1"/>
    <n v="482581"/>
    <d v="2024-05-29T00:00:00"/>
    <x v="1"/>
    <m/>
    <n v="1748"/>
    <x v="1"/>
    <n v="2"/>
    <n v="2"/>
    <x v="3"/>
    <n v="2019"/>
    <n v="6"/>
    <n v="1"/>
    <x v="7"/>
    <s v="555-6489"/>
    <x v="1"/>
    <s v="Elevator"/>
  </r>
  <r>
    <n v="1872"/>
    <s v="Property 1872"/>
    <x v="2"/>
    <x v="0"/>
    <n v="375208"/>
    <d v="2024-09-17T00:00:00"/>
    <x v="250"/>
    <n v="421582"/>
    <n v="4318"/>
    <x v="439"/>
    <n v="6"/>
    <n v="5"/>
    <x v="2"/>
    <n v="2009"/>
    <n v="10"/>
    <n v="1"/>
    <x v="9"/>
    <s v="555-8419"/>
    <x v="0"/>
    <s v="Fireplace|Pool"/>
  </r>
  <r>
    <n v="1873"/>
    <s v="Property 1873"/>
    <x v="0"/>
    <x v="0"/>
    <n v="397736"/>
    <d v="2024-11-18T00:00:00"/>
    <x v="1"/>
    <m/>
    <n v="4035"/>
    <x v="1"/>
    <n v="6"/>
    <n v="5"/>
    <x v="3"/>
    <n v="2006"/>
    <n v="4"/>
    <n v="1"/>
    <x v="5"/>
    <s v="555-2368"/>
    <x v="1"/>
    <s v="Barn"/>
  </r>
  <r>
    <n v="1874"/>
    <s v="Property 1874"/>
    <x v="0"/>
    <x v="2"/>
    <n v="669649"/>
    <d v="2023-12-20T00:00:00"/>
    <x v="1"/>
    <m/>
    <n v="2584"/>
    <x v="1"/>
    <n v="3"/>
    <n v="3"/>
    <x v="3"/>
    <n v="2020"/>
    <n v="1"/>
    <n v="3"/>
    <x v="2"/>
    <s v="555-8038"/>
    <x v="1"/>
    <s v="Fireplace|Elevator|Barn|Garden"/>
  </r>
  <r>
    <n v="1875"/>
    <s v="Property 1875"/>
    <x v="1"/>
    <x v="0"/>
    <n v="508224"/>
    <d v="2023-12-27T00:00:00"/>
    <x v="251"/>
    <n v="551190"/>
    <n v="1500"/>
    <x v="440"/>
    <n v="6"/>
    <n v="4"/>
    <x v="3"/>
    <n v="2004"/>
    <n v="1"/>
    <n v="2"/>
    <x v="7"/>
    <s v="555-4683"/>
    <x v="0"/>
    <s v="Sauna"/>
  </r>
  <r>
    <n v="1876"/>
    <s v="Property 1876"/>
    <x v="2"/>
    <x v="2"/>
    <n v="703036"/>
    <d v="2024-04-20T00:00:00"/>
    <x v="177"/>
    <n v="751644"/>
    <n v="4104"/>
    <x v="441"/>
    <n v="4"/>
    <n v="5"/>
    <x v="3"/>
    <n v="2012"/>
    <n v="10"/>
    <n v="4"/>
    <x v="3"/>
    <s v="555-3054"/>
    <x v="0"/>
    <s v="Sauna|Fireplace|Gym"/>
  </r>
  <r>
    <n v="1877"/>
    <s v="Property 1877"/>
    <x v="0"/>
    <x v="2"/>
    <n v="485919"/>
    <d v="2024-09-11T00:00:00"/>
    <x v="222"/>
    <n v="525116"/>
    <n v="3452"/>
    <x v="442"/>
    <n v="4"/>
    <n v="4"/>
    <x v="0"/>
    <n v="2014"/>
    <m/>
    <n v="3"/>
    <x v="1"/>
    <s v="555-1071"/>
    <x v="0"/>
    <s v="Garage"/>
  </r>
  <r>
    <n v="1878"/>
    <s v="Property 1878"/>
    <x v="1"/>
    <x v="0"/>
    <n v="672068"/>
    <d v="2024-09-29T00:00:00"/>
    <x v="61"/>
    <n v="711356"/>
    <n v="2472"/>
    <x v="443"/>
    <n v="5"/>
    <n v="5"/>
    <x v="3"/>
    <n v="2008"/>
    <n v="7"/>
    <n v="3"/>
    <x v="6"/>
    <s v="555-3319"/>
    <x v="0"/>
    <s v="Garage|Elevator"/>
  </r>
  <r>
    <n v="1879"/>
    <s v="Property 1879"/>
    <x v="2"/>
    <x v="1"/>
    <n v="777837"/>
    <d v="2024-05-30T00:00:00"/>
    <x v="252"/>
    <n v="805659"/>
    <n v="1710"/>
    <x v="444"/>
    <n v="4"/>
    <n v="4"/>
    <x v="3"/>
    <n v="2013"/>
    <n v="6"/>
    <n v="4"/>
    <x v="4"/>
    <s v="555-2532"/>
    <x v="0"/>
    <s v="Garage|Garden"/>
  </r>
  <r>
    <n v="1880"/>
    <s v="Property 1880"/>
    <x v="1"/>
    <x v="0"/>
    <n v="419404"/>
    <d v="2024-04-28T00:00:00"/>
    <x v="150"/>
    <n v="450268"/>
    <n v="2000"/>
    <x v="445"/>
    <n v="2"/>
    <n v="3"/>
    <x v="3"/>
    <n v="2005"/>
    <n v="9"/>
    <n v="4"/>
    <x v="2"/>
    <s v="555-2548"/>
    <x v="0"/>
    <s v="Sauna|Garden|Garage|Pool"/>
  </r>
  <r>
    <n v="1881"/>
    <s v="Property 1881"/>
    <x v="1"/>
    <x v="2"/>
    <n v="300892"/>
    <d v="2024-03-07T00:00:00"/>
    <x v="1"/>
    <m/>
    <n v="3738"/>
    <x v="1"/>
    <n v="5"/>
    <n v="5"/>
    <x v="0"/>
    <n v="2020"/>
    <m/>
    <n v="3"/>
    <x v="5"/>
    <s v="555-1483"/>
    <x v="1"/>
    <s v="Pool|Gym"/>
  </r>
  <r>
    <n v="1882"/>
    <s v="Property 1882"/>
    <x v="0"/>
    <x v="2"/>
    <n v="720990"/>
    <d v="2024-04-22T00:00:00"/>
    <x v="1"/>
    <m/>
    <n v="3234"/>
    <x v="1"/>
    <n v="6"/>
    <n v="2"/>
    <x v="2"/>
    <n v="2000"/>
    <n v="2"/>
    <n v="3"/>
    <x v="1"/>
    <s v="555-8970"/>
    <x v="1"/>
    <s v="Garden|Fireplace"/>
  </r>
  <r>
    <n v="1883"/>
    <s v="Property 1883"/>
    <x v="0"/>
    <x v="0"/>
    <n v="307539"/>
    <d v="2024-05-19T00:00:00"/>
    <x v="1"/>
    <m/>
    <n v="2691"/>
    <x v="1"/>
    <n v="6"/>
    <n v="4"/>
    <x v="3"/>
    <n v="2009"/>
    <n v="8"/>
    <n v="1"/>
    <x v="1"/>
    <s v="555-4179"/>
    <x v="1"/>
    <s v="Fireplace|Garden"/>
  </r>
  <r>
    <n v="1884"/>
    <s v="Property 1884"/>
    <x v="3"/>
    <x v="1"/>
    <n v="594124"/>
    <d v="2024-10-01T00:00:00"/>
    <x v="1"/>
    <m/>
    <n v="4881"/>
    <x v="1"/>
    <n v="6"/>
    <n v="4"/>
    <x v="3"/>
    <n v="2021"/>
    <n v="4"/>
    <n v="4"/>
    <x v="7"/>
    <s v="555-2382"/>
    <x v="1"/>
    <s v="Elevator|Pool|Garden|Barn"/>
  </r>
  <r>
    <n v="1885"/>
    <s v="Property 1885"/>
    <x v="0"/>
    <x v="1"/>
    <n v="558888"/>
    <d v="2024-04-15T00:00:00"/>
    <x v="1"/>
    <m/>
    <n v="2407"/>
    <x v="1"/>
    <n v="3"/>
    <n v="3"/>
    <x v="3"/>
    <n v="2012"/>
    <n v="6"/>
    <n v="1"/>
    <x v="4"/>
    <s v="555-5968"/>
    <x v="1"/>
    <s v="Sauna|Gym|Elevator"/>
  </r>
  <r>
    <n v="1886"/>
    <s v="Property 1886"/>
    <x v="0"/>
    <x v="2"/>
    <n v="464706"/>
    <d v="2023-12-19T00:00:00"/>
    <x v="116"/>
    <n v="487434"/>
    <n v="2625"/>
    <x v="446"/>
    <n v="3"/>
    <n v="4"/>
    <x v="3"/>
    <n v="2016"/>
    <n v="10"/>
    <n v="3"/>
    <x v="8"/>
    <s v="555-2932"/>
    <x v="0"/>
    <s v="Gym|Garden|Pool|Elevator"/>
  </r>
  <r>
    <n v="1887"/>
    <s v="Property 1887"/>
    <x v="2"/>
    <x v="0"/>
    <n v="866638"/>
    <d v="2024-08-27T00:00:00"/>
    <x v="1"/>
    <m/>
    <n v="3637"/>
    <x v="1"/>
    <n v="2"/>
    <n v="2"/>
    <x v="3"/>
    <n v="2003"/>
    <n v="10"/>
    <n v="2"/>
    <x v="2"/>
    <s v="555-8318"/>
    <x v="1"/>
    <s v="Gym|Garage|Pool"/>
  </r>
  <r>
    <n v="1888"/>
    <s v="Property 1888"/>
    <x v="4"/>
    <x v="1"/>
    <n v="699291"/>
    <d v="2024-08-13T00:00:00"/>
    <x v="15"/>
    <n v="737804"/>
    <n v="1200"/>
    <x v="447"/>
    <n v="2"/>
    <n v="3"/>
    <x v="3"/>
    <n v="2023"/>
    <n v="9"/>
    <n v="2"/>
    <x v="4"/>
    <s v="555-8604"/>
    <x v="0"/>
    <s v="Garden|Fireplace|Sauna"/>
  </r>
  <r>
    <n v="1889"/>
    <s v="Property 1889"/>
    <x v="4"/>
    <x v="1"/>
    <n v="991690"/>
    <d v="2024-11-24T00:00:00"/>
    <x v="1"/>
    <m/>
    <n v="4166"/>
    <x v="1"/>
    <n v="4"/>
    <n v="5"/>
    <x v="2"/>
    <n v="2019"/>
    <n v="8"/>
    <n v="1"/>
    <x v="8"/>
    <s v="555-1738"/>
    <x v="1"/>
    <s v="Barn|Fireplace|Elevator|Sauna"/>
  </r>
  <r>
    <n v="1890"/>
    <s v="Property 1890"/>
    <x v="2"/>
    <x v="2"/>
    <n v="453526"/>
    <d v="2024-08-14T00:00:00"/>
    <x v="77"/>
    <n v="480626"/>
    <n v="3602"/>
    <x v="448"/>
    <n v="5"/>
    <n v="4"/>
    <x v="1"/>
    <n v="2014"/>
    <n v="10"/>
    <n v="4"/>
    <x v="2"/>
    <s v="555-6092"/>
    <x v="0"/>
    <s v="Gym|Sauna|Garage|Elevator"/>
  </r>
  <r>
    <n v="1891"/>
    <s v="Property 1891"/>
    <x v="0"/>
    <x v="0"/>
    <n v="899240"/>
    <d v="2024-02-18T00:00:00"/>
    <x v="155"/>
    <n v="928569"/>
    <n v="4599"/>
    <x v="449"/>
    <n v="5"/>
    <n v="4"/>
    <x v="2"/>
    <n v="2022"/>
    <n v="4"/>
    <n v="3"/>
    <x v="5"/>
    <s v="555-1240"/>
    <x v="0"/>
    <s v="Sauna|Elevator"/>
  </r>
  <r>
    <n v="1892"/>
    <s v="Property 1892"/>
    <x v="4"/>
    <x v="2"/>
    <n v="490203"/>
    <d v="2024-05-06T00:00:00"/>
    <x v="248"/>
    <n v="535202"/>
    <n v="3356"/>
    <x v="450"/>
    <n v="3"/>
    <n v="2"/>
    <x v="1"/>
    <n v="2021"/>
    <n v="6"/>
    <n v="4"/>
    <x v="0"/>
    <s v="555-7310"/>
    <x v="0"/>
    <s v="Fireplace"/>
  </r>
  <r>
    <n v="1893"/>
    <s v="Property 1893"/>
    <x v="4"/>
    <x v="1"/>
    <n v="534047"/>
    <d v="2024-02-23T00:00:00"/>
    <x v="253"/>
    <n v="551460"/>
    <n v="2678"/>
    <x v="451"/>
    <n v="6"/>
    <n v="5"/>
    <x v="0"/>
    <n v="2017"/>
    <m/>
    <n v="1"/>
    <x v="3"/>
    <s v="555-7985"/>
    <x v="0"/>
    <s v="Gym|Pool|Sauna|Elevator"/>
  </r>
  <r>
    <n v="1894"/>
    <s v="Property 1894"/>
    <x v="1"/>
    <x v="1"/>
    <n v="434651"/>
    <d v="2024-06-08T00:00:00"/>
    <x v="1"/>
    <m/>
    <n v="4370"/>
    <x v="1"/>
    <n v="6"/>
    <n v="4"/>
    <x v="1"/>
    <n v="2023"/>
    <n v="9"/>
    <n v="3"/>
    <x v="0"/>
    <s v="555-2914"/>
    <x v="1"/>
    <s v="Garage"/>
  </r>
  <r>
    <n v="1895"/>
    <s v="Property 1895"/>
    <x v="1"/>
    <x v="0"/>
    <n v="678992"/>
    <d v="2024-01-04T00:00:00"/>
    <x v="45"/>
    <n v="726924"/>
    <n v="3681"/>
    <x v="452"/>
    <n v="5"/>
    <n v="5"/>
    <x v="1"/>
    <n v="2000"/>
    <n v="4"/>
    <n v="3"/>
    <x v="9"/>
    <s v="555-5595"/>
    <x v="0"/>
    <s v="Gym"/>
  </r>
  <r>
    <n v="1896"/>
    <s v="Property 1896"/>
    <x v="2"/>
    <x v="2"/>
    <n v="596539"/>
    <d v="2024-05-08T00:00:00"/>
    <x v="1"/>
    <m/>
    <n v="3100"/>
    <x v="1"/>
    <n v="6"/>
    <n v="4"/>
    <x v="3"/>
    <n v="2003"/>
    <n v="1"/>
    <n v="1"/>
    <x v="1"/>
    <s v="555-1073"/>
    <x v="1"/>
    <s v="Garage"/>
  </r>
  <r>
    <n v="1897"/>
    <s v="Property 1897"/>
    <x v="0"/>
    <x v="2"/>
    <n v="469431"/>
    <d v="2024-12-14T00:00:00"/>
    <x v="1"/>
    <m/>
    <n v="2511"/>
    <x v="1"/>
    <n v="3"/>
    <n v="3"/>
    <x v="1"/>
    <n v="2023"/>
    <n v="5"/>
    <n v="2"/>
    <x v="9"/>
    <s v="555-5956"/>
    <x v="1"/>
    <s v="Elevator|Garden|Garage"/>
  </r>
  <r>
    <n v="1898"/>
    <s v="Property 1898"/>
    <x v="4"/>
    <x v="0"/>
    <n v="689118"/>
    <d v="2024-03-14T00:00:00"/>
    <x v="1"/>
    <m/>
    <n v="4895"/>
    <x v="1"/>
    <n v="3"/>
    <n v="4"/>
    <x v="1"/>
    <n v="2021"/>
    <n v="10"/>
    <n v="4"/>
    <x v="6"/>
    <s v="555-1537"/>
    <x v="1"/>
    <s v="Elevator|Garden"/>
  </r>
  <r>
    <n v="1899"/>
    <s v="Property 1899"/>
    <x v="1"/>
    <x v="1"/>
    <n v="530326"/>
    <d v="2024-08-23T00:00:00"/>
    <x v="1"/>
    <m/>
    <n v="1232"/>
    <x v="1"/>
    <n v="4"/>
    <n v="5"/>
    <x v="2"/>
    <n v="2015"/>
    <n v="10"/>
    <n v="4"/>
    <x v="8"/>
    <s v="555-8548"/>
    <x v="1"/>
    <s v="Garage|Fireplace|Pool|Sauna"/>
  </r>
  <r>
    <n v="1900"/>
    <s v="Property 1900"/>
    <x v="4"/>
    <x v="2"/>
    <n v="621136"/>
    <d v="2024-03-01T00:00:00"/>
    <x v="244"/>
    <n v="656247"/>
    <n v="1645"/>
    <x v="453"/>
    <n v="6"/>
    <n v="2"/>
    <x v="3"/>
    <n v="2010"/>
    <n v="5"/>
    <n v="1"/>
    <x v="0"/>
    <s v="555-7818"/>
    <x v="0"/>
    <s v="Barn|Fireplace|Elevator"/>
  </r>
  <r>
    <n v="1901"/>
    <s v="Property 1901"/>
    <x v="2"/>
    <x v="0"/>
    <n v="509239"/>
    <d v="2024-10-06T00:00:00"/>
    <x v="1"/>
    <m/>
    <n v="1816"/>
    <x v="1"/>
    <n v="4"/>
    <n v="4"/>
    <x v="3"/>
    <n v="2007"/>
    <n v="1"/>
    <n v="4"/>
    <x v="0"/>
    <s v="555-9443"/>
    <x v="1"/>
    <s v="Fireplace"/>
  </r>
  <r>
    <n v="1902"/>
    <s v="Property 1902"/>
    <x v="0"/>
    <x v="0"/>
    <n v="715414"/>
    <d v="2024-07-11T00:00:00"/>
    <x v="39"/>
    <n v="726773"/>
    <n v="4741"/>
    <x v="454"/>
    <n v="4"/>
    <n v="5"/>
    <x v="3"/>
    <n v="2013"/>
    <n v="8"/>
    <n v="4"/>
    <x v="7"/>
    <s v="555-7526"/>
    <x v="0"/>
    <s v="Garden|Pool"/>
  </r>
  <r>
    <n v="1903"/>
    <s v="Property 1903"/>
    <x v="1"/>
    <x v="1"/>
    <n v="639936"/>
    <d v="2024-12-04T00:00:00"/>
    <x v="1"/>
    <m/>
    <n v="1737"/>
    <x v="1"/>
    <n v="5"/>
    <n v="5"/>
    <x v="3"/>
    <n v="2023"/>
    <n v="8"/>
    <n v="2"/>
    <x v="0"/>
    <s v="555-1156"/>
    <x v="1"/>
    <s v="Sauna|Gym|Garden"/>
  </r>
  <r>
    <n v="1904"/>
    <s v="Property 1904"/>
    <x v="0"/>
    <x v="1"/>
    <n v="786404"/>
    <d v="2024-04-13T00:00:00"/>
    <x v="254"/>
    <n v="825708"/>
    <n v="1386"/>
    <x v="455"/>
    <n v="2"/>
    <n v="5"/>
    <x v="0"/>
    <n v="2013"/>
    <m/>
    <n v="4"/>
    <x v="8"/>
    <s v="555-4126"/>
    <x v="0"/>
    <s v="Barn|Gym|Garage"/>
  </r>
  <r>
    <n v="1905"/>
    <s v="Property 1905"/>
    <x v="1"/>
    <x v="1"/>
    <n v="388658"/>
    <d v="2024-02-27T00:00:00"/>
    <x v="1"/>
    <m/>
    <n v="4392"/>
    <x v="1"/>
    <n v="4"/>
    <n v="2"/>
    <x v="3"/>
    <n v="2001"/>
    <n v="4"/>
    <n v="2"/>
    <x v="9"/>
    <s v="555-6430"/>
    <x v="1"/>
    <s v="Elevator|Fireplace|Garden|Pool"/>
  </r>
  <r>
    <n v="1906"/>
    <s v="Property 1906"/>
    <x v="2"/>
    <x v="2"/>
    <n v="473047"/>
    <d v="2024-08-27T00:00:00"/>
    <x v="255"/>
    <n v="490524"/>
    <n v="2536"/>
    <x v="456"/>
    <n v="3"/>
    <n v="3"/>
    <x v="1"/>
    <n v="2005"/>
    <n v="3"/>
    <n v="4"/>
    <x v="1"/>
    <s v="555-4339"/>
    <x v="0"/>
    <s v="Fireplace"/>
  </r>
  <r>
    <n v="1907"/>
    <s v="Property 1907"/>
    <x v="3"/>
    <x v="2"/>
    <n v="757415"/>
    <d v="2024-05-06T00:00:00"/>
    <x v="1"/>
    <m/>
    <n v="4219"/>
    <x v="1"/>
    <n v="2"/>
    <n v="3"/>
    <x v="2"/>
    <n v="2007"/>
    <n v="8"/>
    <n v="2"/>
    <x v="1"/>
    <s v="555-1114"/>
    <x v="1"/>
    <s v="Sauna|Gym"/>
  </r>
  <r>
    <n v="1908"/>
    <s v="Property 1908"/>
    <x v="1"/>
    <x v="0"/>
    <n v="704496"/>
    <d v="2024-08-08T00:00:00"/>
    <x v="189"/>
    <n v="742293"/>
    <n v="3608"/>
    <x v="457"/>
    <n v="2"/>
    <n v="3"/>
    <x v="0"/>
    <n v="2004"/>
    <m/>
    <n v="1"/>
    <x v="7"/>
    <s v="555-2296"/>
    <x v="0"/>
    <s v="Gym|Garage|Elevator"/>
  </r>
  <r>
    <n v="1909"/>
    <s v="Property 1909"/>
    <x v="0"/>
    <x v="2"/>
    <n v="600265"/>
    <d v="2024-08-07T00:00:00"/>
    <x v="113"/>
    <n v="612767"/>
    <n v="2255"/>
    <x v="458"/>
    <n v="6"/>
    <n v="2"/>
    <x v="3"/>
    <n v="2011"/>
    <n v="2"/>
    <n v="4"/>
    <x v="3"/>
    <s v="555-9227"/>
    <x v="0"/>
    <s v="Barn|Sauna"/>
  </r>
  <r>
    <n v="1910"/>
    <s v="Property 1910"/>
    <x v="1"/>
    <x v="0"/>
    <n v="687023"/>
    <d v="2024-04-17T00:00:00"/>
    <x v="256"/>
    <n v="698404"/>
    <n v="1479"/>
    <x v="459"/>
    <n v="5"/>
    <n v="5"/>
    <x v="0"/>
    <n v="2012"/>
    <m/>
    <n v="2"/>
    <x v="1"/>
    <s v="555-7388"/>
    <x v="0"/>
    <s v="Garden|Garage|Sauna"/>
  </r>
  <r>
    <n v="1911"/>
    <s v="Property 1911"/>
    <x v="1"/>
    <x v="1"/>
    <n v="602051"/>
    <d v="2024-08-01T00:00:00"/>
    <x v="1"/>
    <m/>
    <n v="3764"/>
    <x v="1"/>
    <n v="4"/>
    <n v="4"/>
    <x v="0"/>
    <n v="2014"/>
    <m/>
    <n v="1"/>
    <x v="4"/>
    <s v="555-1548"/>
    <x v="1"/>
    <s v="Sauna|Barn"/>
  </r>
  <r>
    <n v="1912"/>
    <s v="Property 1912"/>
    <x v="2"/>
    <x v="2"/>
    <n v="391643"/>
    <d v="2023-12-23T00:00:00"/>
    <x v="181"/>
    <n v="405114"/>
    <n v="3516"/>
    <x v="460"/>
    <n v="6"/>
    <n v="5"/>
    <x v="2"/>
    <n v="2001"/>
    <n v="3"/>
    <n v="3"/>
    <x v="3"/>
    <s v="555-7957"/>
    <x v="0"/>
    <s v="Elevator|Sauna|Garage|Gym"/>
  </r>
  <r>
    <n v="1913"/>
    <s v="Property 1913"/>
    <x v="4"/>
    <x v="2"/>
    <n v="785753"/>
    <d v="2024-05-15T00:00:00"/>
    <x v="75"/>
    <n v="813753"/>
    <n v="3683"/>
    <x v="461"/>
    <n v="2"/>
    <n v="2"/>
    <x v="2"/>
    <n v="2014"/>
    <n v="5"/>
    <n v="2"/>
    <x v="6"/>
    <s v="555-1065"/>
    <x v="0"/>
    <s v="Fireplace|Barn|Pool|Elevator"/>
  </r>
  <r>
    <n v="1914"/>
    <s v="Property 1914"/>
    <x v="0"/>
    <x v="2"/>
    <n v="313203"/>
    <d v="2024-03-28T00:00:00"/>
    <x v="228"/>
    <n v="344403"/>
    <n v="3035"/>
    <x v="462"/>
    <n v="4"/>
    <n v="5"/>
    <x v="1"/>
    <n v="2014"/>
    <n v="5"/>
    <n v="1"/>
    <x v="4"/>
    <s v="555-4967"/>
    <x v="0"/>
    <s v="Garage|Sauna"/>
  </r>
  <r>
    <n v="1915"/>
    <s v="Property 1915"/>
    <x v="0"/>
    <x v="0"/>
    <n v="535999"/>
    <d v="2024-03-17T00:00:00"/>
    <x v="1"/>
    <m/>
    <n v="3453"/>
    <x v="1"/>
    <n v="6"/>
    <n v="4"/>
    <x v="2"/>
    <n v="2020"/>
    <n v="1"/>
    <n v="3"/>
    <x v="5"/>
    <s v="555-8698"/>
    <x v="1"/>
    <s v="Garden|Fireplace"/>
  </r>
  <r>
    <n v="1916"/>
    <s v="Property 1916"/>
    <x v="2"/>
    <x v="1"/>
    <n v="892007"/>
    <d v="2024-08-22T00:00:00"/>
    <x v="1"/>
    <m/>
    <n v="2613"/>
    <x v="1"/>
    <n v="3"/>
    <n v="5"/>
    <x v="3"/>
    <n v="2006"/>
    <n v="5"/>
    <n v="2"/>
    <x v="6"/>
    <s v="555-1704"/>
    <x v="1"/>
    <s v="Garage|Fireplace|Gym"/>
  </r>
  <r>
    <n v="1917"/>
    <s v="Property 1917"/>
    <x v="0"/>
    <x v="0"/>
    <n v="719539"/>
    <d v="2024-09-03T00:00:00"/>
    <x v="1"/>
    <m/>
    <n v="3346"/>
    <x v="1"/>
    <n v="6"/>
    <n v="4"/>
    <x v="2"/>
    <n v="2001"/>
    <n v="6"/>
    <n v="4"/>
    <x v="1"/>
    <s v="555-3873"/>
    <x v="1"/>
    <s v="Elevator"/>
  </r>
  <r>
    <n v="1918"/>
    <s v="Property 1918"/>
    <x v="2"/>
    <x v="0"/>
    <n v="870862"/>
    <d v="2024-08-13T00:00:00"/>
    <x v="1"/>
    <m/>
    <n v="1431"/>
    <x v="1"/>
    <n v="4"/>
    <n v="5"/>
    <x v="2"/>
    <n v="2023"/>
    <n v="3"/>
    <n v="3"/>
    <x v="4"/>
    <s v="555-9464"/>
    <x v="1"/>
    <s v="Barn|Gym|Garden"/>
  </r>
  <r>
    <n v="1919"/>
    <s v="Property 1919"/>
    <x v="0"/>
    <x v="2"/>
    <n v="953677"/>
    <d v="2024-06-20T00:00:00"/>
    <x v="123"/>
    <n v="973134"/>
    <n v="4394"/>
    <x v="463"/>
    <n v="3"/>
    <n v="2"/>
    <x v="0"/>
    <n v="2007"/>
    <m/>
    <n v="3"/>
    <x v="9"/>
    <s v="555-2209"/>
    <x v="0"/>
    <s v="Barn|Garden|Pool|Gym"/>
  </r>
  <r>
    <n v="1920"/>
    <s v="Property 1920"/>
    <x v="3"/>
    <x v="0"/>
    <n v="406160"/>
    <d v="2024-10-14T00:00:00"/>
    <x v="169"/>
    <n v="428067"/>
    <n v="4119"/>
    <x v="464"/>
    <n v="6"/>
    <n v="4"/>
    <x v="3"/>
    <n v="2005"/>
    <n v="6"/>
    <n v="1"/>
    <x v="8"/>
    <s v="555-2639"/>
    <x v="0"/>
    <s v="Garden"/>
  </r>
  <r>
    <n v="1921"/>
    <s v="Property 1921"/>
    <x v="0"/>
    <x v="1"/>
    <n v="418466"/>
    <d v="2024-04-04T00:00:00"/>
    <x v="1"/>
    <m/>
    <n v="2082"/>
    <x v="1"/>
    <n v="3"/>
    <n v="2"/>
    <x v="3"/>
    <n v="2001"/>
    <n v="6"/>
    <n v="2"/>
    <x v="9"/>
    <s v="555-5787"/>
    <x v="1"/>
    <s v="Fireplace"/>
  </r>
  <r>
    <n v="1922"/>
    <s v="Property 1922"/>
    <x v="0"/>
    <x v="0"/>
    <n v="629847"/>
    <d v="2024-10-23T00:00:00"/>
    <x v="1"/>
    <m/>
    <n v="1332"/>
    <x v="1"/>
    <n v="5"/>
    <n v="2"/>
    <x v="1"/>
    <n v="2018"/>
    <n v="9"/>
    <n v="3"/>
    <x v="3"/>
    <s v="555-3154"/>
    <x v="1"/>
    <s v="Elevator|Fireplace|Garden"/>
  </r>
  <r>
    <n v="1923"/>
    <s v="Property 1923"/>
    <x v="2"/>
    <x v="2"/>
    <n v="643508"/>
    <d v="2024-09-09T00:00:00"/>
    <x v="257"/>
    <n v="663240"/>
    <n v="1253"/>
    <x v="465"/>
    <n v="3"/>
    <n v="3"/>
    <x v="0"/>
    <n v="2023"/>
    <m/>
    <n v="3"/>
    <x v="0"/>
    <s v="555-6345"/>
    <x v="0"/>
    <s v="Barn|Garage|Pool|Fireplace"/>
  </r>
  <r>
    <n v="1924"/>
    <s v="Property 1924"/>
    <x v="2"/>
    <x v="0"/>
    <n v="394521"/>
    <d v="2024-02-26T00:00:00"/>
    <x v="1"/>
    <m/>
    <n v="1692"/>
    <x v="1"/>
    <n v="5"/>
    <n v="4"/>
    <x v="1"/>
    <n v="2019"/>
    <n v="1"/>
    <n v="3"/>
    <x v="5"/>
    <s v="555-2201"/>
    <x v="1"/>
    <s v="Pool|Elevator|Fireplace"/>
  </r>
  <r>
    <n v="1925"/>
    <s v="Property 1925"/>
    <x v="4"/>
    <x v="2"/>
    <n v="870093"/>
    <d v="2024-02-24T00:00:00"/>
    <x v="103"/>
    <n v="892449"/>
    <n v="3903"/>
    <x v="466"/>
    <n v="5"/>
    <n v="4"/>
    <x v="2"/>
    <n v="2013"/>
    <n v="9"/>
    <n v="4"/>
    <x v="2"/>
    <s v="555-8707"/>
    <x v="0"/>
    <s v="Garden|Pool|Barn"/>
  </r>
  <r>
    <n v="1926"/>
    <s v="Property 1926"/>
    <x v="0"/>
    <x v="0"/>
    <n v="862375"/>
    <d v="2024-02-02T00:00:00"/>
    <x v="195"/>
    <n v="877747"/>
    <n v="3471"/>
    <x v="467"/>
    <n v="3"/>
    <n v="4"/>
    <x v="0"/>
    <n v="2007"/>
    <m/>
    <n v="4"/>
    <x v="8"/>
    <s v="555-9123"/>
    <x v="0"/>
    <s v="Fireplace|Gym|Elevator|Sauna"/>
  </r>
  <r>
    <n v="1927"/>
    <s v="Property 1927"/>
    <x v="4"/>
    <x v="0"/>
    <n v="404208"/>
    <d v="2024-04-02T00:00:00"/>
    <x v="1"/>
    <m/>
    <n v="3818"/>
    <x v="1"/>
    <n v="4"/>
    <n v="4"/>
    <x v="3"/>
    <n v="2017"/>
    <n v="10"/>
    <n v="3"/>
    <x v="8"/>
    <s v="555-1089"/>
    <x v="1"/>
    <s v="Sauna"/>
  </r>
  <r>
    <n v="1928"/>
    <s v="Property 1928"/>
    <x v="0"/>
    <x v="2"/>
    <n v="543606"/>
    <d v="2024-11-11T00:00:00"/>
    <x v="1"/>
    <m/>
    <n v="3512"/>
    <x v="1"/>
    <n v="5"/>
    <n v="4"/>
    <x v="3"/>
    <n v="2019"/>
    <n v="1"/>
    <n v="1"/>
    <x v="8"/>
    <s v="555-4319"/>
    <x v="1"/>
    <s v="Garage|Sauna|Fireplace|Pool"/>
  </r>
  <r>
    <n v="1929"/>
    <s v="Property 1929"/>
    <x v="1"/>
    <x v="1"/>
    <n v="787401"/>
    <d v="2024-10-28T00:00:00"/>
    <x v="56"/>
    <n v="814920"/>
    <n v="4124"/>
    <x v="468"/>
    <n v="2"/>
    <n v="5"/>
    <x v="3"/>
    <n v="2005"/>
    <n v="3"/>
    <n v="4"/>
    <x v="6"/>
    <s v="555-5464"/>
    <x v="0"/>
    <s v="Sauna|Fireplace|Elevator"/>
  </r>
  <r>
    <n v="1930"/>
    <s v="Property 1930"/>
    <x v="0"/>
    <x v="2"/>
    <n v="447218"/>
    <d v="2023-12-18T00:00:00"/>
    <x v="1"/>
    <m/>
    <n v="1699"/>
    <x v="1"/>
    <n v="2"/>
    <n v="2"/>
    <x v="1"/>
    <n v="2011"/>
    <n v="8"/>
    <n v="4"/>
    <x v="2"/>
    <s v="555-7997"/>
    <x v="1"/>
    <s v="Gym|Sauna|Garage|Pool"/>
  </r>
  <r>
    <n v="1931"/>
    <s v="Property 1931"/>
    <x v="0"/>
    <x v="2"/>
    <n v="404839"/>
    <d v="2024-07-21T00:00:00"/>
    <x v="258"/>
    <n v="447064"/>
    <n v="3857"/>
    <x v="469"/>
    <n v="4"/>
    <n v="4"/>
    <x v="1"/>
    <n v="2006"/>
    <n v="2"/>
    <n v="1"/>
    <x v="7"/>
    <s v="555-1701"/>
    <x v="0"/>
    <s v="Elevator|Gym|Garage"/>
  </r>
  <r>
    <n v="1932"/>
    <s v="Property 1932"/>
    <x v="3"/>
    <x v="1"/>
    <n v="373492"/>
    <d v="2024-07-01T00:00:00"/>
    <x v="1"/>
    <m/>
    <n v="1633"/>
    <x v="1"/>
    <n v="6"/>
    <n v="5"/>
    <x v="2"/>
    <n v="2008"/>
    <n v="1"/>
    <n v="1"/>
    <x v="0"/>
    <s v="555-3254"/>
    <x v="1"/>
    <s v="Sauna|Garden|Barn"/>
  </r>
  <r>
    <n v="1933"/>
    <s v="Property 1933"/>
    <x v="2"/>
    <x v="1"/>
    <n v="809778"/>
    <d v="2024-02-02T00:00:00"/>
    <x v="9"/>
    <n v="821797"/>
    <n v="2934"/>
    <x v="470"/>
    <n v="5"/>
    <n v="5"/>
    <x v="3"/>
    <n v="2000"/>
    <n v="5"/>
    <n v="3"/>
    <x v="6"/>
    <s v="555-1118"/>
    <x v="0"/>
    <s v="Garden"/>
  </r>
  <r>
    <n v="1934"/>
    <s v="Property 1934"/>
    <x v="3"/>
    <x v="2"/>
    <n v="483803"/>
    <d v="2024-04-14T00:00:00"/>
    <x v="259"/>
    <n v="515782"/>
    <n v="1351"/>
    <x v="471"/>
    <n v="5"/>
    <n v="2"/>
    <x v="0"/>
    <n v="2000"/>
    <m/>
    <n v="3"/>
    <x v="9"/>
    <s v="555-8810"/>
    <x v="0"/>
    <s v="Garage"/>
  </r>
  <r>
    <n v="1935"/>
    <s v="Property 1935"/>
    <x v="1"/>
    <x v="2"/>
    <n v="486220"/>
    <d v="2024-10-14T00:00:00"/>
    <x v="184"/>
    <n v="519668"/>
    <n v="4905"/>
    <x v="472"/>
    <n v="2"/>
    <n v="2"/>
    <x v="1"/>
    <n v="2002"/>
    <n v="8"/>
    <n v="3"/>
    <x v="2"/>
    <s v="555-5488"/>
    <x v="0"/>
    <s v="Garden|Gym"/>
  </r>
  <r>
    <n v="1936"/>
    <s v="Property 1936"/>
    <x v="0"/>
    <x v="0"/>
    <n v="365465"/>
    <d v="2024-10-10T00:00:00"/>
    <x v="1"/>
    <m/>
    <n v="3659"/>
    <x v="1"/>
    <n v="2"/>
    <n v="3"/>
    <x v="0"/>
    <n v="2007"/>
    <m/>
    <n v="1"/>
    <x v="8"/>
    <s v="555-6799"/>
    <x v="1"/>
    <s v="Sauna|Fireplace|Garage|Pool"/>
  </r>
  <r>
    <n v="1937"/>
    <s v="Property 1937"/>
    <x v="1"/>
    <x v="0"/>
    <n v="571409"/>
    <d v="2023-12-18T00:00:00"/>
    <x v="1"/>
    <m/>
    <n v="4764"/>
    <x v="1"/>
    <n v="5"/>
    <n v="2"/>
    <x v="0"/>
    <n v="2000"/>
    <m/>
    <n v="4"/>
    <x v="7"/>
    <s v="555-2204"/>
    <x v="1"/>
    <s v="Gym|Elevator|Garage|Sauna"/>
  </r>
  <r>
    <n v="1938"/>
    <s v="Property 1938"/>
    <x v="3"/>
    <x v="2"/>
    <n v="855832"/>
    <d v="2024-11-14T00:00:00"/>
    <x v="260"/>
    <n v="873350"/>
    <n v="4023"/>
    <x v="473"/>
    <n v="6"/>
    <n v="5"/>
    <x v="1"/>
    <n v="2018"/>
    <n v="1"/>
    <n v="2"/>
    <x v="4"/>
    <s v="555-4561"/>
    <x v="0"/>
    <s v="Sauna|Garage"/>
  </r>
  <r>
    <n v="1939"/>
    <s v="Property 1939"/>
    <x v="4"/>
    <x v="1"/>
    <n v="818208"/>
    <d v="2024-07-11T00:00:00"/>
    <x v="261"/>
    <n v="846992"/>
    <n v="2639"/>
    <x v="474"/>
    <n v="4"/>
    <n v="2"/>
    <x v="3"/>
    <n v="2007"/>
    <n v="3"/>
    <n v="4"/>
    <x v="2"/>
    <s v="555-2735"/>
    <x v="0"/>
    <s v="Sauna|Barn|Elevator"/>
  </r>
  <r>
    <n v="1940"/>
    <s v="Property 1940"/>
    <x v="2"/>
    <x v="0"/>
    <n v="446003"/>
    <d v="2024-04-21T00:00:00"/>
    <x v="1"/>
    <m/>
    <n v="1829"/>
    <x v="1"/>
    <n v="4"/>
    <n v="3"/>
    <x v="0"/>
    <n v="2017"/>
    <m/>
    <n v="3"/>
    <x v="3"/>
    <s v="555-5752"/>
    <x v="1"/>
    <s v="Sauna|Fireplace|Gym|Garage"/>
  </r>
  <r>
    <n v="1941"/>
    <s v="Property 1941"/>
    <x v="0"/>
    <x v="0"/>
    <n v="301585"/>
    <d v="2024-09-19T00:00:00"/>
    <x v="1"/>
    <m/>
    <n v="1637"/>
    <x v="1"/>
    <n v="6"/>
    <n v="4"/>
    <x v="0"/>
    <n v="2018"/>
    <m/>
    <n v="4"/>
    <x v="3"/>
    <s v="555-1331"/>
    <x v="1"/>
    <s v="Fireplace|Gym|Garage"/>
  </r>
  <r>
    <n v="1942"/>
    <s v="Property 1942"/>
    <x v="4"/>
    <x v="0"/>
    <n v="842414"/>
    <d v="2024-04-27T00:00:00"/>
    <x v="1"/>
    <m/>
    <n v="1984"/>
    <x v="1"/>
    <n v="2"/>
    <n v="4"/>
    <x v="0"/>
    <n v="2008"/>
    <m/>
    <n v="1"/>
    <x v="0"/>
    <s v="555-2782"/>
    <x v="1"/>
    <s v="Pool|Sauna|Elevator"/>
  </r>
  <r>
    <n v="1943"/>
    <s v="Property 1943"/>
    <x v="2"/>
    <x v="0"/>
    <n v="806797"/>
    <d v="2024-02-07T00:00:00"/>
    <x v="80"/>
    <n v="827330"/>
    <n v="3252"/>
    <x v="475"/>
    <n v="3"/>
    <n v="4"/>
    <x v="1"/>
    <n v="2002"/>
    <n v="2"/>
    <n v="3"/>
    <x v="1"/>
    <s v="555-1182"/>
    <x v="0"/>
    <s v="Barn|Gym|Sauna|Elevator"/>
  </r>
  <r>
    <n v="1944"/>
    <s v="Property 1944"/>
    <x v="1"/>
    <x v="0"/>
    <n v="472466"/>
    <d v="2024-12-02T00:00:00"/>
    <x v="10"/>
    <n v="484151"/>
    <n v="3539"/>
    <x v="476"/>
    <n v="5"/>
    <n v="5"/>
    <x v="1"/>
    <n v="2010"/>
    <n v="5"/>
    <n v="4"/>
    <x v="7"/>
    <s v="555-3450"/>
    <x v="0"/>
    <s v="Gym|Garage"/>
  </r>
  <r>
    <n v="1945"/>
    <s v="Property 1945"/>
    <x v="2"/>
    <x v="2"/>
    <n v="896230"/>
    <d v="2024-03-19T00:00:00"/>
    <x v="1"/>
    <m/>
    <n v="2372"/>
    <x v="1"/>
    <n v="5"/>
    <n v="3"/>
    <x v="1"/>
    <n v="2005"/>
    <n v="2"/>
    <n v="2"/>
    <x v="9"/>
    <s v="555-9164"/>
    <x v="1"/>
    <s v="Sauna|Fireplace"/>
  </r>
  <r>
    <n v="1946"/>
    <s v="Property 1946"/>
    <x v="1"/>
    <x v="1"/>
    <n v="452473"/>
    <d v="2024-11-22T00:00:00"/>
    <x v="1"/>
    <m/>
    <n v="1483"/>
    <x v="1"/>
    <n v="3"/>
    <n v="5"/>
    <x v="3"/>
    <n v="2009"/>
    <n v="3"/>
    <n v="1"/>
    <x v="2"/>
    <s v="555-8850"/>
    <x v="1"/>
    <s v="Garden|Gym|Pool|Barn"/>
  </r>
  <r>
    <n v="1947"/>
    <s v="Property 1947"/>
    <x v="0"/>
    <x v="2"/>
    <n v="468802"/>
    <d v="2024-08-11T00:00:00"/>
    <x v="1"/>
    <m/>
    <n v="4959"/>
    <x v="1"/>
    <n v="4"/>
    <n v="3"/>
    <x v="3"/>
    <n v="2017"/>
    <n v="7"/>
    <n v="3"/>
    <x v="4"/>
    <s v="555-5410"/>
    <x v="1"/>
    <s v="Fireplace"/>
  </r>
  <r>
    <n v="1948"/>
    <s v="Property 1948"/>
    <x v="1"/>
    <x v="2"/>
    <n v="433843"/>
    <d v="2024-12-08T00:00:00"/>
    <x v="162"/>
    <n v="480279"/>
    <n v="2037"/>
    <x v="477"/>
    <n v="6"/>
    <n v="2"/>
    <x v="2"/>
    <n v="2020"/>
    <n v="5"/>
    <n v="3"/>
    <x v="1"/>
    <s v="555-4808"/>
    <x v="0"/>
    <s v="Pool|Elevator|Fireplace"/>
  </r>
  <r>
    <n v="1949"/>
    <s v="Property 1949"/>
    <x v="2"/>
    <x v="1"/>
    <n v="515495"/>
    <d v="2024-07-02T00:00:00"/>
    <x v="1"/>
    <m/>
    <n v="4667"/>
    <x v="1"/>
    <n v="5"/>
    <n v="4"/>
    <x v="2"/>
    <n v="2019"/>
    <n v="10"/>
    <n v="2"/>
    <x v="4"/>
    <s v="555-8609"/>
    <x v="1"/>
    <s v="Sauna|Barn|Pool"/>
  </r>
  <r>
    <n v="1950"/>
    <s v="Property 1950"/>
    <x v="0"/>
    <x v="1"/>
    <n v="433630"/>
    <d v="2023-12-18T00:00:00"/>
    <x v="1"/>
    <m/>
    <n v="4812"/>
    <x v="1"/>
    <n v="4"/>
    <n v="2"/>
    <x v="0"/>
    <n v="2019"/>
    <m/>
    <n v="4"/>
    <x v="3"/>
    <s v="555-1548"/>
    <x v="1"/>
    <s v="Garage"/>
  </r>
  <r>
    <n v="1951"/>
    <s v="Property 1951"/>
    <x v="2"/>
    <x v="0"/>
    <n v="309929"/>
    <d v="2024-05-03T00:00:00"/>
    <x v="37"/>
    <n v="347213"/>
    <n v="3796"/>
    <x v="478"/>
    <n v="2"/>
    <n v="5"/>
    <x v="2"/>
    <n v="2005"/>
    <n v="9"/>
    <n v="4"/>
    <x v="8"/>
    <s v="555-3464"/>
    <x v="0"/>
    <s v="Barn|Pool"/>
  </r>
  <r>
    <n v="1952"/>
    <s v="Property 1952"/>
    <x v="3"/>
    <x v="2"/>
    <n v="865331"/>
    <d v="2024-01-18T00:00:00"/>
    <x v="140"/>
    <n v="887025"/>
    <n v="3396"/>
    <x v="479"/>
    <n v="6"/>
    <n v="3"/>
    <x v="1"/>
    <n v="2004"/>
    <n v="10"/>
    <n v="3"/>
    <x v="1"/>
    <s v="555-2892"/>
    <x v="0"/>
    <s v="Fireplace|Sauna"/>
  </r>
  <r>
    <n v="1953"/>
    <s v="Property 1953"/>
    <x v="2"/>
    <x v="0"/>
    <n v="762646"/>
    <d v="2024-07-10T00:00:00"/>
    <x v="146"/>
    <n v="805415"/>
    <n v="1900"/>
    <x v="480"/>
    <n v="6"/>
    <n v="2"/>
    <x v="0"/>
    <n v="2002"/>
    <m/>
    <n v="2"/>
    <x v="0"/>
    <s v="555-1683"/>
    <x v="0"/>
    <s v="Elevator|Fireplace"/>
  </r>
  <r>
    <n v="1954"/>
    <s v="Property 1954"/>
    <x v="0"/>
    <x v="2"/>
    <n v="666758"/>
    <d v="2024-02-07T00:00:00"/>
    <x v="1"/>
    <m/>
    <n v="4768"/>
    <x v="1"/>
    <n v="4"/>
    <n v="3"/>
    <x v="1"/>
    <n v="2020"/>
    <n v="1"/>
    <n v="2"/>
    <x v="6"/>
    <s v="555-5890"/>
    <x v="1"/>
    <s v="Garden|Fireplace"/>
  </r>
  <r>
    <n v="1955"/>
    <s v="Property 1955"/>
    <x v="3"/>
    <x v="2"/>
    <n v="453864"/>
    <d v="2024-12-05T00:00:00"/>
    <x v="1"/>
    <m/>
    <n v="4002"/>
    <x v="1"/>
    <n v="2"/>
    <n v="3"/>
    <x v="1"/>
    <n v="2022"/>
    <n v="2"/>
    <n v="4"/>
    <x v="7"/>
    <s v="555-4676"/>
    <x v="1"/>
    <s v="Pool|Gym|Garage"/>
  </r>
  <r>
    <n v="1956"/>
    <s v="Property 1956"/>
    <x v="2"/>
    <x v="0"/>
    <n v="953619"/>
    <d v="2024-05-08T00:00:00"/>
    <x v="191"/>
    <n v="999313"/>
    <n v="2923"/>
    <x v="481"/>
    <n v="3"/>
    <n v="3"/>
    <x v="2"/>
    <n v="2018"/>
    <n v="10"/>
    <n v="1"/>
    <x v="1"/>
    <s v="555-9202"/>
    <x v="0"/>
    <s v="Gym"/>
  </r>
  <r>
    <n v="1957"/>
    <s v="Property 1957"/>
    <x v="3"/>
    <x v="1"/>
    <n v="639056"/>
    <d v="2024-07-25T00:00:00"/>
    <x v="1"/>
    <m/>
    <n v="3736"/>
    <x v="1"/>
    <n v="2"/>
    <n v="2"/>
    <x v="1"/>
    <n v="2017"/>
    <n v="7"/>
    <n v="3"/>
    <x v="3"/>
    <s v="555-8691"/>
    <x v="1"/>
    <s v="Fireplace|Pool"/>
  </r>
  <r>
    <n v="1958"/>
    <s v="Property 1958"/>
    <x v="0"/>
    <x v="2"/>
    <n v="957320"/>
    <d v="2024-07-16T00:00:00"/>
    <x v="138"/>
    <n v="968938"/>
    <n v="4370"/>
    <x v="482"/>
    <n v="2"/>
    <n v="5"/>
    <x v="1"/>
    <n v="2016"/>
    <n v="8"/>
    <n v="2"/>
    <x v="6"/>
    <s v="555-4959"/>
    <x v="0"/>
    <s v="Fireplace"/>
  </r>
  <r>
    <n v="1959"/>
    <s v="Property 1959"/>
    <x v="0"/>
    <x v="2"/>
    <n v="450223"/>
    <d v="2024-11-21T00:00:00"/>
    <x v="1"/>
    <m/>
    <n v="4413"/>
    <x v="1"/>
    <n v="3"/>
    <n v="3"/>
    <x v="0"/>
    <n v="2018"/>
    <m/>
    <n v="3"/>
    <x v="8"/>
    <s v="555-1958"/>
    <x v="1"/>
    <s v="Pool"/>
  </r>
  <r>
    <n v="1960"/>
    <s v="Property 1960"/>
    <x v="4"/>
    <x v="1"/>
    <n v="749209"/>
    <d v="2024-02-18T00:00:00"/>
    <x v="1"/>
    <m/>
    <n v="4540"/>
    <x v="1"/>
    <n v="6"/>
    <n v="4"/>
    <x v="2"/>
    <n v="2013"/>
    <n v="8"/>
    <n v="4"/>
    <x v="9"/>
    <s v="555-6173"/>
    <x v="1"/>
    <s v="Sauna|Barn|Elevator"/>
  </r>
  <r>
    <n v="1961"/>
    <s v="Property 1961"/>
    <x v="4"/>
    <x v="2"/>
    <n v="553781"/>
    <d v="2024-03-16T00:00:00"/>
    <x v="1"/>
    <m/>
    <n v="2591"/>
    <x v="1"/>
    <n v="2"/>
    <n v="5"/>
    <x v="0"/>
    <n v="2010"/>
    <m/>
    <n v="4"/>
    <x v="1"/>
    <s v="555-4710"/>
    <x v="1"/>
    <s v="Garage|Gym"/>
  </r>
  <r>
    <n v="1962"/>
    <s v="Property 1962"/>
    <x v="2"/>
    <x v="1"/>
    <n v="360240"/>
    <d v="2024-06-23T00:00:00"/>
    <x v="225"/>
    <n v="407455"/>
    <n v="4686"/>
    <x v="483"/>
    <n v="5"/>
    <n v="2"/>
    <x v="0"/>
    <n v="2010"/>
    <m/>
    <n v="2"/>
    <x v="7"/>
    <s v="555-2737"/>
    <x v="0"/>
    <s v="Elevator|Garden"/>
  </r>
  <r>
    <n v="1963"/>
    <s v="Property 1963"/>
    <x v="4"/>
    <x v="2"/>
    <n v="998379"/>
    <d v="2024-02-12T00:00:00"/>
    <x v="262"/>
    <n v="1033772"/>
    <n v="2282"/>
    <x v="484"/>
    <n v="3"/>
    <n v="3"/>
    <x v="3"/>
    <n v="2003"/>
    <n v="1"/>
    <n v="2"/>
    <x v="4"/>
    <s v="555-7826"/>
    <x v="0"/>
    <s v="Gym|Barn|Garage"/>
  </r>
  <r>
    <n v="1964"/>
    <s v="Property 1964"/>
    <x v="0"/>
    <x v="0"/>
    <n v="769517"/>
    <d v="2024-11-30T00:00:00"/>
    <x v="1"/>
    <m/>
    <n v="3577"/>
    <x v="1"/>
    <n v="5"/>
    <n v="2"/>
    <x v="0"/>
    <n v="2003"/>
    <m/>
    <n v="1"/>
    <x v="2"/>
    <s v="555-8712"/>
    <x v="1"/>
    <s v="Gym|Garage|Fireplace"/>
  </r>
  <r>
    <n v="1965"/>
    <s v="Property 1965"/>
    <x v="2"/>
    <x v="1"/>
    <n v="857025"/>
    <d v="2024-04-07T00:00:00"/>
    <x v="196"/>
    <n v="877041"/>
    <n v="2398"/>
    <x v="485"/>
    <n v="3"/>
    <n v="3"/>
    <x v="3"/>
    <n v="2011"/>
    <n v="2"/>
    <n v="3"/>
    <x v="8"/>
    <s v="555-5402"/>
    <x v="0"/>
    <s v="Garage|Garden"/>
  </r>
  <r>
    <n v="1966"/>
    <s v="Property 1966"/>
    <x v="4"/>
    <x v="0"/>
    <n v="574955"/>
    <d v="2024-07-01T00:00:00"/>
    <x v="263"/>
    <n v="608122"/>
    <n v="4821"/>
    <x v="486"/>
    <n v="2"/>
    <n v="2"/>
    <x v="2"/>
    <n v="2002"/>
    <n v="9"/>
    <n v="3"/>
    <x v="9"/>
    <s v="555-5092"/>
    <x v="0"/>
    <s v="Pool|Gym|Elevator"/>
  </r>
  <r>
    <n v="1967"/>
    <s v="Property 1967"/>
    <x v="2"/>
    <x v="0"/>
    <n v="813623"/>
    <d v="2024-10-27T00:00:00"/>
    <x v="1"/>
    <m/>
    <n v="4736"/>
    <x v="1"/>
    <n v="6"/>
    <n v="4"/>
    <x v="3"/>
    <n v="2001"/>
    <n v="1"/>
    <n v="1"/>
    <x v="9"/>
    <s v="555-2602"/>
    <x v="1"/>
    <s v="Pool|Gym"/>
  </r>
  <r>
    <n v="1968"/>
    <s v="Property 1968"/>
    <x v="1"/>
    <x v="2"/>
    <n v="862479"/>
    <d v="2023-12-18T00:00:00"/>
    <x v="1"/>
    <m/>
    <n v="4343"/>
    <x v="1"/>
    <n v="5"/>
    <n v="5"/>
    <x v="3"/>
    <n v="2007"/>
    <n v="8"/>
    <n v="2"/>
    <x v="2"/>
    <s v="555-5993"/>
    <x v="1"/>
    <s v="Fireplace|Gym|Pool"/>
  </r>
  <r>
    <n v="1969"/>
    <s v="Property 1969"/>
    <x v="0"/>
    <x v="1"/>
    <n v="816524"/>
    <d v="2024-06-24T00:00:00"/>
    <x v="1"/>
    <m/>
    <n v="4194"/>
    <x v="1"/>
    <n v="3"/>
    <n v="4"/>
    <x v="2"/>
    <n v="2009"/>
    <n v="8"/>
    <n v="4"/>
    <x v="5"/>
    <s v="555-1938"/>
    <x v="1"/>
    <s v="Barn|Fireplace"/>
  </r>
  <r>
    <n v="1970"/>
    <s v="Property 1970"/>
    <x v="3"/>
    <x v="1"/>
    <n v="901894"/>
    <d v="2024-03-23T00:00:00"/>
    <x v="1"/>
    <m/>
    <n v="3065"/>
    <x v="1"/>
    <n v="3"/>
    <n v="5"/>
    <x v="2"/>
    <n v="2019"/>
    <n v="4"/>
    <n v="1"/>
    <x v="0"/>
    <s v="555-3318"/>
    <x v="1"/>
    <s v="Fireplace|Garage|Gym|Garden"/>
  </r>
  <r>
    <n v="1971"/>
    <s v="Property 1971"/>
    <x v="4"/>
    <x v="0"/>
    <n v="990647"/>
    <d v="2024-02-19T00:00:00"/>
    <x v="264"/>
    <n v="1026549"/>
    <n v="3279"/>
    <x v="487"/>
    <n v="6"/>
    <n v="2"/>
    <x v="2"/>
    <n v="2005"/>
    <n v="10"/>
    <n v="2"/>
    <x v="7"/>
    <s v="555-6018"/>
    <x v="0"/>
    <s v="Fireplace"/>
  </r>
  <r>
    <n v="1972"/>
    <s v="Property 1972"/>
    <x v="1"/>
    <x v="0"/>
    <n v="595628"/>
    <d v="2024-06-29T00:00:00"/>
    <x v="168"/>
    <n v="629385"/>
    <n v="3272"/>
    <x v="488"/>
    <n v="6"/>
    <n v="2"/>
    <x v="3"/>
    <n v="2018"/>
    <n v="7"/>
    <n v="2"/>
    <x v="4"/>
    <s v="555-8660"/>
    <x v="0"/>
    <s v="Garden|Sauna"/>
  </r>
  <r>
    <n v="1973"/>
    <s v="Property 1973"/>
    <x v="2"/>
    <x v="1"/>
    <n v="745917"/>
    <d v="2023-12-18T00:00:00"/>
    <x v="265"/>
    <n v="780239"/>
    <n v="4012"/>
    <x v="489"/>
    <n v="5"/>
    <n v="3"/>
    <x v="2"/>
    <n v="2012"/>
    <n v="10"/>
    <n v="1"/>
    <x v="3"/>
    <s v="555-2587"/>
    <x v="0"/>
    <s v="Barn|Sauna|Garage"/>
  </r>
  <r>
    <n v="1974"/>
    <s v="Property 1974"/>
    <x v="2"/>
    <x v="0"/>
    <n v="581818"/>
    <d v="2023-12-18T00:00:00"/>
    <x v="1"/>
    <m/>
    <n v="3982"/>
    <x v="1"/>
    <n v="5"/>
    <n v="5"/>
    <x v="3"/>
    <n v="2013"/>
    <n v="4"/>
    <n v="2"/>
    <x v="0"/>
    <s v="555-4018"/>
    <x v="1"/>
    <s v="Gym|Elevator"/>
  </r>
  <r>
    <n v="1975"/>
    <s v="Property 1975"/>
    <x v="1"/>
    <x v="2"/>
    <n v="740980"/>
    <d v="2024-02-01T00:00:00"/>
    <x v="1"/>
    <m/>
    <n v="1293"/>
    <x v="1"/>
    <n v="4"/>
    <n v="3"/>
    <x v="1"/>
    <n v="2008"/>
    <n v="5"/>
    <n v="2"/>
    <x v="2"/>
    <s v="555-6631"/>
    <x v="1"/>
    <s v="Pool|Barn|Sauna|Fireplace"/>
  </r>
  <r>
    <n v="1976"/>
    <s v="Property 1976"/>
    <x v="4"/>
    <x v="0"/>
    <n v="987633"/>
    <d v="2024-02-12T00:00:00"/>
    <x v="1"/>
    <m/>
    <n v="2204"/>
    <x v="1"/>
    <n v="4"/>
    <n v="3"/>
    <x v="3"/>
    <n v="2018"/>
    <n v="7"/>
    <n v="2"/>
    <x v="4"/>
    <s v="555-6341"/>
    <x v="1"/>
    <s v="Pool|Gym|Garage|Sauna"/>
  </r>
  <r>
    <n v="1977"/>
    <s v="Property 1977"/>
    <x v="3"/>
    <x v="1"/>
    <n v="331952"/>
    <d v="2024-02-21T00:00:00"/>
    <x v="1"/>
    <m/>
    <n v="2107"/>
    <x v="1"/>
    <n v="6"/>
    <n v="5"/>
    <x v="0"/>
    <n v="2000"/>
    <m/>
    <n v="2"/>
    <x v="7"/>
    <s v="555-9186"/>
    <x v="1"/>
    <s v="Barn"/>
  </r>
  <r>
    <n v="1978"/>
    <s v="Property 1978"/>
    <x v="1"/>
    <x v="1"/>
    <n v="892392"/>
    <d v="2024-05-09T00:00:00"/>
    <x v="1"/>
    <m/>
    <n v="2556"/>
    <x v="1"/>
    <n v="5"/>
    <n v="5"/>
    <x v="1"/>
    <n v="2017"/>
    <n v="8"/>
    <n v="4"/>
    <x v="0"/>
    <s v="555-6889"/>
    <x v="1"/>
    <s v="Barn|Garden|Garage|Gym"/>
  </r>
  <r>
    <n v="1979"/>
    <s v="Property 1979"/>
    <x v="2"/>
    <x v="0"/>
    <n v="979898"/>
    <d v="2024-08-30T00:00:00"/>
    <x v="167"/>
    <n v="991377"/>
    <n v="3289"/>
    <x v="490"/>
    <n v="5"/>
    <n v="4"/>
    <x v="3"/>
    <n v="2005"/>
    <n v="4"/>
    <n v="4"/>
    <x v="1"/>
    <s v="555-1435"/>
    <x v="0"/>
    <s v="Garage|Pool"/>
  </r>
  <r>
    <n v="1980"/>
    <s v="Property 1980"/>
    <x v="1"/>
    <x v="2"/>
    <n v="677216"/>
    <d v="2024-05-24T00:00:00"/>
    <x v="1"/>
    <m/>
    <n v="2638"/>
    <x v="1"/>
    <n v="3"/>
    <n v="3"/>
    <x v="0"/>
    <n v="2010"/>
    <m/>
    <n v="3"/>
    <x v="4"/>
    <s v="555-5776"/>
    <x v="1"/>
    <s v="Fireplace|Barn"/>
  </r>
  <r>
    <n v="1981"/>
    <s v="Property 1981"/>
    <x v="0"/>
    <x v="0"/>
    <n v="881378"/>
    <d v="2024-03-26T00:00:00"/>
    <x v="1"/>
    <m/>
    <n v="2920"/>
    <x v="1"/>
    <n v="4"/>
    <n v="2"/>
    <x v="3"/>
    <n v="2019"/>
    <n v="4"/>
    <n v="4"/>
    <x v="1"/>
    <s v="555-5184"/>
    <x v="1"/>
    <s v="Garden"/>
  </r>
  <r>
    <n v="1982"/>
    <s v="Property 1982"/>
    <x v="2"/>
    <x v="2"/>
    <n v="325802"/>
    <d v="2024-08-03T00:00:00"/>
    <x v="265"/>
    <n v="361525"/>
    <n v="2798"/>
    <x v="491"/>
    <n v="5"/>
    <n v="3"/>
    <x v="0"/>
    <n v="2010"/>
    <m/>
    <n v="4"/>
    <x v="8"/>
    <s v="555-9598"/>
    <x v="0"/>
    <s v="Elevator|Sauna|Gym|Pool"/>
  </r>
  <r>
    <n v="1983"/>
    <s v="Property 1983"/>
    <x v="3"/>
    <x v="1"/>
    <n v="443917"/>
    <d v="2024-05-24T00:00:00"/>
    <x v="58"/>
    <n v="481278"/>
    <n v="1079"/>
    <x v="492"/>
    <n v="6"/>
    <n v="2"/>
    <x v="0"/>
    <n v="2016"/>
    <m/>
    <n v="4"/>
    <x v="6"/>
    <s v="555-8361"/>
    <x v="0"/>
    <s v="Sauna|Garden"/>
  </r>
  <r>
    <n v="1984"/>
    <s v="Property 1984"/>
    <x v="1"/>
    <x v="1"/>
    <n v="551102"/>
    <d v="2024-01-29T00:00:00"/>
    <x v="266"/>
    <n v="585186"/>
    <n v="4757"/>
    <x v="493"/>
    <n v="4"/>
    <n v="2"/>
    <x v="3"/>
    <n v="2014"/>
    <n v="9"/>
    <n v="3"/>
    <x v="6"/>
    <s v="555-8424"/>
    <x v="0"/>
    <s v="Fireplace|Garden|Gym|Garage"/>
  </r>
  <r>
    <n v="1985"/>
    <s v="Property 1985"/>
    <x v="4"/>
    <x v="1"/>
    <n v="731626"/>
    <d v="2024-11-25T00:00:00"/>
    <x v="267"/>
    <n v="753709"/>
    <n v="4352"/>
    <x v="494"/>
    <n v="4"/>
    <n v="2"/>
    <x v="1"/>
    <n v="2005"/>
    <n v="4"/>
    <n v="4"/>
    <x v="6"/>
    <s v="555-2197"/>
    <x v="0"/>
    <s v="Garage|Elevator|Sauna|Fireplace"/>
  </r>
  <r>
    <n v="1986"/>
    <s v="Property 1986"/>
    <x v="4"/>
    <x v="0"/>
    <n v="705425"/>
    <d v="2023-12-25T00:00:00"/>
    <x v="268"/>
    <n v="725737"/>
    <n v="3250"/>
    <x v="495"/>
    <n v="6"/>
    <n v="2"/>
    <x v="3"/>
    <n v="2004"/>
    <n v="8"/>
    <n v="2"/>
    <x v="5"/>
    <s v="555-8392"/>
    <x v="0"/>
    <s v="Elevator|Sauna"/>
  </r>
  <r>
    <n v="1987"/>
    <s v="Property 1987"/>
    <x v="0"/>
    <x v="2"/>
    <n v="378311"/>
    <d v="2024-01-05T00:00:00"/>
    <x v="1"/>
    <m/>
    <n v="2027"/>
    <x v="1"/>
    <n v="4"/>
    <n v="3"/>
    <x v="0"/>
    <n v="2017"/>
    <m/>
    <n v="4"/>
    <x v="6"/>
    <s v="555-3815"/>
    <x v="1"/>
    <s v="Garden|Garage"/>
  </r>
  <r>
    <n v="1988"/>
    <s v="Property 1988"/>
    <x v="2"/>
    <x v="1"/>
    <n v="705846"/>
    <d v="2024-06-17T00:00:00"/>
    <x v="269"/>
    <n v="735382"/>
    <n v="1905"/>
    <x v="496"/>
    <n v="3"/>
    <n v="2"/>
    <x v="3"/>
    <n v="2020"/>
    <n v="3"/>
    <n v="3"/>
    <x v="3"/>
    <s v="555-3501"/>
    <x v="0"/>
    <s v="Garden"/>
  </r>
  <r>
    <n v="1989"/>
    <s v="Property 1989"/>
    <x v="2"/>
    <x v="0"/>
    <n v="350543"/>
    <d v="2024-05-24T00:00:00"/>
    <x v="1"/>
    <m/>
    <n v="2581"/>
    <x v="1"/>
    <n v="3"/>
    <n v="2"/>
    <x v="3"/>
    <n v="2013"/>
    <n v="3"/>
    <n v="2"/>
    <x v="1"/>
    <s v="555-9392"/>
    <x v="1"/>
    <s v="Fireplace|Barn"/>
  </r>
  <r>
    <n v="1990"/>
    <s v="Property 1990"/>
    <x v="1"/>
    <x v="0"/>
    <n v="415358"/>
    <d v="2024-04-23T00:00:00"/>
    <x v="1"/>
    <m/>
    <n v="1273"/>
    <x v="1"/>
    <n v="5"/>
    <n v="3"/>
    <x v="2"/>
    <n v="2023"/>
    <n v="1"/>
    <n v="2"/>
    <x v="5"/>
    <s v="555-5500"/>
    <x v="1"/>
    <s v="Sauna|Elevator"/>
  </r>
  <r>
    <n v="1991"/>
    <s v="Property 1991"/>
    <x v="0"/>
    <x v="0"/>
    <n v="831889"/>
    <d v="2024-03-01T00:00:00"/>
    <x v="1"/>
    <m/>
    <n v="2095"/>
    <x v="1"/>
    <n v="4"/>
    <n v="4"/>
    <x v="1"/>
    <n v="2016"/>
    <n v="5"/>
    <n v="4"/>
    <x v="2"/>
    <s v="555-9951"/>
    <x v="1"/>
    <s v="Pool|Gym|Garage|Garden"/>
  </r>
  <r>
    <n v="1992"/>
    <s v="Property 1992"/>
    <x v="1"/>
    <x v="2"/>
    <n v="446474"/>
    <d v="2024-10-28T00:00:00"/>
    <x v="185"/>
    <n v="470166"/>
    <n v="4527"/>
    <x v="497"/>
    <n v="4"/>
    <n v="2"/>
    <x v="1"/>
    <n v="2004"/>
    <n v="10"/>
    <n v="4"/>
    <x v="2"/>
    <s v="555-7454"/>
    <x v="0"/>
    <s v="Elevator|Sauna|Gym|Garden"/>
  </r>
  <r>
    <n v="1993"/>
    <s v="Property 1993"/>
    <x v="0"/>
    <x v="1"/>
    <n v="650502"/>
    <d v="2024-06-27T00:00:00"/>
    <x v="72"/>
    <n v="667304"/>
    <n v="1216"/>
    <x v="498"/>
    <n v="6"/>
    <n v="4"/>
    <x v="1"/>
    <n v="2005"/>
    <n v="1"/>
    <n v="1"/>
    <x v="6"/>
    <s v="555-7346"/>
    <x v="0"/>
    <s v="Barn|Garage"/>
  </r>
  <r>
    <n v="1994"/>
    <s v="Property 1994"/>
    <x v="1"/>
    <x v="2"/>
    <n v="797573"/>
    <d v="2024-08-22T00:00:00"/>
    <x v="1"/>
    <m/>
    <n v="2183"/>
    <x v="1"/>
    <n v="6"/>
    <n v="4"/>
    <x v="2"/>
    <n v="2006"/>
    <n v="6"/>
    <n v="1"/>
    <x v="0"/>
    <s v="555-2189"/>
    <x v="1"/>
    <s v="Garden"/>
  </r>
  <r>
    <n v="1995"/>
    <s v="Property 1995"/>
    <x v="4"/>
    <x v="1"/>
    <n v="497302"/>
    <d v="2024-09-17T00:00:00"/>
    <x v="1"/>
    <m/>
    <n v="2281"/>
    <x v="1"/>
    <n v="2"/>
    <n v="3"/>
    <x v="2"/>
    <n v="2014"/>
    <n v="5"/>
    <n v="3"/>
    <x v="8"/>
    <s v="555-6265"/>
    <x v="1"/>
    <s v="Pool"/>
  </r>
  <r>
    <n v="1996"/>
    <s v="Property 1996"/>
    <x v="3"/>
    <x v="1"/>
    <n v="895223"/>
    <d v="2023-12-26T00:00:00"/>
    <x v="1"/>
    <m/>
    <n v="4041"/>
    <x v="1"/>
    <n v="3"/>
    <n v="4"/>
    <x v="1"/>
    <n v="2006"/>
    <n v="10"/>
    <n v="1"/>
    <x v="4"/>
    <s v="555-7388"/>
    <x v="1"/>
    <s v="Gym"/>
  </r>
  <r>
    <n v="1997"/>
    <s v="Property 1997"/>
    <x v="2"/>
    <x v="0"/>
    <n v="905499"/>
    <d v="2024-10-28T00:00:00"/>
    <x v="221"/>
    <n v="929845"/>
    <n v="1580"/>
    <x v="499"/>
    <n v="4"/>
    <n v="3"/>
    <x v="0"/>
    <n v="2020"/>
    <m/>
    <n v="4"/>
    <x v="9"/>
    <s v="555-2817"/>
    <x v="0"/>
    <s v="Pool|Garage|Sauna|Elevator"/>
  </r>
  <r>
    <n v="1998"/>
    <s v="Property 1998"/>
    <x v="4"/>
    <x v="0"/>
    <n v="830378"/>
    <d v="2024-08-02T00:00:00"/>
    <x v="270"/>
    <n v="847541"/>
    <n v="4296"/>
    <x v="500"/>
    <n v="3"/>
    <n v="2"/>
    <x v="2"/>
    <n v="2017"/>
    <n v="3"/>
    <n v="2"/>
    <x v="3"/>
    <s v="555-1547"/>
    <x v="0"/>
    <s v="Gym|Pool|Barn"/>
  </r>
  <r>
    <n v="1999"/>
    <s v="Property 1999"/>
    <x v="2"/>
    <x v="0"/>
    <n v="791764"/>
    <d v="2024-11-15T00:00:00"/>
    <x v="1"/>
    <m/>
    <n v="2382"/>
    <x v="1"/>
    <n v="3"/>
    <n v="2"/>
    <x v="1"/>
    <n v="2012"/>
    <n v="10"/>
    <n v="3"/>
    <x v="6"/>
    <s v="555-9333"/>
    <x v="1"/>
    <s v="Pool|Garage|Sauna|Gym"/>
  </r>
  <r>
    <n v="2000"/>
    <s v="Property 2000"/>
    <x v="0"/>
    <x v="2"/>
    <n v="933434"/>
    <d v="2024-02-16T00:00:00"/>
    <x v="271"/>
    <n v="955774"/>
    <n v="1759"/>
    <x v="501"/>
    <n v="3"/>
    <n v="4"/>
    <x v="2"/>
    <n v="2006"/>
    <n v="2"/>
    <n v="2"/>
    <x v="1"/>
    <s v="555-2929"/>
    <x v="0"/>
    <s v="Barn|Sauna"/>
  </r>
  <r>
    <n v="2001"/>
    <s v="Property 2001"/>
    <x v="0"/>
    <x v="0"/>
    <n v="791129"/>
    <d v="2024-10-15T00:00:00"/>
    <x v="1"/>
    <m/>
    <n v="2144"/>
    <x v="1"/>
    <n v="4"/>
    <n v="2"/>
    <x v="2"/>
    <n v="2023"/>
    <n v="6"/>
    <n v="3"/>
    <x v="0"/>
    <s v="555-3086"/>
    <x v="1"/>
    <s v="Pool"/>
  </r>
  <r>
    <n v="2002"/>
    <s v="Property 2002"/>
    <x v="2"/>
    <x v="2"/>
    <n v="838935"/>
    <d v="2024-06-16T00:00:00"/>
    <x v="1"/>
    <m/>
    <n v="4055"/>
    <x v="1"/>
    <n v="5"/>
    <n v="4"/>
    <x v="1"/>
    <n v="2021"/>
    <n v="10"/>
    <n v="1"/>
    <x v="8"/>
    <s v="555-2185"/>
    <x v="1"/>
    <s v="Fireplace|Garage|Elevator"/>
  </r>
  <r>
    <n v="2003"/>
    <s v="Property 2003"/>
    <x v="0"/>
    <x v="2"/>
    <n v="742434"/>
    <d v="2024-11-21T00:00:00"/>
    <x v="1"/>
    <m/>
    <n v="3880"/>
    <x v="1"/>
    <n v="2"/>
    <n v="2"/>
    <x v="3"/>
    <n v="2012"/>
    <n v="1"/>
    <n v="2"/>
    <x v="7"/>
    <s v="555-2340"/>
    <x v="1"/>
    <s v="Barn"/>
  </r>
  <r>
    <n v="2004"/>
    <s v="Property 2004"/>
    <x v="4"/>
    <x v="1"/>
    <n v="625232"/>
    <d v="2024-03-29T00:00:00"/>
    <x v="77"/>
    <n v="637317"/>
    <n v="3365"/>
    <x v="502"/>
    <n v="3"/>
    <n v="4"/>
    <x v="0"/>
    <n v="2018"/>
    <m/>
    <n v="3"/>
    <x v="3"/>
    <s v="555-5310"/>
    <x v="0"/>
    <s v="Barn|Gym|Pool"/>
  </r>
  <r>
    <n v="2005"/>
    <s v="Property 2005"/>
    <x v="1"/>
    <x v="1"/>
    <n v="440160"/>
    <d v="2024-09-22T00:00:00"/>
    <x v="1"/>
    <m/>
    <n v="3467"/>
    <x v="1"/>
    <n v="2"/>
    <n v="2"/>
    <x v="3"/>
    <n v="2019"/>
    <n v="1"/>
    <n v="2"/>
    <x v="1"/>
    <s v="555-1141"/>
    <x v="1"/>
    <s v="Fireplace|Barn|Pool"/>
  </r>
  <r>
    <n v="2006"/>
    <s v="Property 2006"/>
    <x v="4"/>
    <x v="0"/>
    <n v="403746"/>
    <d v="2023-12-26T00:00:00"/>
    <x v="1"/>
    <m/>
    <n v="1819"/>
    <x v="1"/>
    <n v="6"/>
    <n v="3"/>
    <x v="1"/>
    <n v="2001"/>
    <n v="3"/>
    <n v="2"/>
    <x v="8"/>
    <s v="555-9254"/>
    <x v="1"/>
    <s v="Sauna|Elevator"/>
  </r>
  <r>
    <n v="2007"/>
    <s v="Property 2007"/>
    <x v="1"/>
    <x v="2"/>
    <n v="981250"/>
    <d v="2024-09-27T00:00:00"/>
    <x v="1"/>
    <m/>
    <n v="4169"/>
    <x v="1"/>
    <n v="5"/>
    <n v="2"/>
    <x v="0"/>
    <n v="2000"/>
    <m/>
    <n v="4"/>
    <x v="6"/>
    <s v="555-3110"/>
    <x v="1"/>
    <s v="Garage|Elevator"/>
  </r>
  <r>
    <n v="2008"/>
    <s v="Property 2008"/>
    <x v="0"/>
    <x v="0"/>
    <n v="369981"/>
    <d v="2024-08-01T00:00:00"/>
    <x v="1"/>
    <m/>
    <n v="3063"/>
    <x v="1"/>
    <n v="3"/>
    <n v="2"/>
    <x v="2"/>
    <n v="2000"/>
    <n v="7"/>
    <n v="2"/>
    <x v="8"/>
    <s v="555-7923"/>
    <x v="1"/>
    <s v="Garage|Gym|Barn|Sauna"/>
  </r>
  <r>
    <n v="2009"/>
    <s v="Property 2009"/>
    <x v="1"/>
    <x v="1"/>
    <n v="713947"/>
    <d v="2024-10-31T00:00:00"/>
    <x v="1"/>
    <m/>
    <n v="1279"/>
    <x v="1"/>
    <n v="2"/>
    <n v="3"/>
    <x v="1"/>
    <n v="2006"/>
    <n v="6"/>
    <n v="1"/>
    <x v="2"/>
    <s v="555-4383"/>
    <x v="1"/>
    <s v="Elevator"/>
  </r>
  <r>
    <n v="2010"/>
    <s v="Property 2010"/>
    <x v="4"/>
    <x v="2"/>
    <n v="631499"/>
    <d v="2024-07-27T00:00:00"/>
    <x v="1"/>
    <m/>
    <n v="4718"/>
    <x v="1"/>
    <n v="5"/>
    <n v="2"/>
    <x v="1"/>
    <n v="2006"/>
    <n v="7"/>
    <n v="2"/>
    <x v="9"/>
    <s v="555-7423"/>
    <x v="1"/>
    <s v="Pool"/>
  </r>
  <r>
    <n v="2011"/>
    <s v="Property 2011"/>
    <x v="4"/>
    <x v="1"/>
    <n v="774033"/>
    <d v="2024-01-26T00:00:00"/>
    <x v="182"/>
    <n v="811832"/>
    <n v="1853"/>
    <x v="503"/>
    <n v="3"/>
    <n v="2"/>
    <x v="1"/>
    <n v="2000"/>
    <n v="10"/>
    <n v="4"/>
    <x v="5"/>
    <s v="555-3605"/>
    <x v="0"/>
    <s v="Sauna|Garage|Elevator"/>
  </r>
  <r>
    <n v="2012"/>
    <s v="Property 2012"/>
    <x v="0"/>
    <x v="2"/>
    <n v="390126"/>
    <d v="2024-02-22T00:00:00"/>
    <x v="1"/>
    <m/>
    <n v="2793"/>
    <x v="1"/>
    <n v="5"/>
    <n v="3"/>
    <x v="1"/>
    <n v="2019"/>
    <n v="5"/>
    <n v="1"/>
    <x v="3"/>
    <s v="555-6644"/>
    <x v="1"/>
    <s v="Gym|Garden"/>
  </r>
  <r>
    <n v="2013"/>
    <s v="Property 2013"/>
    <x v="2"/>
    <x v="0"/>
    <n v="651540"/>
    <d v="2024-02-08T00:00:00"/>
    <x v="1"/>
    <m/>
    <n v="3042"/>
    <x v="1"/>
    <n v="2"/>
    <n v="2"/>
    <x v="1"/>
    <n v="2017"/>
    <n v="1"/>
    <n v="4"/>
    <x v="3"/>
    <s v="555-5590"/>
    <x v="1"/>
    <s v="Gym"/>
  </r>
  <r>
    <n v="2014"/>
    <s v="Property 2014"/>
    <x v="2"/>
    <x v="1"/>
    <n v="885247"/>
    <d v="2024-05-31T00:00:00"/>
    <x v="55"/>
    <n v="934548"/>
    <n v="1089"/>
    <x v="504"/>
    <n v="3"/>
    <n v="4"/>
    <x v="2"/>
    <n v="2002"/>
    <n v="5"/>
    <n v="3"/>
    <x v="4"/>
    <s v="555-6750"/>
    <x v="0"/>
    <s v="Barn|Pool|Sauna"/>
  </r>
  <r>
    <n v="2015"/>
    <s v="Property 2015"/>
    <x v="3"/>
    <x v="0"/>
    <n v="872640"/>
    <d v="2024-03-01T00:00:00"/>
    <x v="1"/>
    <m/>
    <n v="4307"/>
    <x v="1"/>
    <n v="4"/>
    <n v="4"/>
    <x v="2"/>
    <n v="2016"/>
    <n v="4"/>
    <n v="4"/>
    <x v="5"/>
    <s v="555-1472"/>
    <x v="1"/>
    <s v="Sauna|Elevator|Garage|Garden"/>
  </r>
  <r>
    <n v="2016"/>
    <s v="Property 2016"/>
    <x v="0"/>
    <x v="1"/>
    <n v="431007"/>
    <d v="2024-02-11T00:00:00"/>
    <x v="1"/>
    <m/>
    <n v="3034"/>
    <x v="1"/>
    <n v="3"/>
    <n v="3"/>
    <x v="3"/>
    <n v="2009"/>
    <n v="9"/>
    <n v="2"/>
    <x v="0"/>
    <s v="555-9027"/>
    <x v="1"/>
    <s v="Barn"/>
  </r>
  <r>
    <n v="2017"/>
    <s v="Property 2017"/>
    <x v="3"/>
    <x v="1"/>
    <n v="434206"/>
    <d v="2024-05-04T00:00:00"/>
    <x v="1"/>
    <m/>
    <n v="4270"/>
    <x v="1"/>
    <n v="3"/>
    <n v="3"/>
    <x v="0"/>
    <n v="2008"/>
    <m/>
    <n v="3"/>
    <x v="9"/>
    <s v="555-8200"/>
    <x v="1"/>
    <s v="Sauna"/>
  </r>
  <r>
    <n v="2018"/>
    <s v="Property 2018"/>
    <x v="1"/>
    <x v="2"/>
    <n v="672650"/>
    <d v="2024-06-26T00:00:00"/>
    <x v="246"/>
    <n v="685450"/>
    <n v="4595"/>
    <x v="505"/>
    <n v="2"/>
    <n v="4"/>
    <x v="2"/>
    <n v="2005"/>
    <n v="1"/>
    <n v="3"/>
    <x v="8"/>
    <s v="555-6100"/>
    <x v="0"/>
    <s v="Barn|Garden"/>
  </r>
  <r>
    <n v="2019"/>
    <s v="Property 2019"/>
    <x v="0"/>
    <x v="1"/>
    <n v="929581"/>
    <d v="2024-04-28T00:00:00"/>
    <x v="196"/>
    <n v="952895"/>
    <n v="3606"/>
    <x v="506"/>
    <n v="4"/>
    <n v="5"/>
    <x v="0"/>
    <n v="2018"/>
    <m/>
    <n v="2"/>
    <x v="8"/>
    <s v="555-8176"/>
    <x v="0"/>
    <s v="Pool|Elevator"/>
  </r>
  <r>
    <n v="2020"/>
    <s v="Property 2020"/>
    <x v="1"/>
    <x v="0"/>
    <n v="994210"/>
    <d v="2024-03-06T00:00:00"/>
    <x v="1"/>
    <m/>
    <n v="1374"/>
    <x v="1"/>
    <n v="6"/>
    <n v="3"/>
    <x v="1"/>
    <n v="2010"/>
    <n v="2"/>
    <n v="4"/>
    <x v="9"/>
    <s v="555-2500"/>
    <x v="1"/>
    <s v="Barn|Elevator"/>
  </r>
  <r>
    <n v="2021"/>
    <s v="Property 2021"/>
    <x v="1"/>
    <x v="1"/>
    <n v="305822"/>
    <d v="2024-05-15T00:00:00"/>
    <x v="1"/>
    <m/>
    <n v="3728"/>
    <x v="1"/>
    <n v="3"/>
    <n v="4"/>
    <x v="3"/>
    <n v="2015"/>
    <n v="10"/>
    <n v="2"/>
    <x v="0"/>
    <s v="555-3268"/>
    <x v="1"/>
    <s v="Garden"/>
  </r>
  <r>
    <n v="2022"/>
    <s v="Property 2022"/>
    <x v="0"/>
    <x v="1"/>
    <n v="869842"/>
    <d v="2023-12-27T00:00:00"/>
    <x v="1"/>
    <m/>
    <n v="4578"/>
    <x v="1"/>
    <n v="3"/>
    <n v="2"/>
    <x v="0"/>
    <n v="2000"/>
    <m/>
    <n v="4"/>
    <x v="8"/>
    <s v="555-1320"/>
    <x v="1"/>
    <s v="Pool|Garden|Elevator"/>
  </r>
  <r>
    <n v="2023"/>
    <s v="Property 2023"/>
    <x v="3"/>
    <x v="1"/>
    <n v="412946"/>
    <d v="2024-06-08T00:00:00"/>
    <x v="63"/>
    <n v="431490"/>
    <n v="4901"/>
    <x v="507"/>
    <n v="2"/>
    <n v="3"/>
    <x v="0"/>
    <n v="2018"/>
    <m/>
    <n v="2"/>
    <x v="6"/>
    <s v="555-3703"/>
    <x v="0"/>
    <s v="Elevator|Fireplace"/>
  </r>
  <r>
    <n v="2024"/>
    <s v="Property 2024"/>
    <x v="4"/>
    <x v="2"/>
    <n v="370303"/>
    <d v="2024-02-21T00:00:00"/>
    <x v="224"/>
    <n v="417076"/>
    <n v="1278"/>
    <x v="508"/>
    <n v="3"/>
    <n v="5"/>
    <x v="3"/>
    <n v="2021"/>
    <n v="6"/>
    <n v="4"/>
    <x v="1"/>
    <s v="555-1573"/>
    <x v="0"/>
    <s v="Pool"/>
  </r>
  <r>
    <n v="2025"/>
    <s v="Property 2025"/>
    <x v="1"/>
    <x v="0"/>
    <n v="362395"/>
    <d v="2024-10-31T00:00:00"/>
    <x v="192"/>
    <n v="387509"/>
    <n v="1250"/>
    <x v="509"/>
    <n v="2"/>
    <n v="2"/>
    <x v="3"/>
    <n v="2014"/>
    <n v="6"/>
    <n v="1"/>
    <x v="2"/>
    <s v="555-8856"/>
    <x v="0"/>
    <s v="Elevator|Garden|Fireplace"/>
  </r>
  <r>
    <n v="2026"/>
    <s v="Property 2026"/>
    <x v="3"/>
    <x v="0"/>
    <n v="687033"/>
    <d v="2024-08-15T00:00:00"/>
    <x v="272"/>
    <n v="719365"/>
    <n v="3212"/>
    <x v="510"/>
    <n v="3"/>
    <n v="5"/>
    <x v="0"/>
    <n v="2014"/>
    <m/>
    <n v="2"/>
    <x v="4"/>
    <s v="555-7071"/>
    <x v="0"/>
    <s v="Pool|Garden"/>
  </r>
  <r>
    <n v="2027"/>
    <s v="Property 2027"/>
    <x v="0"/>
    <x v="0"/>
    <n v="815846"/>
    <d v="2024-01-24T00:00:00"/>
    <x v="70"/>
    <n v="855195"/>
    <n v="3326"/>
    <x v="511"/>
    <n v="6"/>
    <n v="2"/>
    <x v="2"/>
    <n v="2000"/>
    <n v="3"/>
    <n v="2"/>
    <x v="3"/>
    <s v="555-8429"/>
    <x v="0"/>
    <s v="Garden"/>
  </r>
  <r>
    <n v="2028"/>
    <s v="Property 2028"/>
    <x v="4"/>
    <x v="0"/>
    <n v="308242"/>
    <d v="2024-10-18T00:00:00"/>
    <x v="273"/>
    <n v="332697"/>
    <n v="4649"/>
    <x v="512"/>
    <n v="3"/>
    <n v="3"/>
    <x v="1"/>
    <n v="2015"/>
    <n v="5"/>
    <n v="2"/>
    <x v="7"/>
    <s v="555-9184"/>
    <x v="0"/>
    <s v="Barn"/>
  </r>
  <r>
    <n v="2029"/>
    <s v="Property 2029"/>
    <x v="0"/>
    <x v="2"/>
    <n v="589650"/>
    <d v="2024-06-13T00:00:00"/>
    <x v="1"/>
    <m/>
    <n v="4997"/>
    <x v="1"/>
    <n v="6"/>
    <n v="2"/>
    <x v="1"/>
    <n v="2019"/>
    <n v="2"/>
    <n v="1"/>
    <x v="7"/>
    <s v="555-5584"/>
    <x v="1"/>
    <s v="Garden|Gym"/>
  </r>
  <r>
    <n v="2030"/>
    <s v="Property 2030"/>
    <x v="1"/>
    <x v="0"/>
    <n v="692304"/>
    <d v="2024-10-22T00:00:00"/>
    <x v="1"/>
    <m/>
    <n v="4204"/>
    <x v="1"/>
    <n v="6"/>
    <n v="4"/>
    <x v="3"/>
    <n v="2023"/>
    <n v="10"/>
    <n v="4"/>
    <x v="2"/>
    <s v="555-8447"/>
    <x v="1"/>
    <s v="Gym"/>
  </r>
  <r>
    <n v="2031"/>
    <s v="Property 2031"/>
    <x v="1"/>
    <x v="2"/>
    <n v="465865"/>
    <d v="2024-05-06T00:00:00"/>
    <x v="146"/>
    <n v="498463"/>
    <n v="1334"/>
    <x v="513"/>
    <n v="2"/>
    <n v="5"/>
    <x v="0"/>
    <n v="2012"/>
    <m/>
    <n v="4"/>
    <x v="8"/>
    <s v="555-6493"/>
    <x v="0"/>
    <s v="Sauna|Garage|Barn|Fireplace"/>
  </r>
  <r>
    <n v="2032"/>
    <s v="Property 2032"/>
    <x v="3"/>
    <x v="0"/>
    <n v="579555"/>
    <d v="2024-03-12T00:00:00"/>
    <x v="274"/>
    <n v="594811"/>
    <n v="3288"/>
    <x v="514"/>
    <n v="6"/>
    <n v="3"/>
    <x v="0"/>
    <n v="2017"/>
    <m/>
    <n v="3"/>
    <x v="2"/>
    <s v="555-1376"/>
    <x v="0"/>
    <s v="Garage|Pool|Barn"/>
  </r>
  <r>
    <n v="2033"/>
    <s v="Property 2033"/>
    <x v="3"/>
    <x v="1"/>
    <n v="769260"/>
    <d v="2023-12-30T00:00:00"/>
    <x v="183"/>
    <n v="799053"/>
    <n v="2667"/>
    <x v="515"/>
    <n v="2"/>
    <n v="5"/>
    <x v="1"/>
    <n v="2016"/>
    <n v="6"/>
    <n v="3"/>
    <x v="4"/>
    <s v="555-2152"/>
    <x v="0"/>
    <s v="Gym|Garage|Elevator"/>
  </r>
  <r>
    <n v="2034"/>
    <s v="Property 2034"/>
    <x v="0"/>
    <x v="0"/>
    <n v="772797"/>
    <d v="2024-07-14T00:00:00"/>
    <x v="140"/>
    <n v="791365"/>
    <n v="3283"/>
    <x v="516"/>
    <n v="5"/>
    <n v="5"/>
    <x v="3"/>
    <n v="2018"/>
    <n v="5"/>
    <n v="1"/>
    <x v="2"/>
    <s v="555-1842"/>
    <x v="0"/>
    <s v="Garage"/>
  </r>
  <r>
    <n v="2035"/>
    <s v="Property 2035"/>
    <x v="2"/>
    <x v="0"/>
    <n v="545905"/>
    <d v="2024-06-20T00:00:00"/>
    <x v="1"/>
    <m/>
    <n v="1463"/>
    <x v="1"/>
    <n v="6"/>
    <n v="4"/>
    <x v="2"/>
    <n v="2023"/>
    <n v="10"/>
    <n v="3"/>
    <x v="8"/>
    <s v="555-1904"/>
    <x v="1"/>
    <s v="Gym"/>
  </r>
  <r>
    <n v="2036"/>
    <s v="Property 2036"/>
    <x v="3"/>
    <x v="0"/>
    <n v="578396"/>
    <d v="2024-02-14T00:00:00"/>
    <x v="275"/>
    <n v="605899"/>
    <n v="3154"/>
    <x v="517"/>
    <n v="3"/>
    <n v="4"/>
    <x v="3"/>
    <n v="2016"/>
    <n v="4"/>
    <n v="4"/>
    <x v="2"/>
    <s v="555-3273"/>
    <x v="0"/>
    <s v="Fireplace|Garage|Pool|Barn"/>
  </r>
  <r>
    <n v="2037"/>
    <s v="Property 2037"/>
    <x v="1"/>
    <x v="1"/>
    <n v="602495"/>
    <d v="2024-08-22T00:00:00"/>
    <x v="1"/>
    <m/>
    <n v="4983"/>
    <x v="1"/>
    <n v="2"/>
    <n v="5"/>
    <x v="1"/>
    <n v="2009"/>
    <n v="10"/>
    <n v="1"/>
    <x v="5"/>
    <s v="555-9957"/>
    <x v="1"/>
    <s v="Fireplace"/>
  </r>
  <r>
    <n v="2038"/>
    <s v="Property 2038"/>
    <x v="2"/>
    <x v="0"/>
    <n v="935990"/>
    <d v="2024-01-20T00:00:00"/>
    <x v="1"/>
    <m/>
    <n v="3005"/>
    <x v="1"/>
    <n v="3"/>
    <n v="5"/>
    <x v="2"/>
    <n v="2012"/>
    <n v="1"/>
    <n v="2"/>
    <x v="1"/>
    <s v="555-9224"/>
    <x v="1"/>
    <s v="Sauna"/>
  </r>
  <r>
    <n v="2039"/>
    <s v="Property 2039"/>
    <x v="0"/>
    <x v="0"/>
    <n v="808392"/>
    <d v="2024-08-24T00:00:00"/>
    <x v="276"/>
    <n v="819991"/>
    <n v="2104"/>
    <x v="518"/>
    <n v="2"/>
    <n v="2"/>
    <x v="3"/>
    <n v="2015"/>
    <n v="1"/>
    <n v="4"/>
    <x v="7"/>
    <s v="555-6148"/>
    <x v="0"/>
    <s v="Sauna|Barn"/>
  </r>
  <r>
    <n v="2040"/>
    <s v="Property 2040"/>
    <x v="4"/>
    <x v="1"/>
    <n v="773187"/>
    <d v="2024-12-12T00:00:00"/>
    <x v="148"/>
    <n v="820798"/>
    <n v="4514"/>
    <x v="519"/>
    <n v="3"/>
    <n v="5"/>
    <x v="0"/>
    <n v="2013"/>
    <m/>
    <n v="1"/>
    <x v="4"/>
    <s v="555-6760"/>
    <x v="0"/>
    <s v="Garden|Pool"/>
  </r>
  <r>
    <n v="2041"/>
    <s v="Property 2041"/>
    <x v="4"/>
    <x v="2"/>
    <n v="866464"/>
    <d v="2024-03-08T00:00:00"/>
    <x v="1"/>
    <m/>
    <n v="3710"/>
    <x v="1"/>
    <n v="3"/>
    <n v="4"/>
    <x v="1"/>
    <n v="2008"/>
    <n v="6"/>
    <n v="1"/>
    <x v="4"/>
    <s v="555-9398"/>
    <x v="1"/>
    <s v="Sauna"/>
  </r>
  <r>
    <n v="2042"/>
    <s v="Property 2042"/>
    <x v="1"/>
    <x v="2"/>
    <n v="685179"/>
    <d v="2024-10-22T00:00:00"/>
    <x v="277"/>
    <n v="723454"/>
    <n v="4577"/>
    <x v="520"/>
    <n v="3"/>
    <n v="4"/>
    <x v="3"/>
    <n v="2021"/>
    <n v="4"/>
    <n v="2"/>
    <x v="3"/>
    <s v="555-5749"/>
    <x v="0"/>
    <s v="Garage"/>
  </r>
  <r>
    <n v="2043"/>
    <s v="Property 2043"/>
    <x v="1"/>
    <x v="0"/>
    <n v="306099"/>
    <d v="2024-10-15T00:00:00"/>
    <x v="255"/>
    <n v="325151"/>
    <n v="1565"/>
    <x v="521"/>
    <n v="4"/>
    <n v="5"/>
    <x v="3"/>
    <n v="2016"/>
    <n v="1"/>
    <n v="1"/>
    <x v="3"/>
    <s v="555-8987"/>
    <x v="0"/>
    <s v="Fireplace"/>
  </r>
  <r>
    <n v="2044"/>
    <s v="Property 2044"/>
    <x v="0"/>
    <x v="1"/>
    <n v="981218"/>
    <d v="2024-03-30T00:00:00"/>
    <x v="1"/>
    <m/>
    <n v="3977"/>
    <x v="1"/>
    <n v="6"/>
    <n v="2"/>
    <x v="3"/>
    <n v="2017"/>
    <n v="3"/>
    <n v="4"/>
    <x v="6"/>
    <s v="555-1492"/>
    <x v="1"/>
    <s v="Gym"/>
  </r>
  <r>
    <n v="2045"/>
    <s v="Property 2045"/>
    <x v="3"/>
    <x v="1"/>
    <n v="675196"/>
    <d v="2024-07-03T00:00:00"/>
    <x v="1"/>
    <m/>
    <n v="3774"/>
    <x v="1"/>
    <n v="4"/>
    <n v="5"/>
    <x v="3"/>
    <n v="2012"/>
    <n v="3"/>
    <n v="2"/>
    <x v="5"/>
    <s v="555-9329"/>
    <x v="1"/>
    <s v="Fireplace|Garage|Gym"/>
  </r>
  <r>
    <n v="2046"/>
    <s v="Property 2046"/>
    <x v="2"/>
    <x v="0"/>
    <n v="643100"/>
    <d v="2024-02-01T00:00:00"/>
    <x v="1"/>
    <m/>
    <n v="3761"/>
    <x v="1"/>
    <n v="5"/>
    <n v="4"/>
    <x v="3"/>
    <n v="2008"/>
    <n v="6"/>
    <n v="2"/>
    <x v="5"/>
    <s v="555-4535"/>
    <x v="1"/>
    <s v="Sauna|Barn"/>
  </r>
  <r>
    <n v="2047"/>
    <s v="Property 2047"/>
    <x v="3"/>
    <x v="2"/>
    <n v="767353"/>
    <d v="2024-04-20T00:00:00"/>
    <x v="127"/>
    <n v="802223"/>
    <n v="3379"/>
    <x v="522"/>
    <n v="6"/>
    <n v="4"/>
    <x v="3"/>
    <n v="2013"/>
    <n v="6"/>
    <n v="2"/>
    <x v="7"/>
    <s v="555-3127"/>
    <x v="0"/>
    <s v="Garden|Sauna"/>
  </r>
  <r>
    <n v="2048"/>
    <s v="Property 2048"/>
    <x v="2"/>
    <x v="0"/>
    <n v="534319"/>
    <d v="2024-11-05T00:00:00"/>
    <x v="278"/>
    <n v="563538"/>
    <n v="4618"/>
    <x v="523"/>
    <n v="6"/>
    <n v="5"/>
    <x v="2"/>
    <n v="2013"/>
    <n v="5"/>
    <n v="4"/>
    <x v="3"/>
    <s v="555-3113"/>
    <x v="0"/>
    <s v="Garage|Gym|Elevator|Barn"/>
  </r>
  <r>
    <n v="2049"/>
    <s v="Property 2049"/>
    <x v="2"/>
    <x v="0"/>
    <n v="852307"/>
    <d v="2024-12-15T00:00:00"/>
    <x v="1"/>
    <m/>
    <n v="2730"/>
    <x v="1"/>
    <n v="4"/>
    <n v="4"/>
    <x v="0"/>
    <n v="2016"/>
    <m/>
    <n v="2"/>
    <x v="8"/>
    <s v="555-1825"/>
    <x v="1"/>
    <s v="Pool"/>
  </r>
  <r>
    <n v="2050"/>
    <s v="Property 2050"/>
    <x v="0"/>
    <x v="1"/>
    <n v="576312"/>
    <d v="2024-05-28T00:00:00"/>
    <x v="279"/>
    <n v="616448"/>
    <n v="2419"/>
    <x v="524"/>
    <n v="2"/>
    <n v="5"/>
    <x v="3"/>
    <n v="2023"/>
    <n v="5"/>
    <n v="1"/>
    <x v="0"/>
    <s v="555-6893"/>
    <x v="0"/>
    <s v="Barn"/>
  </r>
  <r>
    <n v="2051"/>
    <s v="Property 2051"/>
    <x v="2"/>
    <x v="0"/>
    <n v="914863"/>
    <d v="2024-02-28T00:00:00"/>
    <x v="202"/>
    <n v="947493"/>
    <n v="3770"/>
    <x v="525"/>
    <n v="4"/>
    <n v="5"/>
    <x v="0"/>
    <n v="2023"/>
    <m/>
    <n v="4"/>
    <x v="1"/>
    <s v="555-3851"/>
    <x v="0"/>
    <s v="Elevator"/>
  </r>
  <r>
    <n v="2052"/>
    <s v="Property 2052"/>
    <x v="1"/>
    <x v="0"/>
    <n v="776294"/>
    <d v="2024-01-28T00:00:00"/>
    <x v="280"/>
    <n v="823920"/>
    <n v="3612"/>
    <x v="526"/>
    <n v="3"/>
    <n v="2"/>
    <x v="0"/>
    <n v="2023"/>
    <m/>
    <n v="1"/>
    <x v="1"/>
    <s v="555-4950"/>
    <x v="0"/>
    <s v="Gym|Pool|Elevator"/>
  </r>
  <r>
    <n v="2053"/>
    <s v="Property 2053"/>
    <x v="0"/>
    <x v="1"/>
    <n v="985709"/>
    <d v="2024-06-15T00:00:00"/>
    <x v="1"/>
    <m/>
    <n v="3200"/>
    <x v="1"/>
    <n v="3"/>
    <n v="5"/>
    <x v="3"/>
    <n v="2012"/>
    <n v="2"/>
    <n v="1"/>
    <x v="8"/>
    <s v="555-6017"/>
    <x v="1"/>
    <s v="Sauna|Gym"/>
  </r>
  <r>
    <n v="2054"/>
    <s v="Property 2054"/>
    <x v="3"/>
    <x v="1"/>
    <n v="984790"/>
    <d v="2024-09-19T00:00:00"/>
    <x v="222"/>
    <n v="1005596"/>
    <n v="2606"/>
    <x v="527"/>
    <n v="4"/>
    <n v="2"/>
    <x v="0"/>
    <n v="2013"/>
    <m/>
    <n v="1"/>
    <x v="0"/>
    <s v="555-4627"/>
    <x v="0"/>
    <s v="Garage|Pool|Sauna|Fireplace"/>
  </r>
  <r>
    <n v="2055"/>
    <s v="Property 2055"/>
    <x v="2"/>
    <x v="2"/>
    <n v="358257"/>
    <d v="2024-03-12T00:00:00"/>
    <x v="1"/>
    <m/>
    <n v="4832"/>
    <x v="1"/>
    <n v="6"/>
    <n v="3"/>
    <x v="1"/>
    <n v="2016"/>
    <n v="3"/>
    <n v="1"/>
    <x v="6"/>
    <s v="555-7951"/>
    <x v="1"/>
    <s v="Barn"/>
  </r>
  <r>
    <n v="2056"/>
    <s v="Property 2056"/>
    <x v="1"/>
    <x v="2"/>
    <n v="341804"/>
    <d v="2023-12-30T00:00:00"/>
    <x v="1"/>
    <m/>
    <n v="3821"/>
    <x v="1"/>
    <n v="6"/>
    <n v="5"/>
    <x v="0"/>
    <n v="2006"/>
    <m/>
    <n v="3"/>
    <x v="9"/>
    <s v="555-8298"/>
    <x v="1"/>
    <s v="Garage|Fireplace|Gym|Elevator"/>
  </r>
  <r>
    <n v="2057"/>
    <s v="Property 2057"/>
    <x v="4"/>
    <x v="2"/>
    <n v="431451"/>
    <d v="2024-09-22T00:00:00"/>
    <x v="1"/>
    <m/>
    <n v="1606"/>
    <x v="1"/>
    <n v="3"/>
    <n v="2"/>
    <x v="2"/>
    <n v="2010"/>
    <n v="7"/>
    <n v="3"/>
    <x v="1"/>
    <s v="555-1207"/>
    <x v="1"/>
    <s v="Garden|Fireplace|Elevator|Gym"/>
  </r>
  <r>
    <n v="2058"/>
    <s v="Property 2058"/>
    <x v="0"/>
    <x v="0"/>
    <n v="438333"/>
    <d v="2024-04-14T00:00:00"/>
    <x v="180"/>
    <n v="481612"/>
    <n v="2452"/>
    <x v="528"/>
    <n v="3"/>
    <n v="4"/>
    <x v="0"/>
    <n v="2004"/>
    <m/>
    <n v="3"/>
    <x v="8"/>
    <s v="555-8908"/>
    <x v="0"/>
    <s v="Gym|Garage|Barn|Pool"/>
  </r>
  <r>
    <n v="2059"/>
    <s v="Property 2059"/>
    <x v="0"/>
    <x v="0"/>
    <n v="935447"/>
    <d v="2024-02-07T00:00:00"/>
    <x v="1"/>
    <m/>
    <n v="4433"/>
    <x v="1"/>
    <n v="5"/>
    <n v="3"/>
    <x v="1"/>
    <n v="2011"/>
    <n v="1"/>
    <n v="4"/>
    <x v="1"/>
    <s v="555-4035"/>
    <x v="1"/>
    <s v="Pool|Gym"/>
  </r>
  <r>
    <n v="2060"/>
    <s v="Property 2060"/>
    <x v="3"/>
    <x v="0"/>
    <n v="997156"/>
    <d v="2024-10-11T00:00:00"/>
    <x v="1"/>
    <m/>
    <n v="2477"/>
    <x v="1"/>
    <n v="6"/>
    <n v="5"/>
    <x v="0"/>
    <n v="2022"/>
    <m/>
    <n v="3"/>
    <x v="8"/>
    <s v="555-1694"/>
    <x v="1"/>
    <s v="Fireplace|Barn"/>
  </r>
  <r>
    <n v="2061"/>
    <s v="Property 2061"/>
    <x v="2"/>
    <x v="2"/>
    <n v="376592"/>
    <d v="2023-12-30T00:00:00"/>
    <x v="169"/>
    <n v="414751"/>
    <n v="4698"/>
    <x v="529"/>
    <n v="2"/>
    <n v="4"/>
    <x v="1"/>
    <n v="2016"/>
    <n v="2"/>
    <n v="1"/>
    <x v="5"/>
    <s v="555-6551"/>
    <x v="0"/>
    <s v="Fireplace|Sauna"/>
  </r>
  <r>
    <n v="2062"/>
    <s v="Property 2062"/>
    <x v="4"/>
    <x v="2"/>
    <n v="900765"/>
    <d v="2024-10-12T00:00:00"/>
    <x v="0"/>
    <n v="924700"/>
    <n v="4042"/>
    <x v="530"/>
    <n v="2"/>
    <n v="2"/>
    <x v="1"/>
    <n v="2019"/>
    <n v="5"/>
    <n v="4"/>
    <x v="9"/>
    <s v="555-8671"/>
    <x v="0"/>
    <s v="Sauna|Pool"/>
  </r>
  <r>
    <n v="2063"/>
    <s v="Property 2063"/>
    <x v="0"/>
    <x v="1"/>
    <n v="797915"/>
    <d v="2024-04-22T00:00:00"/>
    <x v="48"/>
    <n v="828474"/>
    <n v="4406"/>
    <x v="531"/>
    <n v="2"/>
    <n v="2"/>
    <x v="0"/>
    <n v="2004"/>
    <m/>
    <n v="2"/>
    <x v="6"/>
    <s v="555-2141"/>
    <x v="0"/>
    <s v="Barn|Fireplace"/>
  </r>
  <r>
    <n v="2064"/>
    <s v="Property 2064"/>
    <x v="0"/>
    <x v="1"/>
    <n v="797416"/>
    <d v="2024-08-23T00:00:00"/>
    <x v="166"/>
    <n v="809018"/>
    <n v="2063"/>
    <x v="532"/>
    <n v="4"/>
    <n v="4"/>
    <x v="0"/>
    <n v="2020"/>
    <m/>
    <n v="4"/>
    <x v="5"/>
    <s v="555-1088"/>
    <x v="0"/>
    <s v="Pool|Elevator"/>
  </r>
  <r>
    <n v="2065"/>
    <s v="Property 2065"/>
    <x v="4"/>
    <x v="2"/>
    <n v="458131"/>
    <d v="2024-07-17T00:00:00"/>
    <x v="281"/>
    <n v="486244"/>
    <n v="2806"/>
    <x v="533"/>
    <n v="3"/>
    <n v="3"/>
    <x v="3"/>
    <n v="2020"/>
    <n v="6"/>
    <n v="2"/>
    <x v="1"/>
    <s v="555-6436"/>
    <x v="0"/>
    <s v="Elevator"/>
  </r>
  <r>
    <n v="2066"/>
    <s v="Property 2066"/>
    <x v="0"/>
    <x v="1"/>
    <n v="580374"/>
    <d v="2024-04-27T00:00:00"/>
    <x v="1"/>
    <m/>
    <n v="4192"/>
    <x v="1"/>
    <n v="2"/>
    <n v="5"/>
    <x v="1"/>
    <n v="2001"/>
    <n v="3"/>
    <n v="4"/>
    <x v="3"/>
    <s v="555-1595"/>
    <x v="1"/>
    <s v="Elevator|Pool"/>
  </r>
  <r>
    <n v="2067"/>
    <s v="Property 2067"/>
    <x v="4"/>
    <x v="1"/>
    <n v="402986"/>
    <d v="2024-03-12T00:00:00"/>
    <x v="250"/>
    <n v="413485"/>
    <n v="2079"/>
    <x v="534"/>
    <n v="2"/>
    <n v="2"/>
    <x v="0"/>
    <n v="2000"/>
    <m/>
    <n v="4"/>
    <x v="6"/>
    <s v="555-3936"/>
    <x v="0"/>
    <s v="Fireplace|Garden|Garage"/>
  </r>
  <r>
    <n v="2068"/>
    <s v="Property 2068"/>
    <x v="1"/>
    <x v="2"/>
    <n v="532676"/>
    <d v="2024-05-05T00:00:00"/>
    <x v="1"/>
    <m/>
    <n v="4520"/>
    <x v="1"/>
    <n v="2"/>
    <n v="5"/>
    <x v="0"/>
    <n v="2011"/>
    <m/>
    <n v="3"/>
    <x v="4"/>
    <s v="555-2281"/>
    <x v="1"/>
    <s v="Gym"/>
  </r>
  <r>
    <n v="2069"/>
    <s v="Property 2069"/>
    <x v="1"/>
    <x v="1"/>
    <n v="473189"/>
    <d v="2024-02-24T00:00:00"/>
    <x v="274"/>
    <n v="488941"/>
    <n v="2216"/>
    <x v="535"/>
    <n v="6"/>
    <n v="3"/>
    <x v="0"/>
    <n v="2015"/>
    <m/>
    <n v="3"/>
    <x v="0"/>
    <s v="555-4539"/>
    <x v="0"/>
    <s v="Fireplace|Pool"/>
  </r>
  <r>
    <n v="2070"/>
    <s v="Property 2070"/>
    <x v="0"/>
    <x v="1"/>
    <n v="843425"/>
    <d v="2024-03-22T00:00:00"/>
    <x v="59"/>
    <n v="859044"/>
    <n v="4238"/>
    <x v="536"/>
    <n v="3"/>
    <n v="3"/>
    <x v="2"/>
    <n v="2013"/>
    <n v="7"/>
    <n v="3"/>
    <x v="9"/>
    <s v="555-1636"/>
    <x v="0"/>
    <s v="Garage|Pool|Gym|Sauna"/>
  </r>
  <r>
    <n v="2071"/>
    <s v="Property 2071"/>
    <x v="2"/>
    <x v="0"/>
    <n v="515136"/>
    <d v="2024-04-22T00:00:00"/>
    <x v="1"/>
    <m/>
    <n v="3360"/>
    <x v="1"/>
    <n v="4"/>
    <n v="3"/>
    <x v="2"/>
    <n v="2018"/>
    <n v="5"/>
    <n v="2"/>
    <x v="5"/>
    <s v="555-8357"/>
    <x v="1"/>
    <s v="Sauna"/>
  </r>
  <r>
    <n v="2072"/>
    <s v="Property 2072"/>
    <x v="2"/>
    <x v="0"/>
    <n v="906413"/>
    <d v="2023-12-18T00:00:00"/>
    <x v="1"/>
    <m/>
    <n v="4166"/>
    <x v="1"/>
    <n v="6"/>
    <n v="3"/>
    <x v="1"/>
    <n v="2010"/>
    <n v="8"/>
    <n v="2"/>
    <x v="3"/>
    <s v="555-4945"/>
    <x v="1"/>
    <s v="Gym|Elevator|Fireplace|Pool"/>
  </r>
  <r>
    <n v="2073"/>
    <s v="Property 2073"/>
    <x v="1"/>
    <x v="1"/>
    <n v="800335"/>
    <d v="2024-02-25T00:00:00"/>
    <x v="1"/>
    <m/>
    <n v="4047"/>
    <x v="1"/>
    <n v="2"/>
    <n v="5"/>
    <x v="2"/>
    <n v="2016"/>
    <n v="6"/>
    <n v="2"/>
    <x v="2"/>
    <s v="555-2497"/>
    <x v="1"/>
    <s v="Sauna|Elevator|Gym|Garden"/>
  </r>
  <r>
    <n v="2074"/>
    <s v="Property 2074"/>
    <x v="4"/>
    <x v="0"/>
    <n v="787929"/>
    <d v="2024-03-11T00:00:00"/>
    <x v="1"/>
    <m/>
    <n v="4740"/>
    <x v="1"/>
    <n v="4"/>
    <n v="4"/>
    <x v="2"/>
    <n v="2019"/>
    <n v="4"/>
    <n v="4"/>
    <x v="4"/>
    <s v="555-6379"/>
    <x v="1"/>
    <s v="Garage|Fireplace|Barn"/>
  </r>
  <r>
    <n v="2075"/>
    <s v="Property 2075"/>
    <x v="2"/>
    <x v="0"/>
    <n v="981740"/>
    <d v="2024-07-13T00:00:00"/>
    <x v="147"/>
    <n v="1006191"/>
    <n v="2019"/>
    <x v="537"/>
    <n v="4"/>
    <n v="4"/>
    <x v="2"/>
    <n v="2016"/>
    <n v="8"/>
    <n v="1"/>
    <x v="3"/>
    <s v="555-3514"/>
    <x v="0"/>
    <s v="Garage|Pool|Gym|Sauna"/>
  </r>
  <r>
    <n v="2076"/>
    <s v="Property 2076"/>
    <x v="1"/>
    <x v="2"/>
    <n v="421009"/>
    <d v="2024-12-16T00:00:00"/>
    <x v="46"/>
    <n v="440172"/>
    <n v="2059"/>
    <x v="538"/>
    <n v="4"/>
    <n v="5"/>
    <x v="1"/>
    <n v="2020"/>
    <n v="10"/>
    <n v="4"/>
    <x v="9"/>
    <s v="555-9930"/>
    <x v="0"/>
    <s v="Sauna|Elevator"/>
  </r>
  <r>
    <n v="2077"/>
    <s v="Property 2077"/>
    <x v="4"/>
    <x v="2"/>
    <n v="369464"/>
    <d v="2024-05-28T00:00:00"/>
    <x v="1"/>
    <m/>
    <n v="3125"/>
    <x v="1"/>
    <n v="4"/>
    <n v="3"/>
    <x v="0"/>
    <n v="2007"/>
    <m/>
    <n v="4"/>
    <x v="0"/>
    <s v="555-3234"/>
    <x v="1"/>
    <s v="Garage|Pool|Gym"/>
  </r>
  <r>
    <n v="2078"/>
    <s v="Property 2078"/>
    <x v="1"/>
    <x v="0"/>
    <n v="901851"/>
    <d v="2024-06-26T00:00:00"/>
    <x v="1"/>
    <m/>
    <n v="3030"/>
    <x v="1"/>
    <n v="6"/>
    <n v="4"/>
    <x v="0"/>
    <n v="2017"/>
    <m/>
    <n v="4"/>
    <x v="9"/>
    <s v="555-4698"/>
    <x v="1"/>
    <s v="Fireplace"/>
  </r>
  <r>
    <n v="2079"/>
    <s v="Property 2079"/>
    <x v="1"/>
    <x v="1"/>
    <n v="821491"/>
    <d v="2024-10-09T00:00:00"/>
    <x v="197"/>
    <n v="840907"/>
    <n v="3606"/>
    <x v="539"/>
    <n v="4"/>
    <n v="2"/>
    <x v="3"/>
    <n v="2007"/>
    <n v="1"/>
    <n v="4"/>
    <x v="2"/>
    <s v="555-1740"/>
    <x v="0"/>
    <s v="Fireplace"/>
  </r>
  <r>
    <n v="2080"/>
    <s v="Property 2080"/>
    <x v="4"/>
    <x v="0"/>
    <n v="669179"/>
    <d v="2024-02-27T00:00:00"/>
    <x v="1"/>
    <m/>
    <n v="1080"/>
    <x v="1"/>
    <n v="2"/>
    <n v="2"/>
    <x v="2"/>
    <n v="2002"/>
    <n v="5"/>
    <n v="4"/>
    <x v="9"/>
    <s v="555-5123"/>
    <x v="1"/>
    <s v="Garden|Pool|Barn|Sauna"/>
  </r>
  <r>
    <n v="2081"/>
    <s v="Property 2081"/>
    <x v="3"/>
    <x v="0"/>
    <n v="996644"/>
    <d v="2024-07-23T00:00:00"/>
    <x v="1"/>
    <m/>
    <n v="2959"/>
    <x v="1"/>
    <n v="6"/>
    <n v="2"/>
    <x v="1"/>
    <n v="2000"/>
    <n v="10"/>
    <n v="2"/>
    <x v="7"/>
    <s v="555-7362"/>
    <x v="1"/>
    <s v="Fireplace|Pool|Sauna|Garage"/>
  </r>
  <r>
    <n v="2082"/>
    <s v="Property 2082"/>
    <x v="3"/>
    <x v="0"/>
    <n v="897457"/>
    <d v="2024-08-16T00:00:00"/>
    <x v="219"/>
    <n v="930578"/>
    <n v="2452"/>
    <x v="540"/>
    <n v="2"/>
    <n v="2"/>
    <x v="2"/>
    <n v="2020"/>
    <n v="9"/>
    <n v="1"/>
    <x v="3"/>
    <s v="555-8761"/>
    <x v="0"/>
    <s v="Pool|Gym"/>
  </r>
  <r>
    <n v="2083"/>
    <s v="Property 2083"/>
    <x v="3"/>
    <x v="2"/>
    <n v="768999"/>
    <d v="2024-09-10T00:00:00"/>
    <x v="1"/>
    <m/>
    <n v="2091"/>
    <x v="1"/>
    <n v="3"/>
    <n v="5"/>
    <x v="0"/>
    <n v="2008"/>
    <m/>
    <n v="3"/>
    <x v="0"/>
    <s v="555-6226"/>
    <x v="1"/>
    <s v="Barn|Fireplace|Garden|Pool"/>
  </r>
  <r>
    <n v="2084"/>
    <s v="Property 2084"/>
    <x v="0"/>
    <x v="0"/>
    <n v="940177"/>
    <d v="2024-04-29T00:00:00"/>
    <x v="1"/>
    <m/>
    <n v="2223"/>
    <x v="1"/>
    <n v="4"/>
    <n v="4"/>
    <x v="0"/>
    <n v="2018"/>
    <m/>
    <n v="3"/>
    <x v="2"/>
    <s v="555-9390"/>
    <x v="1"/>
    <s v="Fireplace"/>
  </r>
  <r>
    <n v="2085"/>
    <s v="Property 2085"/>
    <x v="1"/>
    <x v="0"/>
    <n v="660589"/>
    <d v="2024-07-03T00:00:00"/>
    <x v="281"/>
    <n v="700555"/>
    <n v="2371"/>
    <x v="541"/>
    <n v="3"/>
    <n v="5"/>
    <x v="0"/>
    <n v="2005"/>
    <m/>
    <n v="1"/>
    <x v="9"/>
    <s v="555-7904"/>
    <x v="0"/>
    <s v="Elevator"/>
  </r>
  <r>
    <n v="2086"/>
    <s v="Property 2086"/>
    <x v="2"/>
    <x v="1"/>
    <n v="322317"/>
    <d v="2024-08-16T00:00:00"/>
    <x v="1"/>
    <m/>
    <n v="3972"/>
    <x v="1"/>
    <n v="2"/>
    <n v="2"/>
    <x v="2"/>
    <n v="2022"/>
    <n v="8"/>
    <n v="4"/>
    <x v="0"/>
    <s v="555-3886"/>
    <x v="1"/>
    <s v="Garden|Barn|Garage|Gym"/>
  </r>
  <r>
    <n v="2087"/>
    <s v="Property 2087"/>
    <x v="3"/>
    <x v="0"/>
    <n v="542957"/>
    <d v="2024-08-01T00:00:00"/>
    <x v="1"/>
    <m/>
    <n v="2111"/>
    <x v="1"/>
    <n v="5"/>
    <n v="4"/>
    <x v="3"/>
    <n v="2006"/>
    <n v="7"/>
    <n v="1"/>
    <x v="7"/>
    <s v="555-1434"/>
    <x v="1"/>
    <s v="Sauna"/>
  </r>
  <r>
    <n v="2088"/>
    <s v="Property 2088"/>
    <x v="4"/>
    <x v="1"/>
    <n v="907644"/>
    <d v="2024-02-12T00:00:00"/>
    <x v="1"/>
    <m/>
    <n v="1992"/>
    <x v="1"/>
    <n v="6"/>
    <n v="2"/>
    <x v="3"/>
    <n v="2018"/>
    <n v="2"/>
    <n v="4"/>
    <x v="1"/>
    <s v="555-4865"/>
    <x v="1"/>
    <s v="Barn"/>
  </r>
  <r>
    <n v="2089"/>
    <s v="Property 2089"/>
    <x v="3"/>
    <x v="1"/>
    <n v="391367"/>
    <d v="2024-12-11T00:00:00"/>
    <x v="72"/>
    <n v="428463"/>
    <n v="4037"/>
    <x v="542"/>
    <n v="2"/>
    <n v="5"/>
    <x v="3"/>
    <n v="2016"/>
    <n v="3"/>
    <n v="1"/>
    <x v="6"/>
    <s v="555-5442"/>
    <x v="0"/>
    <s v="Pool|Garage"/>
  </r>
  <r>
    <n v="2090"/>
    <s v="Property 2090"/>
    <x v="4"/>
    <x v="1"/>
    <n v="440665"/>
    <d v="2024-11-27T00:00:00"/>
    <x v="33"/>
    <n v="488979"/>
    <n v="4152"/>
    <x v="543"/>
    <n v="3"/>
    <n v="3"/>
    <x v="0"/>
    <n v="2001"/>
    <m/>
    <n v="2"/>
    <x v="4"/>
    <s v="555-7340"/>
    <x v="0"/>
    <s v="Garden|Garage|Elevator|Pool"/>
  </r>
  <r>
    <n v="2091"/>
    <s v="Property 2091"/>
    <x v="2"/>
    <x v="1"/>
    <n v="319964"/>
    <d v="2024-02-02T00:00:00"/>
    <x v="1"/>
    <m/>
    <n v="3118"/>
    <x v="1"/>
    <n v="5"/>
    <n v="4"/>
    <x v="3"/>
    <n v="2012"/>
    <n v="8"/>
    <n v="3"/>
    <x v="5"/>
    <s v="555-5191"/>
    <x v="1"/>
    <s v="Sauna|Elevator|Garage|Pool"/>
  </r>
  <r>
    <n v="2092"/>
    <s v="Property 2092"/>
    <x v="3"/>
    <x v="1"/>
    <n v="313383"/>
    <d v="2024-10-18T00:00:00"/>
    <x v="81"/>
    <n v="337600"/>
    <n v="4593"/>
    <x v="544"/>
    <n v="6"/>
    <n v="5"/>
    <x v="1"/>
    <n v="2002"/>
    <n v="9"/>
    <n v="1"/>
    <x v="3"/>
    <s v="555-1743"/>
    <x v="0"/>
    <s v="Gym"/>
  </r>
  <r>
    <n v="2093"/>
    <s v="Property 2093"/>
    <x v="1"/>
    <x v="2"/>
    <n v="825926"/>
    <d v="2024-05-20T00:00:00"/>
    <x v="1"/>
    <m/>
    <n v="1530"/>
    <x v="1"/>
    <n v="2"/>
    <n v="5"/>
    <x v="3"/>
    <n v="2003"/>
    <n v="2"/>
    <n v="4"/>
    <x v="2"/>
    <s v="555-7230"/>
    <x v="1"/>
    <s v="Elevator|Gym|Pool|Garage"/>
  </r>
  <r>
    <n v="2094"/>
    <s v="Property 2094"/>
    <x v="0"/>
    <x v="0"/>
    <n v="379230"/>
    <d v="2024-04-07T00:00:00"/>
    <x v="1"/>
    <m/>
    <n v="4317"/>
    <x v="1"/>
    <n v="6"/>
    <n v="4"/>
    <x v="3"/>
    <n v="2013"/>
    <n v="7"/>
    <n v="2"/>
    <x v="7"/>
    <s v="555-5276"/>
    <x v="1"/>
    <s v="Pool|Garage|Elevator"/>
  </r>
  <r>
    <n v="2095"/>
    <s v="Property 2095"/>
    <x v="4"/>
    <x v="2"/>
    <n v="501974"/>
    <d v="2024-11-17T00:00:00"/>
    <x v="1"/>
    <m/>
    <n v="1254"/>
    <x v="1"/>
    <n v="3"/>
    <n v="2"/>
    <x v="3"/>
    <n v="2009"/>
    <n v="2"/>
    <n v="1"/>
    <x v="3"/>
    <s v="555-4123"/>
    <x v="1"/>
    <s v="Garden|Barn|Sauna"/>
  </r>
  <r>
    <n v="2096"/>
    <s v="Property 2096"/>
    <x v="0"/>
    <x v="2"/>
    <n v="361056"/>
    <d v="2023-12-31T00:00:00"/>
    <x v="1"/>
    <m/>
    <n v="2681"/>
    <x v="1"/>
    <n v="4"/>
    <n v="3"/>
    <x v="2"/>
    <n v="2003"/>
    <n v="1"/>
    <n v="3"/>
    <x v="3"/>
    <s v="555-5233"/>
    <x v="1"/>
    <s v="Barn|Fireplace"/>
  </r>
  <r>
    <n v="2097"/>
    <s v="Property 2097"/>
    <x v="3"/>
    <x v="0"/>
    <n v="544386"/>
    <d v="2024-07-19T00:00:00"/>
    <x v="1"/>
    <m/>
    <n v="2930"/>
    <x v="1"/>
    <n v="6"/>
    <n v="3"/>
    <x v="1"/>
    <n v="2000"/>
    <n v="9"/>
    <n v="2"/>
    <x v="3"/>
    <s v="555-9929"/>
    <x v="1"/>
    <s v="Barn"/>
  </r>
  <r>
    <n v="2098"/>
    <s v="Property 2098"/>
    <x v="4"/>
    <x v="1"/>
    <n v="754059"/>
    <d v="2024-10-05T00:00:00"/>
    <x v="1"/>
    <m/>
    <n v="3136"/>
    <x v="1"/>
    <n v="2"/>
    <n v="5"/>
    <x v="2"/>
    <n v="2013"/>
    <n v="8"/>
    <n v="2"/>
    <x v="4"/>
    <s v="555-8496"/>
    <x v="1"/>
    <s v="Garage"/>
  </r>
  <r>
    <n v="2099"/>
    <s v="Property 2099"/>
    <x v="1"/>
    <x v="1"/>
    <n v="675000"/>
    <d v="2024-01-13T00:00:00"/>
    <x v="1"/>
    <m/>
    <n v="4184"/>
    <x v="1"/>
    <n v="3"/>
    <n v="4"/>
    <x v="0"/>
    <n v="2002"/>
    <m/>
    <n v="1"/>
    <x v="3"/>
    <s v="555-7895"/>
    <x v="1"/>
    <s v="Fireplace|Pool|Garage|Barn"/>
  </r>
  <r>
    <n v="2100"/>
    <s v="Property 2100"/>
    <x v="1"/>
    <x v="0"/>
    <n v="475119"/>
    <d v="2024-01-15T00:00:00"/>
    <x v="1"/>
    <m/>
    <n v="1148"/>
    <x v="1"/>
    <n v="3"/>
    <n v="2"/>
    <x v="1"/>
    <n v="2021"/>
    <n v="10"/>
    <n v="2"/>
    <x v="4"/>
    <s v="555-4203"/>
    <x v="1"/>
    <s v="Garden|Pool|Fireplace|Gym"/>
  </r>
  <r>
    <n v="2101"/>
    <s v="Property 2101"/>
    <x v="3"/>
    <x v="1"/>
    <n v="766116"/>
    <d v="2024-10-02T00:00:00"/>
    <x v="282"/>
    <n v="806575"/>
    <n v="3390"/>
    <x v="545"/>
    <n v="2"/>
    <n v="2"/>
    <x v="1"/>
    <n v="2003"/>
    <n v="1"/>
    <n v="1"/>
    <x v="9"/>
    <s v="555-4442"/>
    <x v="0"/>
    <s v="Gym|Barn"/>
  </r>
  <r>
    <n v="2102"/>
    <s v="Property 2102"/>
    <x v="3"/>
    <x v="0"/>
    <n v="479188"/>
    <d v="2024-03-09T00:00:00"/>
    <x v="1"/>
    <m/>
    <n v="4023"/>
    <x v="1"/>
    <n v="6"/>
    <n v="4"/>
    <x v="2"/>
    <n v="2000"/>
    <n v="2"/>
    <n v="1"/>
    <x v="7"/>
    <s v="555-7193"/>
    <x v="1"/>
    <s v="Pool"/>
  </r>
  <r>
    <n v="2103"/>
    <s v="Property 2103"/>
    <x v="2"/>
    <x v="2"/>
    <n v="717902"/>
    <d v="2024-06-28T00:00:00"/>
    <x v="232"/>
    <n v="753117"/>
    <n v="3177"/>
    <x v="546"/>
    <n v="4"/>
    <n v="2"/>
    <x v="0"/>
    <n v="2012"/>
    <m/>
    <n v="2"/>
    <x v="0"/>
    <s v="555-2922"/>
    <x v="0"/>
    <s v="Garden|Barn"/>
  </r>
  <r>
    <n v="2104"/>
    <s v="Property 2104"/>
    <x v="3"/>
    <x v="0"/>
    <n v="442164"/>
    <d v="2024-09-17T00:00:00"/>
    <x v="1"/>
    <m/>
    <n v="1728"/>
    <x v="1"/>
    <n v="3"/>
    <n v="2"/>
    <x v="1"/>
    <n v="2008"/>
    <n v="2"/>
    <n v="3"/>
    <x v="8"/>
    <s v="555-4640"/>
    <x v="1"/>
    <s v="Sauna|Pool"/>
  </r>
  <r>
    <n v="2105"/>
    <s v="Property 2105"/>
    <x v="3"/>
    <x v="0"/>
    <n v="619311"/>
    <d v="2024-06-14T00:00:00"/>
    <x v="1"/>
    <m/>
    <n v="1227"/>
    <x v="1"/>
    <n v="2"/>
    <n v="3"/>
    <x v="2"/>
    <n v="2015"/>
    <n v="10"/>
    <n v="1"/>
    <x v="6"/>
    <s v="555-3475"/>
    <x v="1"/>
    <s v="Fireplace|Garage"/>
  </r>
  <r>
    <n v="2106"/>
    <s v="Property 2106"/>
    <x v="1"/>
    <x v="0"/>
    <n v="687219"/>
    <d v="2024-04-02T00:00:00"/>
    <x v="127"/>
    <n v="699683"/>
    <n v="3473"/>
    <x v="547"/>
    <n v="5"/>
    <n v="3"/>
    <x v="3"/>
    <n v="2007"/>
    <n v="8"/>
    <n v="3"/>
    <x v="8"/>
    <s v="555-2984"/>
    <x v="0"/>
    <s v="Elevator|Gym|Pool|Fireplace"/>
  </r>
  <r>
    <n v="2107"/>
    <s v="Property 2107"/>
    <x v="0"/>
    <x v="1"/>
    <n v="390657"/>
    <d v="2023-12-29T00:00:00"/>
    <x v="1"/>
    <m/>
    <n v="3128"/>
    <x v="1"/>
    <n v="2"/>
    <n v="3"/>
    <x v="3"/>
    <n v="2020"/>
    <n v="5"/>
    <n v="3"/>
    <x v="0"/>
    <s v="555-4462"/>
    <x v="1"/>
    <s v="Elevator|Gym|Garden"/>
  </r>
  <r>
    <n v="2108"/>
    <s v="Property 2108"/>
    <x v="2"/>
    <x v="0"/>
    <n v="873226"/>
    <d v="2024-10-04T00:00:00"/>
    <x v="1"/>
    <m/>
    <n v="1941"/>
    <x v="1"/>
    <n v="3"/>
    <n v="2"/>
    <x v="1"/>
    <n v="2013"/>
    <n v="7"/>
    <n v="2"/>
    <x v="7"/>
    <s v="555-4167"/>
    <x v="1"/>
    <s v="Barn|Pool|Gym"/>
  </r>
  <r>
    <n v="2109"/>
    <s v="Property 2109"/>
    <x v="2"/>
    <x v="0"/>
    <n v="308144"/>
    <d v="2024-09-04T00:00:00"/>
    <x v="97"/>
    <n v="335758"/>
    <n v="2842"/>
    <x v="548"/>
    <n v="5"/>
    <n v="5"/>
    <x v="0"/>
    <n v="2003"/>
    <m/>
    <n v="1"/>
    <x v="0"/>
    <s v="555-6581"/>
    <x v="0"/>
    <s v="Elevator|Fireplace|Sauna|Barn"/>
  </r>
  <r>
    <n v="2110"/>
    <s v="Property 2110"/>
    <x v="3"/>
    <x v="1"/>
    <n v="883385"/>
    <d v="2024-05-19T00:00:00"/>
    <x v="1"/>
    <m/>
    <n v="1488"/>
    <x v="1"/>
    <n v="6"/>
    <n v="2"/>
    <x v="3"/>
    <n v="2019"/>
    <n v="3"/>
    <n v="2"/>
    <x v="0"/>
    <s v="555-5516"/>
    <x v="1"/>
    <s v="Pool|Garden|Elevator"/>
  </r>
  <r>
    <n v="2111"/>
    <s v="Property 2111"/>
    <x v="1"/>
    <x v="0"/>
    <n v="437625"/>
    <d v="2024-01-14T00:00:00"/>
    <x v="69"/>
    <n v="479493"/>
    <n v="4138"/>
    <x v="549"/>
    <n v="2"/>
    <n v="4"/>
    <x v="2"/>
    <n v="2013"/>
    <n v="6"/>
    <n v="3"/>
    <x v="9"/>
    <s v="555-4497"/>
    <x v="0"/>
    <s v="Fireplace|Barn"/>
  </r>
  <r>
    <n v="2112"/>
    <s v="Property 2112"/>
    <x v="2"/>
    <x v="1"/>
    <n v="774036"/>
    <d v="2024-06-14T00:00:00"/>
    <x v="169"/>
    <n v="797680"/>
    <n v="4091"/>
    <x v="550"/>
    <n v="4"/>
    <n v="4"/>
    <x v="2"/>
    <n v="2009"/>
    <n v="2"/>
    <n v="3"/>
    <x v="6"/>
    <s v="555-6329"/>
    <x v="0"/>
    <s v="Garden"/>
  </r>
  <r>
    <n v="2113"/>
    <s v="Property 2113"/>
    <x v="2"/>
    <x v="2"/>
    <n v="558252"/>
    <d v="2024-02-29T00:00:00"/>
    <x v="1"/>
    <m/>
    <n v="4935"/>
    <x v="1"/>
    <n v="3"/>
    <n v="3"/>
    <x v="0"/>
    <n v="2011"/>
    <m/>
    <n v="1"/>
    <x v="3"/>
    <s v="555-4055"/>
    <x v="1"/>
    <s v="Gym|Fireplace|Pool"/>
  </r>
  <r>
    <n v="2114"/>
    <s v="Property 2114"/>
    <x v="0"/>
    <x v="0"/>
    <n v="398907"/>
    <d v="2024-10-19T00:00:00"/>
    <x v="37"/>
    <n v="420663"/>
    <n v="2728"/>
    <x v="551"/>
    <n v="3"/>
    <n v="5"/>
    <x v="2"/>
    <n v="2018"/>
    <n v="2"/>
    <n v="1"/>
    <x v="6"/>
    <s v="555-8427"/>
    <x v="0"/>
    <s v="Garden"/>
  </r>
  <r>
    <n v="2115"/>
    <s v="Property 2115"/>
    <x v="1"/>
    <x v="2"/>
    <n v="406409"/>
    <d v="2024-03-12T00:00:00"/>
    <x v="1"/>
    <m/>
    <n v="2081"/>
    <x v="1"/>
    <n v="6"/>
    <n v="4"/>
    <x v="3"/>
    <n v="2009"/>
    <n v="8"/>
    <n v="4"/>
    <x v="3"/>
    <s v="555-1373"/>
    <x v="1"/>
    <s v="Gym|Sauna"/>
  </r>
  <r>
    <n v="2116"/>
    <s v="Property 2116"/>
    <x v="4"/>
    <x v="1"/>
    <n v="524241"/>
    <d v="2024-07-05T00:00:00"/>
    <x v="1"/>
    <m/>
    <n v="4702"/>
    <x v="1"/>
    <n v="3"/>
    <n v="5"/>
    <x v="0"/>
    <n v="2000"/>
    <m/>
    <n v="3"/>
    <x v="3"/>
    <s v="555-7656"/>
    <x v="1"/>
    <s v="Garden|Pool|Gym|Elevator"/>
  </r>
  <r>
    <n v="2117"/>
    <s v="Property 2117"/>
    <x v="3"/>
    <x v="1"/>
    <n v="552674"/>
    <d v="2024-03-09T00:00:00"/>
    <x v="141"/>
    <n v="568065"/>
    <n v="4419"/>
    <x v="552"/>
    <n v="6"/>
    <n v="2"/>
    <x v="1"/>
    <n v="2014"/>
    <n v="9"/>
    <n v="1"/>
    <x v="4"/>
    <s v="555-5233"/>
    <x v="0"/>
    <s v="Garage|Elevator"/>
  </r>
  <r>
    <n v="2118"/>
    <s v="Property 2118"/>
    <x v="3"/>
    <x v="1"/>
    <n v="328211"/>
    <d v="2024-01-01T00:00:00"/>
    <x v="170"/>
    <n v="376671"/>
    <n v="1952"/>
    <x v="553"/>
    <n v="4"/>
    <n v="2"/>
    <x v="2"/>
    <n v="2003"/>
    <n v="3"/>
    <n v="4"/>
    <x v="0"/>
    <s v="555-4520"/>
    <x v="0"/>
    <s v="Garage|Barn|Fireplace"/>
  </r>
  <r>
    <n v="2119"/>
    <s v="Property 2119"/>
    <x v="0"/>
    <x v="1"/>
    <n v="397577"/>
    <d v="2024-05-24T00:00:00"/>
    <x v="214"/>
    <n v="443595"/>
    <n v="2995"/>
    <x v="554"/>
    <n v="3"/>
    <n v="2"/>
    <x v="1"/>
    <n v="2008"/>
    <n v="1"/>
    <n v="3"/>
    <x v="8"/>
    <s v="555-1801"/>
    <x v="0"/>
    <s v="Gym"/>
  </r>
  <r>
    <n v="2120"/>
    <s v="Property 2120"/>
    <x v="1"/>
    <x v="1"/>
    <n v="739680"/>
    <d v="2024-01-17T00:00:00"/>
    <x v="182"/>
    <n v="755726"/>
    <n v="4914"/>
    <x v="555"/>
    <n v="4"/>
    <n v="3"/>
    <x v="3"/>
    <n v="2005"/>
    <n v="2"/>
    <n v="4"/>
    <x v="3"/>
    <s v="555-6430"/>
    <x v="0"/>
    <s v="Garage|Sauna|Gym|Barn"/>
  </r>
  <r>
    <n v="2121"/>
    <s v="Property 2121"/>
    <x v="1"/>
    <x v="2"/>
    <n v="615244"/>
    <d v="2024-05-26T00:00:00"/>
    <x v="26"/>
    <n v="640743"/>
    <n v="2930"/>
    <x v="556"/>
    <n v="3"/>
    <n v="4"/>
    <x v="1"/>
    <n v="2023"/>
    <n v="9"/>
    <n v="2"/>
    <x v="7"/>
    <s v="555-2625"/>
    <x v="0"/>
    <s v="Gym|Garage|Sauna|Garden"/>
  </r>
  <r>
    <n v="2122"/>
    <s v="Property 2122"/>
    <x v="2"/>
    <x v="1"/>
    <n v="603062"/>
    <d v="2024-04-10T00:00:00"/>
    <x v="1"/>
    <m/>
    <n v="3812"/>
    <x v="1"/>
    <n v="3"/>
    <n v="2"/>
    <x v="2"/>
    <n v="2001"/>
    <n v="7"/>
    <n v="4"/>
    <x v="5"/>
    <s v="555-3924"/>
    <x v="1"/>
    <s v="Barn"/>
  </r>
  <r>
    <n v="2123"/>
    <s v="Property 2123"/>
    <x v="0"/>
    <x v="1"/>
    <n v="888332"/>
    <d v="2024-06-24T00:00:00"/>
    <x v="1"/>
    <m/>
    <n v="3809"/>
    <x v="1"/>
    <n v="6"/>
    <n v="5"/>
    <x v="1"/>
    <n v="2003"/>
    <n v="7"/>
    <n v="4"/>
    <x v="8"/>
    <s v="555-7920"/>
    <x v="1"/>
    <s v="Garage"/>
  </r>
  <r>
    <n v="2124"/>
    <s v="Property 2124"/>
    <x v="1"/>
    <x v="1"/>
    <n v="971646"/>
    <d v="2024-04-29T00:00:00"/>
    <x v="170"/>
    <n v="987073"/>
    <n v="2892"/>
    <x v="557"/>
    <n v="3"/>
    <n v="3"/>
    <x v="2"/>
    <n v="2004"/>
    <n v="1"/>
    <n v="1"/>
    <x v="4"/>
    <s v="555-3659"/>
    <x v="0"/>
    <s v="Gym|Garden|Garage"/>
  </r>
  <r>
    <n v="2125"/>
    <s v="Property 2125"/>
    <x v="2"/>
    <x v="2"/>
    <n v="704126"/>
    <d v="2024-09-29T00:00:00"/>
    <x v="38"/>
    <n v="735807"/>
    <n v="3880"/>
    <x v="558"/>
    <n v="2"/>
    <n v="3"/>
    <x v="2"/>
    <n v="2000"/>
    <n v="3"/>
    <n v="4"/>
    <x v="8"/>
    <s v="555-7952"/>
    <x v="0"/>
    <s v="Barn|Garage|Elevator|Pool"/>
  </r>
  <r>
    <n v="2126"/>
    <s v="Property 2126"/>
    <x v="1"/>
    <x v="2"/>
    <n v="963866"/>
    <d v="2024-05-10T00:00:00"/>
    <x v="41"/>
    <n v="978122"/>
    <n v="1541"/>
    <x v="559"/>
    <n v="6"/>
    <n v="3"/>
    <x v="0"/>
    <n v="2005"/>
    <m/>
    <n v="1"/>
    <x v="4"/>
    <s v="555-5995"/>
    <x v="0"/>
    <s v="Garage|Garden|Fireplace"/>
  </r>
  <r>
    <n v="2127"/>
    <s v="Property 2127"/>
    <x v="3"/>
    <x v="1"/>
    <n v="946060"/>
    <d v="2024-04-27T00:00:00"/>
    <x v="93"/>
    <n v="969901"/>
    <n v="1725"/>
    <x v="560"/>
    <n v="6"/>
    <n v="5"/>
    <x v="1"/>
    <n v="2009"/>
    <n v="3"/>
    <n v="3"/>
    <x v="0"/>
    <s v="555-4667"/>
    <x v="0"/>
    <s v="Garden|Garage|Gym|Elevator"/>
  </r>
  <r>
    <n v="2128"/>
    <s v="Property 2128"/>
    <x v="3"/>
    <x v="2"/>
    <n v="422434"/>
    <d v="2024-07-07T00:00:00"/>
    <x v="283"/>
    <n v="468959"/>
    <n v="1003"/>
    <x v="561"/>
    <n v="6"/>
    <n v="2"/>
    <x v="3"/>
    <n v="2020"/>
    <n v="3"/>
    <n v="1"/>
    <x v="3"/>
    <s v="555-7639"/>
    <x v="0"/>
    <s v="Gym|Barn|Sauna|Elevator"/>
  </r>
  <r>
    <n v="2129"/>
    <s v="Property 2129"/>
    <x v="3"/>
    <x v="2"/>
    <n v="600898"/>
    <d v="2024-05-23T00:00:00"/>
    <x v="1"/>
    <m/>
    <n v="1702"/>
    <x v="1"/>
    <n v="5"/>
    <n v="2"/>
    <x v="2"/>
    <n v="2016"/>
    <n v="6"/>
    <n v="2"/>
    <x v="1"/>
    <s v="555-3474"/>
    <x v="1"/>
    <s v="Pool"/>
  </r>
  <r>
    <n v="2130"/>
    <s v="Property 2130"/>
    <x v="3"/>
    <x v="1"/>
    <n v="905203"/>
    <d v="2024-02-28T00:00:00"/>
    <x v="1"/>
    <m/>
    <n v="3281"/>
    <x v="1"/>
    <n v="2"/>
    <n v="5"/>
    <x v="3"/>
    <n v="2014"/>
    <n v="7"/>
    <n v="4"/>
    <x v="6"/>
    <s v="555-8797"/>
    <x v="1"/>
    <s v="Pool|Sauna|Elevator"/>
  </r>
  <r>
    <n v="2131"/>
    <s v="Property 2131"/>
    <x v="2"/>
    <x v="0"/>
    <n v="750044"/>
    <d v="2024-07-26T00:00:00"/>
    <x v="223"/>
    <n v="780315"/>
    <n v="2592"/>
    <x v="562"/>
    <n v="3"/>
    <n v="5"/>
    <x v="0"/>
    <n v="2000"/>
    <m/>
    <n v="1"/>
    <x v="0"/>
    <s v="555-7283"/>
    <x v="0"/>
    <s v="Garden|Barn|Garage|Sauna"/>
  </r>
  <r>
    <n v="2132"/>
    <s v="Property 2132"/>
    <x v="3"/>
    <x v="2"/>
    <n v="440997"/>
    <d v="2024-09-29T00:00:00"/>
    <x v="284"/>
    <n v="488699"/>
    <n v="4340"/>
    <x v="563"/>
    <n v="3"/>
    <n v="3"/>
    <x v="2"/>
    <n v="2013"/>
    <n v="5"/>
    <n v="4"/>
    <x v="8"/>
    <s v="555-7298"/>
    <x v="0"/>
    <s v="Gym|Barn"/>
  </r>
  <r>
    <n v="2133"/>
    <s v="Property 2133"/>
    <x v="3"/>
    <x v="2"/>
    <n v="953029"/>
    <d v="2024-05-04T00:00:00"/>
    <x v="65"/>
    <n v="1002987"/>
    <n v="3690"/>
    <x v="564"/>
    <n v="5"/>
    <n v="2"/>
    <x v="1"/>
    <n v="2007"/>
    <n v="7"/>
    <n v="2"/>
    <x v="9"/>
    <s v="555-5564"/>
    <x v="0"/>
    <s v="Pool|Elevator|Garden|Barn"/>
  </r>
  <r>
    <n v="2134"/>
    <s v="Property 2134"/>
    <x v="3"/>
    <x v="0"/>
    <n v="840168"/>
    <d v="2024-12-07T00:00:00"/>
    <x v="189"/>
    <n v="881317"/>
    <n v="4883"/>
    <x v="565"/>
    <n v="6"/>
    <n v="5"/>
    <x v="2"/>
    <n v="2020"/>
    <n v="3"/>
    <n v="4"/>
    <x v="6"/>
    <s v="555-4320"/>
    <x v="0"/>
    <s v="Pool|Garden"/>
  </r>
  <r>
    <n v="2135"/>
    <s v="Property 2135"/>
    <x v="4"/>
    <x v="1"/>
    <n v="803486"/>
    <d v="2024-09-11T00:00:00"/>
    <x v="285"/>
    <n v="817735"/>
    <n v="1617"/>
    <x v="566"/>
    <n v="4"/>
    <n v="4"/>
    <x v="3"/>
    <n v="2007"/>
    <n v="5"/>
    <n v="1"/>
    <x v="8"/>
    <s v="555-9409"/>
    <x v="0"/>
    <s v="Fireplace|Elevator|Garage"/>
  </r>
  <r>
    <n v="2136"/>
    <s v="Property 2136"/>
    <x v="1"/>
    <x v="1"/>
    <n v="851700"/>
    <d v="2024-01-31T00:00:00"/>
    <x v="240"/>
    <n v="865394"/>
    <n v="3973"/>
    <x v="567"/>
    <n v="2"/>
    <n v="2"/>
    <x v="2"/>
    <n v="2001"/>
    <n v="9"/>
    <n v="4"/>
    <x v="7"/>
    <s v="555-7913"/>
    <x v="0"/>
    <s v="Garden|Elevator|Garage|Sauna"/>
  </r>
  <r>
    <n v="2137"/>
    <s v="Property 2137"/>
    <x v="2"/>
    <x v="0"/>
    <n v="988204"/>
    <d v="2024-02-07T00:00:00"/>
    <x v="1"/>
    <m/>
    <n v="1361"/>
    <x v="1"/>
    <n v="2"/>
    <n v="4"/>
    <x v="0"/>
    <n v="2008"/>
    <m/>
    <n v="2"/>
    <x v="7"/>
    <s v="555-3467"/>
    <x v="1"/>
    <s v="Gym|Sauna|Garden"/>
  </r>
  <r>
    <n v="2138"/>
    <s v="Property 2138"/>
    <x v="2"/>
    <x v="0"/>
    <n v="538373"/>
    <d v="2024-11-15T00:00:00"/>
    <x v="1"/>
    <m/>
    <n v="3052"/>
    <x v="1"/>
    <n v="4"/>
    <n v="3"/>
    <x v="3"/>
    <n v="2022"/>
    <n v="4"/>
    <n v="3"/>
    <x v="3"/>
    <s v="555-2155"/>
    <x v="1"/>
    <s v="Gym|Garage|Barn"/>
  </r>
  <r>
    <n v="2139"/>
    <s v="Property 2139"/>
    <x v="1"/>
    <x v="0"/>
    <n v="876865"/>
    <d v="2024-03-17T00:00:00"/>
    <x v="175"/>
    <n v="922628"/>
    <n v="1195"/>
    <x v="568"/>
    <n v="5"/>
    <n v="5"/>
    <x v="2"/>
    <n v="2016"/>
    <n v="8"/>
    <n v="1"/>
    <x v="4"/>
    <s v="555-9863"/>
    <x v="0"/>
    <s v="Gym"/>
  </r>
  <r>
    <n v="2140"/>
    <s v="Property 2140"/>
    <x v="0"/>
    <x v="0"/>
    <n v="608476"/>
    <d v="2024-02-27T00:00:00"/>
    <x v="6"/>
    <n v="635721"/>
    <n v="2816"/>
    <x v="569"/>
    <n v="2"/>
    <n v="3"/>
    <x v="1"/>
    <n v="2002"/>
    <n v="7"/>
    <n v="4"/>
    <x v="7"/>
    <s v="555-3667"/>
    <x v="0"/>
    <s v="Sauna|Pool|Garden|Fireplace"/>
  </r>
  <r>
    <n v="2141"/>
    <s v="Property 2141"/>
    <x v="2"/>
    <x v="2"/>
    <n v="632294"/>
    <d v="2024-05-22T00:00:00"/>
    <x v="1"/>
    <m/>
    <n v="3101"/>
    <x v="1"/>
    <n v="2"/>
    <n v="3"/>
    <x v="2"/>
    <n v="2017"/>
    <n v="10"/>
    <n v="4"/>
    <x v="1"/>
    <s v="555-5532"/>
    <x v="1"/>
    <s v="Gym"/>
  </r>
  <r>
    <n v="2142"/>
    <s v="Property 2142"/>
    <x v="4"/>
    <x v="1"/>
    <n v="558332"/>
    <d v="2024-06-15T00:00:00"/>
    <x v="1"/>
    <m/>
    <n v="2894"/>
    <x v="1"/>
    <n v="2"/>
    <n v="3"/>
    <x v="3"/>
    <n v="2000"/>
    <n v="8"/>
    <n v="1"/>
    <x v="1"/>
    <s v="555-2945"/>
    <x v="1"/>
    <s v="Pool|Sauna"/>
  </r>
  <r>
    <n v="2143"/>
    <s v="Property 2143"/>
    <x v="4"/>
    <x v="1"/>
    <n v="985267"/>
    <d v="2024-12-16T00:00:00"/>
    <x v="132"/>
    <n v="1020459"/>
    <n v="2068"/>
    <x v="570"/>
    <n v="6"/>
    <n v="5"/>
    <x v="2"/>
    <n v="2001"/>
    <n v="4"/>
    <n v="4"/>
    <x v="2"/>
    <s v="555-8892"/>
    <x v="0"/>
    <s v="Fireplace"/>
  </r>
  <r>
    <n v="2144"/>
    <s v="Property 2144"/>
    <x v="1"/>
    <x v="0"/>
    <n v="757785"/>
    <d v="2024-11-17T00:00:00"/>
    <x v="1"/>
    <m/>
    <n v="3489"/>
    <x v="1"/>
    <n v="2"/>
    <n v="3"/>
    <x v="3"/>
    <n v="2007"/>
    <n v="7"/>
    <n v="4"/>
    <x v="3"/>
    <s v="555-3311"/>
    <x v="1"/>
    <s v="Gym|Garage"/>
  </r>
  <r>
    <n v="2145"/>
    <s v="Property 2145"/>
    <x v="4"/>
    <x v="0"/>
    <n v="413712"/>
    <d v="2024-09-02T00:00:00"/>
    <x v="150"/>
    <n v="454046"/>
    <n v="1776"/>
    <x v="571"/>
    <n v="5"/>
    <n v="2"/>
    <x v="1"/>
    <n v="2000"/>
    <n v="9"/>
    <n v="2"/>
    <x v="5"/>
    <s v="555-4330"/>
    <x v="0"/>
    <s v="Garage|Sauna|Barn"/>
  </r>
  <r>
    <n v="2146"/>
    <s v="Property 2146"/>
    <x v="0"/>
    <x v="2"/>
    <n v="822339"/>
    <d v="2024-03-18T00:00:00"/>
    <x v="2"/>
    <n v="835571"/>
    <n v="4162"/>
    <x v="572"/>
    <n v="2"/>
    <n v="5"/>
    <x v="0"/>
    <n v="2002"/>
    <m/>
    <n v="2"/>
    <x v="8"/>
    <s v="555-4960"/>
    <x v="0"/>
    <s v="Garage|Garden"/>
  </r>
  <r>
    <n v="2147"/>
    <s v="Property 2147"/>
    <x v="3"/>
    <x v="2"/>
    <n v="307834"/>
    <d v="2024-10-18T00:00:00"/>
    <x v="1"/>
    <m/>
    <n v="2222"/>
    <x v="1"/>
    <n v="2"/>
    <n v="5"/>
    <x v="1"/>
    <n v="2007"/>
    <n v="9"/>
    <n v="1"/>
    <x v="6"/>
    <s v="555-8276"/>
    <x v="1"/>
    <s v="Fireplace|Gym|Sauna"/>
  </r>
  <r>
    <n v="2148"/>
    <s v="Property 2148"/>
    <x v="3"/>
    <x v="2"/>
    <n v="309434"/>
    <d v="2024-10-17T00:00:00"/>
    <x v="286"/>
    <n v="345766"/>
    <n v="3517"/>
    <x v="573"/>
    <n v="5"/>
    <n v="4"/>
    <x v="0"/>
    <n v="2023"/>
    <m/>
    <n v="1"/>
    <x v="2"/>
    <s v="555-5557"/>
    <x v="0"/>
    <s v="Barn|Fireplace"/>
  </r>
  <r>
    <n v="2149"/>
    <s v="Property 2149"/>
    <x v="1"/>
    <x v="0"/>
    <n v="994237"/>
    <d v="2024-07-31T00:00:00"/>
    <x v="21"/>
    <n v="1032748"/>
    <n v="2278"/>
    <x v="574"/>
    <n v="2"/>
    <n v="4"/>
    <x v="3"/>
    <n v="2003"/>
    <n v="4"/>
    <n v="1"/>
    <x v="0"/>
    <s v="555-3215"/>
    <x v="0"/>
    <s v="Sauna"/>
  </r>
  <r>
    <n v="2150"/>
    <s v="Property 2150"/>
    <x v="0"/>
    <x v="2"/>
    <n v="367153"/>
    <d v="2024-08-17T00:00:00"/>
    <x v="1"/>
    <m/>
    <n v="2969"/>
    <x v="1"/>
    <n v="4"/>
    <n v="5"/>
    <x v="1"/>
    <n v="2000"/>
    <n v="10"/>
    <n v="3"/>
    <x v="1"/>
    <s v="555-5176"/>
    <x v="1"/>
    <s v="Garden"/>
  </r>
  <r>
    <n v="2151"/>
    <s v="Property 2151"/>
    <x v="3"/>
    <x v="0"/>
    <n v="509730"/>
    <d v="2024-02-11T00:00:00"/>
    <x v="1"/>
    <m/>
    <n v="3713"/>
    <x v="1"/>
    <n v="6"/>
    <n v="3"/>
    <x v="0"/>
    <n v="2021"/>
    <m/>
    <n v="3"/>
    <x v="9"/>
    <s v="555-3508"/>
    <x v="1"/>
    <s v="Fireplace|Garden|Gym|Garage"/>
  </r>
  <r>
    <n v="2152"/>
    <s v="Property 2152"/>
    <x v="2"/>
    <x v="2"/>
    <n v="453956"/>
    <d v="2024-05-19T00:00:00"/>
    <x v="1"/>
    <m/>
    <n v="1104"/>
    <x v="1"/>
    <n v="5"/>
    <n v="5"/>
    <x v="3"/>
    <n v="2019"/>
    <n v="6"/>
    <n v="4"/>
    <x v="1"/>
    <s v="555-4375"/>
    <x v="1"/>
    <s v="Elevator|Pool|Garden|Gym"/>
  </r>
  <r>
    <n v="2153"/>
    <s v="Property 2153"/>
    <x v="4"/>
    <x v="1"/>
    <n v="338768"/>
    <d v="2024-06-19T00:00:00"/>
    <x v="1"/>
    <m/>
    <n v="2612"/>
    <x v="1"/>
    <n v="4"/>
    <n v="2"/>
    <x v="1"/>
    <n v="2016"/>
    <n v="2"/>
    <n v="3"/>
    <x v="7"/>
    <s v="555-1865"/>
    <x v="1"/>
    <s v="Pool|Gym"/>
  </r>
  <r>
    <n v="2154"/>
    <s v="Property 2154"/>
    <x v="1"/>
    <x v="2"/>
    <n v="912824"/>
    <d v="2024-03-29T00:00:00"/>
    <x v="267"/>
    <n v="953201"/>
    <n v="2216"/>
    <x v="575"/>
    <n v="2"/>
    <n v="5"/>
    <x v="0"/>
    <n v="2021"/>
    <m/>
    <n v="4"/>
    <x v="9"/>
    <s v="555-9339"/>
    <x v="0"/>
    <s v="Fireplace|Garden|Pool"/>
  </r>
  <r>
    <n v="2155"/>
    <s v="Property 2155"/>
    <x v="0"/>
    <x v="0"/>
    <n v="927819"/>
    <d v="2024-06-08T00:00:00"/>
    <x v="287"/>
    <n v="949371"/>
    <n v="4768"/>
    <x v="576"/>
    <n v="4"/>
    <n v="4"/>
    <x v="0"/>
    <n v="2015"/>
    <m/>
    <n v="3"/>
    <x v="8"/>
    <s v="555-7178"/>
    <x v="0"/>
    <s v="Garage|Elevator"/>
  </r>
  <r>
    <n v="2156"/>
    <s v="Property 2156"/>
    <x v="1"/>
    <x v="1"/>
    <n v="801178"/>
    <d v="2024-07-04T00:00:00"/>
    <x v="1"/>
    <m/>
    <n v="4973"/>
    <x v="1"/>
    <n v="5"/>
    <n v="4"/>
    <x v="2"/>
    <n v="2002"/>
    <n v="10"/>
    <n v="2"/>
    <x v="0"/>
    <s v="555-7206"/>
    <x v="1"/>
    <s v="Barn"/>
  </r>
  <r>
    <n v="2157"/>
    <s v="Property 2157"/>
    <x v="3"/>
    <x v="1"/>
    <n v="726792"/>
    <d v="2024-03-17T00:00:00"/>
    <x v="1"/>
    <m/>
    <n v="3637"/>
    <x v="1"/>
    <n v="4"/>
    <n v="3"/>
    <x v="0"/>
    <n v="2003"/>
    <m/>
    <n v="3"/>
    <x v="0"/>
    <s v="555-8255"/>
    <x v="1"/>
    <s v="Barn"/>
  </r>
  <r>
    <n v="2158"/>
    <s v="Property 2158"/>
    <x v="0"/>
    <x v="1"/>
    <n v="527026"/>
    <d v="2024-02-17T00:00:00"/>
    <x v="73"/>
    <n v="538922"/>
    <n v="3721"/>
    <x v="577"/>
    <n v="5"/>
    <n v="5"/>
    <x v="0"/>
    <n v="2022"/>
    <m/>
    <n v="1"/>
    <x v="6"/>
    <s v="555-3827"/>
    <x v="0"/>
    <s v="Garage|Barn"/>
  </r>
  <r>
    <n v="2159"/>
    <s v="Property 2159"/>
    <x v="0"/>
    <x v="2"/>
    <n v="383398"/>
    <d v="2024-07-25T00:00:00"/>
    <x v="1"/>
    <m/>
    <n v="1240"/>
    <x v="1"/>
    <n v="2"/>
    <n v="2"/>
    <x v="3"/>
    <n v="2005"/>
    <n v="7"/>
    <n v="2"/>
    <x v="2"/>
    <s v="555-3279"/>
    <x v="1"/>
    <s v="Barn|Elevator|Sauna"/>
  </r>
  <r>
    <n v="2160"/>
    <s v="Property 2160"/>
    <x v="0"/>
    <x v="0"/>
    <n v="524536"/>
    <d v="2024-06-04T00:00:00"/>
    <x v="1"/>
    <m/>
    <n v="2263"/>
    <x v="1"/>
    <n v="2"/>
    <n v="4"/>
    <x v="1"/>
    <n v="2001"/>
    <n v="3"/>
    <n v="3"/>
    <x v="2"/>
    <s v="555-3219"/>
    <x v="1"/>
    <s v="Pool|Fireplace"/>
  </r>
  <r>
    <n v="2161"/>
    <s v="Property 2161"/>
    <x v="4"/>
    <x v="2"/>
    <n v="554927"/>
    <d v="2024-04-18T00:00:00"/>
    <x v="265"/>
    <n v="588305"/>
    <n v="2107"/>
    <x v="578"/>
    <n v="3"/>
    <n v="2"/>
    <x v="3"/>
    <n v="2005"/>
    <n v="1"/>
    <n v="3"/>
    <x v="0"/>
    <s v="555-8220"/>
    <x v="0"/>
    <s v="Garden|Fireplace|Garage|Gym"/>
  </r>
  <r>
    <n v="2162"/>
    <s v="Property 2162"/>
    <x v="1"/>
    <x v="2"/>
    <n v="922936"/>
    <d v="2024-11-29T00:00:00"/>
    <x v="31"/>
    <n v="957624"/>
    <n v="2943"/>
    <x v="579"/>
    <n v="3"/>
    <n v="2"/>
    <x v="3"/>
    <n v="2023"/>
    <n v="4"/>
    <n v="1"/>
    <x v="3"/>
    <s v="555-5036"/>
    <x v="0"/>
    <s v="Elevator|Garden|Garage|Pool"/>
  </r>
  <r>
    <n v="2163"/>
    <s v="Property 2163"/>
    <x v="1"/>
    <x v="0"/>
    <n v="845635"/>
    <d v="2024-05-08T00:00:00"/>
    <x v="1"/>
    <m/>
    <n v="3129"/>
    <x v="1"/>
    <n v="5"/>
    <n v="2"/>
    <x v="3"/>
    <n v="2019"/>
    <n v="5"/>
    <n v="2"/>
    <x v="1"/>
    <s v="555-6635"/>
    <x v="1"/>
    <s v="Elevator|Gym"/>
  </r>
  <r>
    <n v="2164"/>
    <s v="Property 2164"/>
    <x v="1"/>
    <x v="1"/>
    <n v="861635"/>
    <d v="2024-08-26T00:00:00"/>
    <x v="288"/>
    <n v="876503"/>
    <n v="2073"/>
    <x v="580"/>
    <n v="3"/>
    <n v="5"/>
    <x v="1"/>
    <n v="2006"/>
    <n v="10"/>
    <n v="4"/>
    <x v="9"/>
    <s v="555-3668"/>
    <x v="0"/>
    <s v="Barn|Garden|Pool"/>
  </r>
  <r>
    <n v="2165"/>
    <s v="Property 2165"/>
    <x v="3"/>
    <x v="1"/>
    <n v="937206"/>
    <d v="2024-04-24T00:00:00"/>
    <x v="250"/>
    <n v="965364"/>
    <n v="3312"/>
    <x v="581"/>
    <n v="2"/>
    <n v="2"/>
    <x v="3"/>
    <n v="2015"/>
    <n v="8"/>
    <n v="3"/>
    <x v="5"/>
    <s v="555-8647"/>
    <x v="0"/>
    <s v="Garage|Garden|Fireplace|Sauna"/>
  </r>
  <r>
    <n v="2166"/>
    <s v="Property 2166"/>
    <x v="3"/>
    <x v="1"/>
    <n v="542445"/>
    <d v="2024-02-16T00:00:00"/>
    <x v="241"/>
    <n v="589885"/>
    <n v="3777"/>
    <x v="582"/>
    <n v="6"/>
    <n v="5"/>
    <x v="1"/>
    <n v="2009"/>
    <n v="1"/>
    <n v="2"/>
    <x v="2"/>
    <s v="555-6608"/>
    <x v="0"/>
    <s v="Elevator|Pool"/>
  </r>
  <r>
    <n v="2167"/>
    <s v="Property 2167"/>
    <x v="3"/>
    <x v="0"/>
    <n v="718641"/>
    <d v="2024-11-24T00:00:00"/>
    <x v="244"/>
    <n v="735370"/>
    <n v="4237"/>
    <x v="583"/>
    <n v="5"/>
    <n v="5"/>
    <x v="2"/>
    <n v="2000"/>
    <n v="6"/>
    <n v="1"/>
    <x v="0"/>
    <s v="555-3828"/>
    <x v="0"/>
    <s v="Sauna|Elevator|Fireplace|Pool"/>
  </r>
  <r>
    <n v="2168"/>
    <s v="Property 2168"/>
    <x v="0"/>
    <x v="2"/>
    <n v="538868"/>
    <d v="2024-01-17T00:00:00"/>
    <x v="143"/>
    <n v="549509"/>
    <n v="4448"/>
    <x v="584"/>
    <n v="6"/>
    <n v="5"/>
    <x v="0"/>
    <n v="2009"/>
    <m/>
    <n v="1"/>
    <x v="6"/>
    <s v="555-7329"/>
    <x v="0"/>
    <s v="Sauna|Garden|Elevator"/>
  </r>
  <r>
    <n v="2169"/>
    <s v="Property 2169"/>
    <x v="4"/>
    <x v="2"/>
    <n v="352891"/>
    <d v="2023-12-29T00:00:00"/>
    <x v="289"/>
    <n v="378663"/>
    <n v="2515"/>
    <x v="585"/>
    <n v="2"/>
    <n v="2"/>
    <x v="2"/>
    <n v="2009"/>
    <n v="1"/>
    <n v="4"/>
    <x v="0"/>
    <s v="555-8667"/>
    <x v="0"/>
    <s v="Gym"/>
  </r>
  <r>
    <n v="2170"/>
    <s v="Property 2170"/>
    <x v="3"/>
    <x v="1"/>
    <n v="693314"/>
    <d v="2024-12-11T00:00:00"/>
    <x v="1"/>
    <m/>
    <n v="3783"/>
    <x v="1"/>
    <n v="5"/>
    <n v="5"/>
    <x v="3"/>
    <n v="2008"/>
    <n v="3"/>
    <n v="4"/>
    <x v="7"/>
    <s v="555-2130"/>
    <x v="1"/>
    <s v="Fireplace"/>
  </r>
  <r>
    <n v="2171"/>
    <s v="Property 2171"/>
    <x v="1"/>
    <x v="2"/>
    <n v="966012"/>
    <d v="2024-05-01T00:00:00"/>
    <x v="1"/>
    <m/>
    <n v="4588"/>
    <x v="1"/>
    <n v="2"/>
    <n v="5"/>
    <x v="2"/>
    <n v="2003"/>
    <n v="8"/>
    <n v="2"/>
    <x v="6"/>
    <s v="555-4703"/>
    <x v="1"/>
    <s v="Garage"/>
  </r>
  <r>
    <n v="2172"/>
    <s v="Property 2172"/>
    <x v="0"/>
    <x v="0"/>
    <n v="348982"/>
    <d v="2024-08-11T00:00:00"/>
    <x v="1"/>
    <m/>
    <n v="1149"/>
    <x v="1"/>
    <n v="3"/>
    <n v="5"/>
    <x v="3"/>
    <n v="2001"/>
    <n v="8"/>
    <n v="4"/>
    <x v="9"/>
    <s v="555-9684"/>
    <x v="1"/>
    <s v="Pool|Barn"/>
  </r>
  <r>
    <n v="2173"/>
    <s v="Property 2173"/>
    <x v="1"/>
    <x v="2"/>
    <n v="576149"/>
    <d v="2024-09-25T00:00:00"/>
    <x v="127"/>
    <n v="589333"/>
    <n v="3977"/>
    <x v="586"/>
    <n v="2"/>
    <n v="2"/>
    <x v="3"/>
    <n v="2005"/>
    <n v="4"/>
    <n v="4"/>
    <x v="0"/>
    <s v="555-5943"/>
    <x v="0"/>
    <s v="Pool|Gym|Sauna"/>
  </r>
  <r>
    <n v="2174"/>
    <s v="Property 2174"/>
    <x v="1"/>
    <x v="2"/>
    <n v="980568"/>
    <d v="2024-10-14T00:00:00"/>
    <x v="37"/>
    <n v="1001517"/>
    <n v="2666"/>
    <x v="587"/>
    <n v="4"/>
    <n v="2"/>
    <x v="2"/>
    <n v="2021"/>
    <n v="5"/>
    <n v="3"/>
    <x v="4"/>
    <s v="555-9784"/>
    <x v="0"/>
    <s v="Fireplace|Elevator"/>
  </r>
  <r>
    <n v="2175"/>
    <s v="Property 2175"/>
    <x v="3"/>
    <x v="2"/>
    <n v="735973"/>
    <d v="2024-08-19T00:00:00"/>
    <x v="1"/>
    <m/>
    <n v="2648"/>
    <x v="1"/>
    <n v="6"/>
    <n v="5"/>
    <x v="1"/>
    <n v="2008"/>
    <n v="5"/>
    <n v="2"/>
    <x v="9"/>
    <s v="555-2769"/>
    <x v="1"/>
    <s v="Barn|Pool"/>
  </r>
  <r>
    <n v="2176"/>
    <s v="Property 2176"/>
    <x v="2"/>
    <x v="0"/>
    <n v="689981"/>
    <d v="2024-05-07T00:00:00"/>
    <x v="245"/>
    <n v="725364"/>
    <n v="3678"/>
    <x v="588"/>
    <n v="5"/>
    <n v="5"/>
    <x v="3"/>
    <n v="2000"/>
    <n v="7"/>
    <n v="1"/>
    <x v="2"/>
    <s v="555-2534"/>
    <x v="0"/>
    <s v="Pool"/>
  </r>
  <r>
    <n v="2177"/>
    <s v="Property 2177"/>
    <x v="1"/>
    <x v="1"/>
    <n v="355679"/>
    <d v="2024-08-30T00:00:00"/>
    <x v="1"/>
    <m/>
    <n v="2049"/>
    <x v="1"/>
    <n v="5"/>
    <n v="4"/>
    <x v="0"/>
    <n v="2009"/>
    <m/>
    <n v="4"/>
    <x v="6"/>
    <s v="555-8544"/>
    <x v="1"/>
    <s v="Barn|Pool|Garage|Gym"/>
  </r>
  <r>
    <n v="2178"/>
    <s v="Property 2178"/>
    <x v="2"/>
    <x v="1"/>
    <n v="601795"/>
    <d v="2024-05-26T00:00:00"/>
    <x v="74"/>
    <n v="625585"/>
    <n v="4445"/>
    <x v="589"/>
    <n v="6"/>
    <n v="4"/>
    <x v="0"/>
    <n v="2005"/>
    <m/>
    <n v="4"/>
    <x v="5"/>
    <s v="555-7297"/>
    <x v="0"/>
    <s v="Elevator|Sauna|Fireplace|Gym"/>
  </r>
  <r>
    <n v="2179"/>
    <s v="Property 2179"/>
    <x v="1"/>
    <x v="2"/>
    <n v="452554"/>
    <d v="2024-04-16T00:00:00"/>
    <x v="1"/>
    <m/>
    <n v="2841"/>
    <x v="1"/>
    <n v="2"/>
    <n v="4"/>
    <x v="3"/>
    <n v="2018"/>
    <n v="8"/>
    <n v="2"/>
    <x v="5"/>
    <s v="555-9235"/>
    <x v="1"/>
    <s v="Fireplace|Pool|Elevator"/>
  </r>
  <r>
    <n v="2180"/>
    <s v="Property 2180"/>
    <x v="2"/>
    <x v="2"/>
    <n v="814297"/>
    <d v="2024-11-19T00:00:00"/>
    <x v="1"/>
    <m/>
    <n v="2168"/>
    <x v="1"/>
    <n v="3"/>
    <n v="2"/>
    <x v="0"/>
    <n v="2012"/>
    <m/>
    <n v="1"/>
    <x v="2"/>
    <s v="555-3865"/>
    <x v="1"/>
    <s v="Pool|Sauna|Barn|Fireplace"/>
  </r>
  <r>
    <n v="2181"/>
    <s v="Property 2181"/>
    <x v="4"/>
    <x v="1"/>
    <n v="362893"/>
    <d v="2024-05-15T00:00:00"/>
    <x v="1"/>
    <m/>
    <n v="3476"/>
    <x v="1"/>
    <n v="3"/>
    <n v="3"/>
    <x v="2"/>
    <n v="2000"/>
    <n v="2"/>
    <n v="2"/>
    <x v="2"/>
    <s v="555-1600"/>
    <x v="1"/>
    <s v="Pool|Fireplace"/>
  </r>
  <r>
    <n v="2182"/>
    <s v="Property 2182"/>
    <x v="2"/>
    <x v="0"/>
    <n v="841116"/>
    <d v="2024-04-06T00:00:00"/>
    <x v="1"/>
    <m/>
    <n v="1388"/>
    <x v="1"/>
    <n v="6"/>
    <n v="3"/>
    <x v="1"/>
    <n v="2020"/>
    <n v="2"/>
    <n v="2"/>
    <x v="8"/>
    <s v="555-5025"/>
    <x v="1"/>
    <s v="Sauna"/>
  </r>
  <r>
    <n v="2183"/>
    <s v="Property 2183"/>
    <x v="2"/>
    <x v="1"/>
    <n v="383116"/>
    <d v="2024-02-20T00:00:00"/>
    <x v="98"/>
    <n v="420762"/>
    <n v="4004"/>
    <x v="590"/>
    <n v="2"/>
    <n v="4"/>
    <x v="3"/>
    <n v="2000"/>
    <n v="5"/>
    <n v="4"/>
    <x v="3"/>
    <s v="555-4321"/>
    <x v="0"/>
    <s v="Pool|Garage|Garden|Fireplace"/>
  </r>
  <r>
    <n v="2184"/>
    <s v="Property 2184"/>
    <x v="4"/>
    <x v="1"/>
    <n v="782701"/>
    <d v="2024-09-15T00:00:00"/>
    <x v="290"/>
    <n v="800469"/>
    <n v="1327"/>
    <x v="591"/>
    <n v="5"/>
    <n v="2"/>
    <x v="3"/>
    <n v="2003"/>
    <n v="10"/>
    <n v="2"/>
    <x v="6"/>
    <s v="555-2340"/>
    <x v="0"/>
    <s v="Garage|Gym|Elevator"/>
  </r>
  <r>
    <n v="2185"/>
    <s v="Property 2185"/>
    <x v="0"/>
    <x v="2"/>
    <n v="687992"/>
    <d v="2024-03-04T00:00:00"/>
    <x v="1"/>
    <m/>
    <n v="4959"/>
    <x v="1"/>
    <n v="4"/>
    <n v="3"/>
    <x v="3"/>
    <n v="2019"/>
    <n v="7"/>
    <n v="4"/>
    <x v="1"/>
    <s v="555-6051"/>
    <x v="1"/>
    <s v="Elevator|Garden|Fireplace"/>
  </r>
  <r>
    <n v="2186"/>
    <s v="Property 2186"/>
    <x v="1"/>
    <x v="0"/>
    <n v="307029"/>
    <d v="2024-01-05T00:00:00"/>
    <x v="1"/>
    <m/>
    <n v="3490"/>
    <x v="1"/>
    <n v="4"/>
    <n v="4"/>
    <x v="1"/>
    <n v="2015"/>
    <n v="1"/>
    <n v="3"/>
    <x v="8"/>
    <s v="555-5649"/>
    <x v="1"/>
    <s v="Garage|Gym"/>
  </r>
  <r>
    <n v="2187"/>
    <s v="Property 2187"/>
    <x v="4"/>
    <x v="2"/>
    <n v="900525"/>
    <d v="2024-04-16T00:00:00"/>
    <x v="1"/>
    <m/>
    <n v="3992"/>
    <x v="1"/>
    <n v="3"/>
    <n v="5"/>
    <x v="1"/>
    <n v="2022"/>
    <n v="6"/>
    <n v="1"/>
    <x v="1"/>
    <s v="555-1727"/>
    <x v="1"/>
    <s v="Barn"/>
  </r>
  <r>
    <n v="2188"/>
    <s v="Property 2188"/>
    <x v="0"/>
    <x v="2"/>
    <n v="831254"/>
    <d v="2024-11-24T00:00:00"/>
    <x v="75"/>
    <n v="849389"/>
    <n v="4242"/>
    <x v="592"/>
    <n v="5"/>
    <n v="3"/>
    <x v="0"/>
    <n v="2020"/>
    <m/>
    <n v="1"/>
    <x v="8"/>
    <s v="555-8803"/>
    <x v="0"/>
    <s v="Barn|Pool"/>
  </r>
  <r>
    <n v="2189"/>
    <s v="Property 2189"/>
    <x v="3"/>
    <x v="0"/>
    <n v="856256"/>
    <d v="2024-09-08T00:00:00"/>
    <x v="1"/>
    <m/>
    <n v="2332"/>
    <x v="1"/>
    <n v="3"/>
    <n v="2"/>
    <x v="1"/>
    <n v="2010"/>
    <n v="1"/>
    <n v="1"/>
    <x v="0"/>
    <s v="555-3165"/>
    <x v="1"/>
    <s v="Garden|Sauna|Barn|Gym"/>
  </r>
  <r>
    <n v="2190"/>
    <s v="Property 2190"/>
    <x v="4"/>
    <x v="0"/>
    <n v="318178"/>
    <d v="2023-12-21T00:00:00"/>
    <x v="273"/>
    <n v="337670"/>
    <n v="1626"/>
    <x v="593"/>
    <n v="4"/>
    <n v="4"/>
    <x v="3"/>
    <n v="2023"/>
    <n v="4"/>
    <n v="2"/>
    <x v="8"/>
    <s v="555-1545"/>
    <x v="0"/>
    <s v="Sauna"/>
  </r>
  <r>
    <n v="2191"/>
    <s v="Property 2191"/>
    <x v="3"/>
    <x v="2"/>
    <n v="324060"/>
    <d v="2024-03-20T00:00:00"/>
    <x v="258"/>
    <n v="371993"/>
    <n v="2083"/>
    <x v="594"/>
    <n v="5"/>
    <n v="3"/>
    <x v="0"/>
    <n v="2003"/>
    <m/>
    <n v="2"/>
    <x v="4"/>
    <s v="555-8940"/>
    <x v="0"/>
    <s v="Barn|Garden"/>
  </r>
  <r>
    <n v="2192"/>
    <s v="Property 2192"/>
    <x v="4"/>
    <x v="1"/>
    <n v="672628"/>
    <d v="2024-08-31T00:00:00"/>
    <x v="35"/>
    <n v="701427"/>
    <n v="1798"/>
    <x v="595"/>
    <n v="2"/>
    <n v="4"/>
    <x v="3"/>
    <n v="2009"/>
    <n v="6"/>
    <n v="2"/>
    <x v="5"/>
    <s v="555-9524"/>
    <x v="0"/>
    <s v="Barn|Pool"/>
  </r>
  <r>
    <n v="2193"/>
    <s v="Property 2193"/>
    <x v="0"/>
    <x v="1"/>
    <n v="585905"/>
    <d v="2024-09-03T00:00:00"/>
    <x v="148"/>
    <n v="604675"/>
    <n v="4438"/>
    <x v="596"/>
    <n v="6"/>
    <n v="4"/>
    <x v="0"/>
    <n v="2003"/>
    <m/>
    <n v="1"/>
    <x v="3"/>
    <s v="555-8392"/>
    <x v="0"/>
    <s v="Pool"/>
  </r>
  <r>
    <n v="2194"/>
    <s v="Property 2194"/>
    <x v="4"/>
    <x v="0"/>
    <n v="612185"/>
    <d v="2024-01-21T00:00:00"/>
    <x v="50"/>
    <n v="640374"/>
    <n v="2154"/>
    <x v="597"/>
    <n v="5"/>
    <n v="2"/>
    <x v="3"/>
    <n v="2010"/>
    <n v="6"/>
    <n v="3"/>
    <x v="8"/>
    <s v="555-8810"/>
    <x v="0"/>
    <s v="Gym"/>
  </r>
  <r>
    <n v="2195"/>
    <s v="Property 2195"/>
    <x v="4"/>
    <x v="0"/>
    <n v="410645"/>
    <d v="2024-03-01T00:00:00"/>
    <x v="280"/>
    <n v="428468"/>
    <n v="1381"/>
    <x v="598"/>
    <n v="5"/>
    <n v="3"/>
    <x v="1"/>
    <n v="2008"/>
    <n v="3"/>
    <n v="4"/>
    <x v="4"/>
    <s v="555-8585"/>
    <x v="0"/>
    <s v="Barn|Sauna|Gym|Pool"/>
  </r>
  <r>
    <n v="2196"/>
    <s v="Property 2196"/>
    <x v="4"/>
    <x v="2"/>
    <n v="679409"/>
    <d v="2024-01-02T00:00:00"/>
    <x v="1"/>
    <m/>
    <n v="1462"/>
    <x v="1"/>
    <n v="2"/>
    <n v="3"/>
    <x v="3"/>
    <n v="2014"/>
    <n v="2"/>
    <n v="2"/>
    <x v="9"/>
    <s v="555-2624"/>
    <x v="1"/>
    <s v="Sauna"/>
  </r>
  <r>
    <n v="2197"/>
    <s v="Property 2197"/>
    <x v="2"/>
    <x v="1"/>
    <n v="976314"/>
    <d v="2024-11-06T00:00:00"/>
    <x v="1"/>
    <m/>
    <n v="3843"/>
    <x v="1"/>
    <n v="2"/>
    <n v="4"/>
    <x v="3"/>
    <n v="2017"/>
    <n v="10"/>
    <n v="2"/>
    <x v="8"/>
    <s v="555-9942"/>
    <x v="1"/>
    <s v="Pool|Sauna|Garden|Fireplace"/>
  </r>
  <r>
    <n v="2198"/>
    <s v="Property 2198"/>
    <x v="4"/>
    <x v="2"/>
    <n v="346459"/>
    <d v="2024-02-05T00:00:00"/>
    <x v="1"/>
    <m/>
    <n v="1203"/>
    <x v="1"/>
    <n v="2"/>
    <n v="2"/>
    <x v="3"/>
    <n v="2002"/>
    <n v="2"/>
    <n v="4"/>
    <x v="5"/>
    <s v="555-3127"/>
    <x v="1"/>
    <s v="Fireplace|Pool|Sauna|Garage"/>
  </r>
  <r>
    <n v="2199"/>
    <s v="Property 2199"/>
    <x v="2"/>
    <x v="2"/>
    <n v="540800"/>
    <d v="2024-06-03T00:00:00"/>
    <x v="291"/>
    <n v="570730"/>
    <n v="1914"/>
    <x v="599"/>
    <n v="4"/>
    <n v="5"/>
    <x v="1"/>
    <n v="2003"/>
    <n v="6"/>
    <n v="3"/>
    <x v="7"/>
    <s v="555-2304"/>
    <x v="0"/>
    <s v="Elevator|Gym|Pool"/>
  </r>
  <r>
    <n v="2200"/>
    <s v="Property 2200"/>
    <x v="2"/>
    <x v="1"/>
    <n v="420772"/>
    <d v="2024-04-25T00:00:00"/>
    <x v="1"/>
    <m/>
    <n v="3157"/>
    <x v="1"/>
    <n v="6"/>
    <n v="2"/>
    <x v="3"/>
    <n v="2014"/>
    <n v="4"/>
    <n v="2"/>
    <x v="0"/>
    <s v="555-4397"/>
    <x v="1"/>
    <s v="Gym|Fireplace|Garage|Barn"/>
  </r>
  <r>
    <n v="2201"/>
    <s v="Property 2201"/>
    <x v="2"/>
    <x v="0"/>
    <n v="727255"/>
    <d v="2024-11-05T00:00:00"/>
    <x v="214"/>
    <n v="748283"/>
    <n v="1425"/>
    <x v="600"/>
    <n v="4"/>
    <n v="5"/>
    <x v="3"/>
    <n v="2010"/>
    <n v="4"/>
    <n v="4"/>
    <x v="0"/>
    <s v="555-6525"/>
    <x v="0"/>
    <s v="Garden|Barn|Fireplace|Garage"/>
  </r>
  <r>
    <n v="2202"/>
    <s v="Property 2202"/>
    <x v="3"/>
    <x v="2"/>
    <n v="668227"/>
    <d v="2024-02-13T00:00:00"/>
    <x v="1"/>
    <m/>
    <n v="3356"/>
    <x v="1"/>
    <n v="4"/>
    <n v="4"/>
    <x v="2"/>
    <n v="2000"/>
    <n v="3"/>
    <n v="3"/>
    <x v="3"/>
    <s v="555-9489"/>
    <x v="1"/>
    <s v="Garden|Gym|Pool|Fireplace"/>
  </r>
  <r>
    <n v="2203"/>
    <s v="Property 2203"/>
    <x v="0"/>
    <x v="1"/>
    <n v="557653"/>
    <d v="2024-02-09T00:00:00"/>
    <x v="292"/>
    <n v="575936"/>
    <n v="1583"/>
    <x v="601"/>
    <n v="2"/>
    <n v="5"/>
    <x v="2"/>
    <n v="2000"/>
    <n v="7"/>
    <n v="1"/>
    <x v="6"/>
    <s v="555-3880"/>
    <x v="0"/>
    <s v="Gym|Pool"/>
  </r>
  <r>
    <n v="2204"/>
    <s v="Property 2204"/>
    <x v="0"/>
    <x v="2"/>
    <n v="556312"/>
    <d v="2024-01-18T00:00:00"/>
    <x v="1"/>
    <m/>
    <n v="1131"/>
    <x v="1"/>
    <n v="5"/>
    <n v="3"/>
    <x v="2"/>
    <n v="2023"/>
    <n v="3"/>
    <n v="4"/>
    <x v="3"/>
    <s v="555-3297"/>
    <x v="1"/>
    <s v="Gym|Sauna|Garage|Pool"/>
  </r>
  <r>
    <n v="2205"/>
    <s v="Property 2205"/>
    <x v="4"/>
    <x v="1"/>
    <n v="756790"/>
    <d v="2024-01-10T00:00:00"/>
    <x v="1"/>
    <m/>
    <n v="1915"/>
    <x v="1"/>
    <n v="5"/>
    <n v="5"/>
    <x v="0"/>
    <n v="2022"/>
    <m/>
    <n v="2"/>
    <x v="2"/>
    <s v="555-2376"/>
    <x v="1"/>
    <s v="Sauna"/>
  </r>
  <r>
    <n v="2206"/>
    <s v="Property 2206"/>
    <x v="4"/>
    <x v="1"/>
    <n v="618812"/>
    <d v="2024-02-02T00:00:00"/>
    <x v="1"/>
    <m/>
    <n v="3371"/>
    <x v="1"/>
    <n v="3"/>
    <n v="2"/>
    <x v="3"/>
    <n v="2012"/>
    <n v="10"/>
    <n v="2"/>
    <x v="1"/>
    <s v="555-9637"/>
    <x v="1"/>
    <s v="Fireplace|Garage|Gym"/>
  </r>
  <r>
    <n v="2207"/>
    <s v="Property 2207"/>
    <x v="0"/>
    <x v="2"/>
    <n v="354942"/>
    <d v="2024-11-27T00:00:00"/>
    <x v="1"/>
    <m/>
    <n v="3115"/>
    <x v="1"/>
    <n v="4"/>
    <n v="4"/>
    <x v="1"/>
    <n v="2020"/>
    <n v="1"/>
    <n v="3"/>
    <x v="6"/>
    <s v="555-7504"/>
    <x v="1"/>
    <s v="Elevator"/>
  </r>
  <r>
    <n v="2208"/>
    <s v="Property 2208"/>
    <x v="1"/>
    <x v="1"/>
    <n v="624966"/>
    <d v="2024-08-27T00:00:00"/>
    <x v="293"/>
    <n v="648655"/>
    <n v="1168"/>
    <x v="602"/>
    <n v="2"/>
    <n v="3"/>
    <x v="3"/>
    <n v="2009"/>
    <n v="6"/>
    <n v="3"/>
    <x v="9"/>
    <s v="555-7327"/>
    <x v="0"/>
    <s v="Elevator|Gym|Pool"/>
  </r>
  <r>
    <n v="2209"/>
    <s v="Property 2209"/>
    <x v="3"/>
    <x v="2"/>
    <n v="710655"/>
    <d v="2024-03-15T00:00:00"/>
    <x v="294"/>
    <n v="732056"/>
    <n v="1538"/>
    <x v="603"/>
    <n v="6"/>
    <n v="5"/>
    <x v="3"/>
    <n v="2001"/>
    <n v="4"/>
    <n v="1"/>
    <x v="4"/>
    <s v="555-9286"/>
    <x v="0"/>
    <s v="Barn|Sauna|Fireplace|Garden"/>
  </r>
  <r>
    <n v="2210"/>
    <s v="Property 2210"/>
    <x v="3"/>
    <x v="2"/>
    <n v="480043"/>
    <d v="2024-07-05T00:00:00"/>
    <x v="295"/>
    <n v="518253"/>
    <n v="4438"/>
    <x v="604"/>
    <n v="3"/>
    <n v="4"/>
    <x v="2"/>
    <n v="2021"/>
    <n v="2"/>
    <n v="1"/>
    <x v="2"/>
    <s v="555-4767"/>
    <x v="0"/>
    <s v="Sauna|Garden|Fireplace"/>
  </r>
  <r>
    <n v="2211"/>
    <s v="Property 2211"/>
    <x v="4"/>
    <x v="0"/>
    <n v="380289"/>
    <d v="2024-10-10T00:00:00"/>
    <x v="45"/>
    <n v="421676"/>
    <n v="3826"/>
    <x v="605"/>
    <n v="5"/>
    <n v="3"/>
    <x v="0"/>
    <n v="2020"/>
    <m/>
    <n v="1"/>
    <x v="0"/>
    <s v="555-3392"/>
    <x v="0"/>
    <s v="Sauna|Garden|Garage"/>
  </r>
  <r>
    <n v="2212"/>
    <s v="Property 2212"/>
    <x v="4"/>
    <x v="0"/>
    <n v="447985"/>
    <d v="2024-05-31T00:00:00"/>
    <x v="296"/>
    <n v="477576"/>
    <n v="2366"/>
    <x v="606"/>
    <n v="6"/>
    <n v="4"/>
    <x v="1"/>
    <n v="2015"/>
    <n v="3"/>
    <n v="3"/>
    <x v="6"/>
    <s v="555-3670"/>
    <x v="0"/>
    <s v="Elevator|Garden|Garage|Sauna"/>
  </r>
  <r>
    <n v="2213"/>
    <s v="Property 2213"/>
    <x v="4"/>
    <x v="1"/>
    <n v="770756"/>
    <d v="2024-03-20T00:00:00"/>
    <x v="36"/>
    <n v="781632"/>
    <n v="4277"/>
    <x v="607"/>
    <n v="5"/>
    <n v="5"/>
    <x v="0"/>
    <n v="2013"/>
    <m/>
    <n v="2"/>
    <x v="1"/>
    <s v="555-2977"/>
    <x v="0"/>
    <s v="Fireplace|Garage"/>
  </r>
  <r>
    <n v="2214"/>
    <s v="Property 2214"/>
    <x v="0"/>
    <x v="1"/>
    <n v="432506"/>
    <d v="2024-07-29T00:00:00"/>
    <x v="1"/>
    <m/>
    <n v="2795"/>
    <x v="1"/>
    <n v="2"/>
    <n v="3"/>
    <x v="1"/>
    <n v="2014"/>
    <n v="2"/>
    <n v="4"/>
    <x v="4"/>
    <s v="555-1443"/>
    <x v="1"/>
    <s v="Barn|Garage"/>
  </r>
  <r>
    <n v="2215"/>
    <s v="Property 2215"/>
    <x v="1"/>
    <x v="2"/>
    <n v="352750"/>
    <d v="2024-02-16T00:00:00"/>
    <x v="1"/>
    <m/>
    <n v="2652"/>
    <x v="1"/>
    <n v="2"/>
    <n v="5"/>
    <x v="2"/>
    <n v="2009"/>
    <n v="5"/>
    <n v="2"/>
    <x v="7"/>
    <s v="555-2862"/>
    <x v="1"/>
    <s v="Barn|Garden"/>
  </r>
  <r>
    <n v="2216"/>
    <s v="Property 2216"/>
    <x v="4"/>
    <x v="1"/>
    <n v="622122"/>
    <d v="2024-01-21T00:00:00"/>
    <x v="218"/>
    <n v="659721"/>
    <n v="1024"/>
    <x v="608"/>
    <n v="2"/>
    <n v="5"/>
    <x v="3"/>
    <n v="2012"/>
    <n v="7"/>
    <n v="2"/>
    <x v="2"/>
    <s v="555-4276"/>
    <x v="0"/>
    <s v="Barn|Garden|Gym|Garage"/>
  </r>
  <r>
    <n v="2217"/>
    <s v="Property 2217"/>
    <x v="1"/>
    <x v="0"/>
    <n v="952633"/>
    <d v="2024-02-29T00:00:00"/>
    <x v="297"/>
    <n v="1000008"/>
    <n v="4829"/>
    <x v="609"/>
    <n v="3"/>
    <n v="2"/>
    <x v="1"/>
    <n v="2001"/>
    <n v="1"/>
    <n v="1"/>
    <x v="9"/>
    <s v="555-6716"/>
    <x v="0"/>
    <s v="Fireplace|Elevator|Sauna"/>
  </r>
  <r>
    <n v="2218"/>
    <s v="Property 2218"/>
    <x v="1"/>
    <x v="1"/>
    <n v="377495"/>
    <d v="2024-01-31T00:00:00"/>
    <x v="298"/>
    <n v="420539"/>
    <n v="2523"/>
    <x v="610"/>
    <n v="2"/>
    <n v="4"/>
    <x v="3"/>
    <n v="2017"/>
    <n v="5"/>
    <n v="3"/>
    <x v="3"/>
    <s v="555-6444"/>
    <x v="0"/>
    <s v="Pool|Barn|Fireplace|Sauna"/>
  </r>
  <r>
    <n v="2219"/>
    <s v="Property 2219"/>
    <x v="2"/>
    <x v="1"/>
    <n v="449721"/>
    <d v="2023-12-28T00:00:00"/>
    <x v="1"/>
    <m/>
    <n v="2146"/>
    <x v="1"/>
    <n v="2"/>
    <n v="5"/>
    <x v="0"/>
    <n v="2002"/>
    <m/>
    <n v="3"/>
    <x v="9"/>
    <s v="555-5374"/>
    <x v="1"/>
    <s v="Pool"/>
  </r>
  <r>
    <n v="2220"/>
    <s v="Property 2220"/>
    <x v="3"/>
    <x v="1"/>
    <n v="365586"/>
    <d v="2024-05-12T00:00:00"/>
    <x v="1"/>
    <m/>
    <n v="4387"/>
    <x v="1"/>
    <n v="5"/>
    <n v="5"/>
    <x v="0"/>
    <n v="2021"/>
    <m/>
    <n v="4"/>
    <x v="8"/>
    <s v="555-4009"/>
    <x v="1"/>
    <s v="Barn|Garage"/>
  </r>
  <r>
    <n v="2221"/>
    <s v="Property 2221"/>
    <x v="3"/>
    <x v="2"/>
    <n v="417640"/>
    <d v="2024-10-05T00:00:00"/>
    <x v="36"/>
    <n v="438123"/>
    <n v="3364"/>
    <x v="611"/>
    <n v="3"/>
    <n v="3"/>
    <x v="1"/>
    <n v="2023"/>
    <n v="10"/>
    <n v="3"/>
    <x v="4"/>
    <s v="555-9422"/>
    <x v="0"/>
    <s v="Garden|Gym|Garage"/>
  </r>
  <r>
    <n v="2222"/>
    <s v="Property 2222"/>
    <x v="1"/>
    <x v="2"/>
    <n v="875858"/>
    <d v="2024-08-23T00:00:00"/>
    <x v="65"/>
    <n v="913974"/>
    <n v="2844"/>
    <x v="612"/>
    <n v="5"/>
    <n v="2"/>
    <x v="1"/>
    <n v="2016"/>
    <n v="9"/>
    <n v="1"/>
    <x v="7"/>
    <s v="555-7924"/>
    <x v="0"/>
    <s v="Garage|Elevator|Garden"/>
  </r>
  <r>
    <n v="2223"/>
    <s v="Property 2223"/>
    <x v="1"/>
    <x v="1"/>
    <n v="897824"/>
    <d v="2024-05-28T00:00:00"/>
    <x v="1"/>
    <m/>
    <n v="1877"/>
    <x v="1"/>
    <n v="3"/>
    <n v="3"/>
    <x v="0"/>
    <n v="2009"/>
    <m/>
    <n v="2"/>
    <x v="0"/>
    <s v="555-2151"/>
    <x v="1"/>
    <s v="Garage|Fireplace|Gym|Garden"/>
  </r>
  <r>
    <n v="2224"/>
    <s v="Property 2224"/>
    <x v="1"/>
    <x v="2"/>
    <n v="647691"/>
    <d v="2024-11-04T00:00:00"/>
    <x v="1"/>
    <m/>
    <n v="1096"/>
    <x v="1"/>
    <n v="3"/>
    <n v="3"/>
    <x v="1"/>
    <n v="2012"/>
    <n v="9"/>
    <n v="1"/>
    <x v="5"/>
    <s v="555-8930"/>
    <x v="1"/>
    <s v="Barn|Pool|Fireplace"/>
  </r>
  <r>
    <n v="2225"/>
    <s v="Property 2225"/>
    <x v="2"/>
    <x v="1"/>
    <n v="809000"/>
    <d v="2024-04-26T00:00:00"/>
    <x v="1"/>
    <m/>
    <n v="2679"/>
    <x v="1"/>
    <n v="5"/>
    <n v="4"/>
    <x v="3"/>
    <n v="2005"/>
    <n v="1"/>
    <n v="1"/>
    <x v="2"/>
    <s v="555-8421"/>
    <x v="1"/>
    <s v="Elevator|Barn|Gym|Garden"/>
  </r>
  <r>
    <n v="2226"/>
    <s v="Property 2226"/>
    <x v="1"/>
    <x v="2"/>
    <n v="465171"/>
    <d v="2023-12-22T00:00:00"/>
    <x v="165"/>
    <n v="493531"/>
    <n v="2863"/>
    <x v="613"/>
    <n v="2"/>
    <n v="4"/>
    <x v="1"/>
    <n v="2021"/>
    <n v="6"/>
    <n v="1"/>
    <x v="7"/>
    <s v="555-1525"/>
    <x v="0"/>
    <s v="Fireplace|Gym"/>
  </r>
  <r>
    <n v="2227"/>
    <s v="Property 2227"/>
    <x v="4"/>
    <x v="0"/>
    <n v="447246"/>
    <d v="2024-05-25T00:00:00"/>
    <x v="144"/>
    <n v="465372"/>
    <n v="2834"/>
    <x v="614"/>
    <n v="6"/>
    <n v="2"/>
    <x v="1"/>
    <n v="2013"/>
    <n v="1"/>
    <n v="4"/>
    <x v="6"/>
    <s v="555-8425"/>
    <x v="0"/>
    <s v="Pool"/>
  </r>
  <r>
    <n v="2228"/>
    <s v="Property 2228"/>
    <x v="4"/>
    <x v="0"/>
    <n v="680190"/>
    <d v="2024-05-01T00:00:00"/>
    <x v="8"/>
    <n v="714683"/>
    <n v="4431"/>
    <x v="615"/>
    <n v="2"/>
    <n v="3"/>
    <x v="0"/>
    <n v="2004"/>
    <m/>
    <n v="4"/>
    <x v="0"/>
    <s v="555-8662"/>
    <x v="0"/>
    <s v="Pool|Garage|Barn|Fireplace"/>
  </r>
  <r>
    <n v="2229"/>
    <s v="Property 2229"/>
    <x v="2"/>
    <x v="2"/>
    <n v="835178"/>
    <d v="2024-03-18T00:00:00"/>
    <x v="63"/>
    <n v="878447"/>
    <n v="3398"/>
    <x v="616"/>
    <n v="2"/>
    <n v="5"/>
    <x v="1"/>
    <n v="2022"/>
    <n v="10"/>
    <n v="1"/>
    <x v="5"/>
    <s v="555-2038"/>
    <x v="0"/>
    <s v="Sauna|Garage|Fireplace"/>
  </r>
  <r>
    <n v="2230"/>
    <s v="Property 2230"/>
    <x v="0"/>
    <x v="1"/>
    <n v="744975"/>
    <d v="2024-01-09T00:00:00"/>
    <x v="75"/>
    <n v="775714"/>
    <n v="2467"/>
    <x v="617"/>
    <n v="3"/>
    <n v="3"/>
    <x v="1"/>
    <n v="2002"/>
    <n v="9"/>
    <n v="2"/>
    <x v="7"/>
    <s v="555-4197"/>
    <x v="0"/>
    <s v="Pool|Garden|Fireplace|Elevator"/>
  </r>
  <r>
    <n v="2231"/>
    <s v="Property 2231"/>
    <x v="3"/>
    <x v="1"/>
    <n v="844199"/>
    <d v="2024-08-10T00:00:00"/>
    <x v="170"/>
    <n v="871088"/>
    <n v="4378"/>
    <x v="618"/>
    <n v="4"/>
    <n v="4"/>
    <x v="1"/>
    <n v="2018"/>
    <n v="6"/>
    <n v="1"/>
    <x v="6"/>
    <s v="555-6831"/>
    <x v="0"/>
    <s v="Garden|Barn|Sauna"/>
  </r>
  <r>
    <n v="2232"/>
    <s v="Property 2232"/>
    <x v="1"/>
    <x v="2"/>
    <n v="764896"/>
    <d v="2024-02-16T00:00:00"/>
    <x v="1"/>
    <m/>
    <n v="4456"/>
    <x v="1"/>
    <n v="6"/>
    <n v="4"/>
    <x v="0"/>
    <n v="2019"/>
    <m/>
    <n v="3"/>
    <x v="4"/>
    <s v="555-2407"/>
    <x v="1"/>
    <s v="Garden"/>
  </r>
  <r>
    <n v="2233"/>
    <s v="Property 2233"/>
    <x v="3"/>
    <x v="0"/>
    <n v="516003"/>
    <d v="2024-01-27T00:00:00"/>
    <x v="34"/>
    <n v="556054"/>
    <n v="1017"/>
    <x v="619"/>
    <n v="3"/>
    <n v="5"/>
    <x v="0"/>
    <n v="2004"/>
    <m/>
    <n v="4"/>
    <x v="2"/>
    <s v="555-4301"/>
    <x v="0"/>
    <s v="Gym|Elevator|Barn"/>
  </r>
  <r>
    <n v="2234"/>
    <s v="Property 2234"/>
    <x v="0"/>
    <x v="1"/>
    <n v="378840"/>
    <d v="2024-07-05T00:00:00"/>
    <x v="1"/>
    <m/>
    <n v="3863"/>
    <x v="1"/>
    <n v="4"/>
    <n v="2"/>
    <x v="3"/>
    <n v="2008"/>
    <n v="9"/>
    <n v="4"/>
    <x v="7"/>
    <s v="555-1655"/>
    <x v="1"/>
    <s v="Elevator"/>
  </r>
  <r>
    <n v="2235"/>
    <s v="Property 2235"/>
    <x v="4"/>
    <x v="1"/>
    <n v="540971"/>
    <d v="2024-12-16T00:00:00"/>
    <x v="3"/>
    <n v="562645"/>
    <n v="3034"/>
    <x v="620"/>
    <n v="2"/>
    <n v="4"/>
    <x v="0"/>
    <n v="2014"/>
    <m/>
    <n v="2"/>
    <x v="6"/>
    <s v="555-6037"/>
    <x v="0"/>
    <s v="Garage|Pool|Barn"/>
  </r>
  <r>
    <n v="2236"/>
    <s v="Property 2236"/>
    <x v="3"/>
    <x v="0"/>
    <n v="874882"/>
    <d v="2024-11-05T00:00:00"/>
    <x v="1"/>
    <m/>
    <n v="1586"/>
    <x v="1"/>
    <n v="5"/>
    <n v="5"/>
    <x v="3"/>
    <n v="2015"/>
    <n v="10"/>
    <n v="2"/>
    <x v="5"/>
    <s v="555-1204"/>
    <x v="1"/>
    <s v="Garage|Garden|Barn|Fireplace"/>
  </r>
  <r>
    <n v="2237"/>
    <s v="Property 2237"/>
    <x v="3"/>
    <x v="1"/>
    <n v="877334"/>
    <d v="2024-09-18T00:00:00"/>
    <x v="1"/>
    <m/>
    <n v="2295"/>
    <x v="1"/>
    <n v="4"/>
    <n v="2"/>
    <x v="3"/>
    <n v="2009"/>
    <n v="8"/>
    <n v="3"/>
    <x v="9"/>
    <s v="555-7333"/>
    <x v="1"/>
    <s v="Elevator|Barn|Fireplace|Sauna"/>
  </r>
  <r>
    <n v="2238"/>
    <s v="Property 2238"/>
    <x v="4"/>
    <x v="0"/>
    <n v="608213"/>
    <d v="2024-02-22T00:00:00"/>
    <x v="180"/>
    <n v="624838"/>
    <n v="2953"/>
    <x v="621"/>
    <n v="4"/>
    <n v="2"/>
    <x v="2"/>
    <n v="2005"/>
    <n v="10"/>
    <n v="3"/>
    <x v="5"/>
    <s v="555-1148"/>
    <x v="0"/>
    <s v="Garden|Elevator|Sauna|Garage"/>
  </r>
  <r>
    <n v="2239"/>
    <s v="Property 2239"/>
    <x v="3"/>
    <x v="0"/>
    <n v="373709"/>
    <d v="2024-10-04T00:00:00"/>
    <x v="181"/>
    <n v="408599"/>
    <n v="1202"/>
    <x v="622"/>
    <n v="3"/>
    <n v="4"/>
    <x v="1"/>
    <n v="2016"/>
    <n v="9"/>
    <n v="1"/>
    <x v="8"/>
    <s v="555-3010"/>
    <x v="0"/>
    <s v="Fireplace|Gym|Garden|Pool"/>
  </r>
  <r>
    <n v="2240"/>
    <s v="Property 2240"/>
    <x v="3"/>
    <x v="0"/>
    <n v="402162"/>
    <d v="2024-10-09T00:00:00"/>
    <x v="173"/>
    <n v="442588"/>
    <n v="1254"/>
    <x v="623"/>
    <n v="2"/>
    <n v="5"/>
    <x v="3"/>
    <n v="2014"/>
    <n v="3"/>
    <n v="2"/>
    <x v="6"/>
    <s v="555-8984"/>
    <x v="0"/>
    <s v="Gym|Fireplace"/>
  </r>
  <r>
    <n v="2241"/>
    <s v="Property 2241"/>
    <x v="3"/>
    <x v="1"/>
    <n v="893552"/>
    <d v="2024-06-27T00:00:00"/>
    <x v="1"/>
    <m/>
    <n v="2960"/>
    <x v="1"/>
    <n v="4"/>
    <n v="4"/>
    <x v="3"/>
    <n v="2018"/>
    <n v="5"/>
    <n v="4"/>
    <x v="2"/>
    <s v="555-3448"/>
    <x v="1"/>
    <s v="Elevator|Garden|Garage"/>
  </r>
  <r>
    <n v="2242"/>
    <s v="Property 2242"/>
    <x v="1"/>
    <x v="1"/>
    <n v="613698"/>
    <d v="2024-08-25T00:00:00"/>
    <x v="1"/>
    <m/>
    <n v="2201"/>
    <x v="1"/>
    <n v="4"/>
    <n v="4"/>
    <x v="1"/>
    <n v="2007"/>
    <n v="8"/>
    <n v="4"/>
    <x v="5"/>
    <s v="555-5212"/>
    <x v="1"/>
    <s v="Gym|Garden|Sauna"/>
  </r>
  <r>
    <n v="2243"/>
    <s v="Property 2243"/>
    <x v="1"/>
    <x v="1"/>
    <n v="444908"/>
    <d v="2024-06-13T00:00:00"/>
    <x v="184"/>
    <n v="460316"/>
    <n v="3919"/>
    <x v="624"/>
    <n v="2"/>
    <n v="4"/>
    <x v="0"/>
    <n v="2002"/>
    <m/>
    <n v="3"/>
    <x v="6"/>
    <s v="555-4429"/>
    <x v="0"/>
    <s v="Garden|Gym|Elevator"/>
  </r>
  <r>
    <n v="2244"/>
    <s v="Property 2244"/>
    <x v="4"/>
    <x v="1"/>
    <n v="698935"/>
    <d v="2024-02-03T00:00:00"/>
    <x v="1"/>
    <m/>
    <n v="2938"/>
    <x v="1"/>
    <n v="3"/>
    <n v="3"/>
    <x v="1"/>
    <n v="2015"/>
    <n v="4"/>
    <n v="1"/>
    <x v="7"/>
    <s v="555-8899"/>
    <x v="1"/>
    <s v="Garden|Garage"/>
  </r>
  <r>
    <n v="2245"/>
    <s v="Property 2245"/>
    <x v="1"/>
    <x v="2"/>
    <n v="881346"/>
    <d v="2024-09-14T00:00:00"/>
    <x v="299"/>
    <n v="896358"/>
    <n v="1279"/>
    <x v="625"/>
    <n v="3"/>
    <n v="5"/>
    <x v="0"/>
    <n v="2001"/>
    <m/>
    <n v="1"/>
    <x v="6"/>
    <s v="555-6630"/>
    <x v="0"/>
    <s v="Fireplace"/>
  </r>
  <r>
    <n v="2246"/>
    <s v="Property 2246"/>
    <x v="2"/>
    <x v="2"/>
    <n v="951158"/>
    <d v="2024-03-24T00:00:00"/>
    <x v="1"/>
    <m/>
    <n v="3754"/>
    <x v="1"/>
    <n v="6"/>
    <n v="2"/>
    <x v="3"/>
    <n v="2012"/>
    <n v="2"/>
    <n v="2"/>
    <x v="3"/>
    <s v="555-2038"/>
    <x v="1"/>
    <s v="Pool"/>
  </r>
  <r>
    <n v="2247"/>
    <s v="Property 2247"/>
    <x v="1"/>
    <x v="1"/>
    <n v="885331"/>
    <d v="2024-06-06T00:00:00"/>
    <x v="1"/>
    <m/>
    <n v="3545"/>
    <x v="1"/>
    <n v="5"/>
    <n v="5"/>
    <x v="0"/>
    <n v="2005"/>
    <m/>
    <n v="4"/>
    <x v="8"/>
    <s v="555-6407"/>
    <x v="1"/>
    <s v="Sauna"/>
  </r>
  <r>
    <n v="2248"/>
    <s v="Property 2248"/>
    <x v="0"/>
    <x v="2"/>
    <n v="360998"/>
    <d v="2024-11-05T00:00:00"/>
    <x v="1"/>
    <m/>
    <n v="3911"/>
    <x v="1"/>
    <n v="6"/>
    <n v="4"/>
    <x v="3"/>
    <n v="2022"/>
    <n v="3"/>
    <n v="4"/>
    <x v="0"/>
    <s v="555-1834"/>
    <x v="1"/>
    <s v="Garage|Garden"/>
  </r>
  <r>
    <n v="2249"/>
    <s v="Property 2249"/>
    <x v="1"/>
    <x v="1"/>
    <n v="807714"/>
    <d v="2024-04-15T00:00:00"/>
    <x v="155"/>
    <n v="854425"/>
    <n v="4846"/>
    <x v="626"/>
    <n v="2"/>
    <n v="4"/>
    <x v="1"/>
    <n v="2023"/>
    <n v="1"/>
    <n v="3"/>
    <x v="3"/>
    <s v="555-9587"/>
    <x v="0"/>
    <s v="Elevator"/>
  </r>
  <r>
    <n v="2250"/>
    <s v="Property 2250"/>
    <x v="3"/>
    <x v="2"/>
    <n v="357677"/>
    <d v="2024-02-19T00:00:00"/>
    <x v="300"/>
    <n v="404659"/>
    <n v="4883"/>
    <x v="627"/>
    <n v="5"/>
    <n v="2"/>
    <x v="0"/>
    <n v="2023"/>
    <m/>
    <n v="3"/>
    <x v="9"/>
    <s v="555-8252"/>
    <x v="0"/>
    <s v="Elevator|Garage|Pool|Garden"/>
  </r>
  <r>
    <n v="2251"/>
    <s v="Property 2251"/>
    <x v="0"/>
    <x v="1"/>
    <n v="367653"/>
    <d v="2024-09-20T00:00:00"/>
    <x v="1"/>
    <m/>
    <n v="3994"/>
    <x v="1"/>
    <n v="5"/>
    <n v="5"/>
    <x v="1"/>
    <n v="2022"/>
    <n v="9"/>
    <n v="1"/>
    <x v="2"/>
    <s v="555-7712"/>
    <x v="1"/>
    <s v="Garden|Barn|Fireplace|Pool"/>
  </r>
  <r>
    <n v="2252"/>
    <s v="Property 2252"/>
    <x v="3"/>
    <x v="1"/>
    <n v="593162"/>
    <d v="2024-06-04T00:00:00"/>
    <x v="9"/>
    <n v="621067"/>
    <n v="4564"/>
    <x v="628"/>
    <n v="2"/>
    <n v="4"/>
    <x v="2"/>
    <n v="2011"/>
    <n v="1"/>
    <n v="1"/>
    <x v="9"/>
    <s v="555-1538"/>
    <x v="0"/>
    <s v="Elevator"/>
  </r>
  <r>
    <n v="2253"/>
    <s v="Property 2253"/>
    <x v="0"/>
    <x v="2"/>
    <n v="462370"/>
    <d v="2024-04-15T00:00:00"/>
    <x v="211"/>
    <n v="507663"/>
    <n v="3150"/>
    <x v="629"/>
    <n v="4"/>
    <n v="3"/>
    <x v="1"/>
    <n v="2006"/>
    <n v="10"/>
    <n v="2"/>
    <x v="0"/>
    <s v="555-2889"/>
    <x v="0"/>
    <s v="Fireplace|Garage"/>
  </r>
  <r>
    <n v="2254"/>
    <s v="Property 2254"/>
    <x v="2"/>
    <x v="1"/>
    <n v="680912"/>
    <d v="2024-04-23T00:00:00"/>
    <x v="1"/>
    <m/>
    <n v="2224"/>
    <x v="1"/>
    <n v="6"/>
    <n v="4"/>
    <x v="1"/>
    <n v="2005"/>
    <n v="5"/>
    <n v="2"/>
    <x v="7"/>
    <s v="555-8215"/>
    <x v="1"/>
    <s v="Garden|Fireplace|Sauna"/>
  </r>
  <r>
    <n v="2255"/>
    <s v="Property 2255"/>
    <x v="0"/>
    <x v="1"/>
    <n v="631407"/>
    <d v="2024-08-31T00:00:00"/>
    <x v="1"/>
    <m/>
    <n v="2732"/>
    <x v="1"/>
    <n v="2"/>
    <n v="3"/>
    <x v="1"/>
    <n v="2010"/>
    <n v="8"/>
    <n v="4"/>
    <x v="2"/>
    <s v="555-9017"/>
    <x v="1"/>
    <s v="Pool|Fireplace"/>
  </r>
  <r>
    <n v="2256"/>
    <s v="Property 2256"/>
    <x v="3"/>
    <x v="1"/>
    <n v="530566"/>
    <d v="2024-09-25T00:00:00"/>
    <x v="299"/>
    <n v="540720"/>
    <n v="4928"/>
    <x v="630"/>
    <n v="2"/>
    <n v="4"/>
    <x v="2"/>
    <n v="2021"/>
    <n v="8"/>
    <n v="1"/>
    <x v="4"/>
    <s v="555-6553"/>
    <x v="0"/>
    <s v="Pool|Garden|Barn"/>
  </r>
  <r>
    <n v="2257"/>
    <s v="Property 2257"/>
    <x v="4"/>
    <x v="1"/>
    <n v="437432"/>
    <d v="2024-09-06T00:00:00"/>
    <x v="1"/>
    <m/>
    <n v="2531"/>
    <x v="1"/>
    <n v="3"/>
    <n v="4"/>
    <x v="1"/>
    <n v="2001"/>
    <n v="6"/>
    <n v="2"/>
    <x v="2"/>
    <s v="555-2830"/>
    <x v="1"/>
    <s v="Gym|Sauna|Barn|Garden"/>
  </r>
  <r>
    <n v="2258"/>
    <s v="Property 2258"/>
    <x v="0"/>
    <x v="1"/>
    <n v="599199"/>
    <d v="2024-02-22T00:00:00"/>
    <x v="269"/>
    <n v="636814"/>
    <n v="3778"/>
    <x v="631"/>
    <n v="4"/>
    <n v="5"/>
    <x v="2"/>
    <n v="2019"/>
    <n v="2"/>
    <n v="1"/>
    <x v="5"/>
    <s v="555-3059"/>
    <x v="0"/>
    <s v="Fireplace|Barn|Garden|Gym"/>
  </r>
  <r>
    <n v="2259"/>
    <s v="Property 2259"/>
    <x v="2"/>
    <x v="1"/>
    <n v="412412"/>
    <d v="2024-11-27T00:00:00"/>
    <x v="265"/>
    <n v="430393"/>
    <n v="3348"/>
    <x v="632"/>
    <n v="5"/>
    <n v="3"/>
    <x v="1"/>
    <n v="2000"/>
    <n v="10"/>
    <n v="4"/>
    <x v="4"/>
    <s v="555-2780"/>
    <x v="0"/>
    <s v="Garden|Barn"/>
  </r>
  <r>
    <n v="2260"/>
    <s v="Property 2260"/>
    <x v="1"/>
    <x v="0"/>
    <n v="912131"/>
    <d v="2024-04-09T00:00:00"/>
    <x v="1"/>
    <m/>
    <n v="1529"/>
    <x v="1"/>
    <n v="6"/>
    <n v="4"/>
    <x v="1"/>
    <n v="2023"/>
    <n v="1"/>
    <n v="3"/>
    <x v="3"/>
    <s v="555-7339"/>
    <x v="1"/>
    <s v="Fireplace"/>
  </r>
  <r>
    <n v="2261"/>
    <s v="Property 2261"/>
    <x v="4"/>
    <x v="0"/>
    <n v="805602"/>
    <d v="2024-08-05T00:00:00"/>
    <x v="1"/>
    <m/>
    <n v="4003"/>
    <x v="1"/>
    <n v="2"/>
    <n v="3"/>
    <x v="0"/>
    <n v="2023"/>
    <m/>
    <n v="2"/>
    <x v="4"/>
    <s v="555-8189"/>
    <x v="1"/>
    <s v="Barn"/>
  </r>
  <r>
    <n v="2262"/>
    <s v="Property 2262"/>
    <x v="4"/>
    <x v="0"/>
    <n v="680689"/>
    <d v="2024-02-25T00:00:00"/>
    <x v="1"/>
    <m/>
    <n v="1385"/>
    <x v="1"/>
    <n v="3"/>
    <n v="2"/>
    <x v="0"/>
    <n v="2015"/>
    <m/>
    <n v="1"/>
    <x v="2"/>
    <s v="555-7637"/>
    <x v="1"/>
    <s v="Fireplace|Barn|Garage"/>
  </r>
  <r>
    <n v="2263"/>
    <s v="Property 2263"/>
    <x v="2"/>
    <x v="2"/>
    <n v="485041"/>
    <d v="2024-02-29T00:00:00"/>
    <x v="293"/>
    <n v="528288"/>
    <n v="3754"/>
    <x v="633"/>
    <n v="5"/>
    <n v="4"/>
    <x v="0"/>
    <n v="2022"/>
    <m/>
    <n v="3"/>
    <x v="1"/>
    <s v="555-6765"/>
    <x v="0"/>
    <s v="Pool|Garden|Sauna|Gym"/>
  </r>
  <r>
    <n v="2264"/>
    <s v="Property 2264"/>
    <x v="3"/>
    <x v="0"/>
    <n v="745863"/>
    <d v="2024-06-13T00:00:00"/>
    <x v="32"/>
    <n v="761684"/>
    <n v="1843"/>
    <x v="634"/>
    <n v="2"/>
    <n v="3"/>
    <x v="0"/>
    <n v="2005"/>
    <m/>
    <n v="2"/>
    <x v="0"/>
    <s v="555-9603"/>
    <x v="0"/>
    <s v="Pool|Garage|Barn|Sauna"/>
  </r>
  <r>
    <n v="2265"/>
    <s v="Property 2265"/>
    <x v="2"/>
    <x v="1"/>
    <n v="730245"/>
    <d v="2024-01-07T00:00:00"/>
    <x v="24"/>
    <n v="776061"/>
    <n v="3010"/>
    <x v="635"/>
    <n v="4"/>
    <n v="3"/>
    <x v="2"/>
    <n v="2008"/>
    <n v="10"/>
    <n v="1"/>
    <x v="3"/>
    <s v="555-7675"/>
    <x v="0"/>
    <s v="Pool|Gym"/>
  </r>
  <r>
    <n v="2266"/>
    <s v="Property 2266"/>
    <x v="4"/>
    <x v="0"/>
    <n v="842141"/>
    <d v="2024-08-30T00:00:00"/>
    <x v="179"/>
    <n v="884272"/>
    <n v="4937"/>
    <x v="636"/>
    <n v="5"/>
    <n v="2"/>
    <x v="2"/>
    <n v="2021"/>
    <n v="9"/>
    <n v="2"/>
    <x v="0"/>
    <s v="555-7303"/>
    <x v="0"/>
    <s v="Sauna"/>
  </r>
  <r>
    <n v="2267"/>
    <s v="Property 2267"/>
    <x v="2"/>
    <x v="1"/>
    <n v="355360"/>
    <d v="2024-08-01T00:00:00"/>
    <x v="198"/>
    <n v="381602"/>
    <n v="1036"/>
    <x v="637"/>
    <n v="2"/>
    <n v="3"/>
    <x v="2"/>
    <n v="2006"/>
    <n v="7"/>
    <n v="4"/>
    <x v="7"/>
    <s v="555-8521"/>
    <x v="0"/>
    <s v="Garden|Pool|Gym|Sauna"/>
  </r>
  <r>
    <n v="2268"/>
    <s v="Property 2268"/>
    <x v="0"/>
    <x v="0"/>
    <n v="800336"/>
    <d v="2024-10-14T00:00:00"/>
    <x v="1"/>
    <m/>
    <n v="2664"/>
    <x v="1"/>
    <n v="4"/>
    <n v="5"/>
    <x v="3"/>
    <n v="2017"/>
    <n v="5"/>
    <n v="4"/>
    <x v="4"/>
    <s v="555-3977"/>
    <x v="1"/>
    <s v="Pool"/>
  </r>
  <r>
    <n v="2269"/>
    <s v="Property 2269"/>
    <x v="2"/>
    <x v="2"/>
    <n v="344767"/>
    <d v="2024-08-23T00:00:00"/>
    <x v="301"/>
    <n v="374702"/>
    <n v="1165"/>
    <x v="638"/>
    <n v="6"/>
    <n v="5"/>
    <x v="1"/>
    <n v="2019"/>
    <n v="10"/>
    <n v="3"/>
    <x v="5"/>
    <s v="555-6818"/>
    <x v="0"/>
    <s v="Garage|Elevator"/>
  </r>
  <r>
    <n v="2270"/>
    <s v="Property 2270"/>
    <x v="3"/>
    <x v="1"/>
    <n v="336491"/>
    <d v="2024-02-14T00:00:00"/>
    <x v="1"/>
    <m/>
    <n v="1108"/>
    <x v="1"/>
    <n v="6"/>
    <n v="2"/>
    <x v="1"/>
    <n v="2022"/>
    <n v="1"/>
    <n v="2"/>
    <x v="1"/>
    <s v="555-9048"/>
    <x v="1"/>
    <s v="Pool"/>
  </r>
  <r>
    <n v="2271"/>
    <s v="Property 2271"/>
    <x v="4"/>
    <x v="1"/>
    <n v="542080"/>
    <d v="2024-04-14T00:00:00"/>
    <x v="291"/>
    <n v="573447"/>
    <n v="2028"/>
    <x v="639"/>
    <n v="2"/>
    <n v="3"/>
    <x v="1"/>
    <n v="2007"/>
    <n v="10"/>
    <n v="4"/>
    <x v="0"/>
    <s v="555-7554"/>
    <x v="0"/>
    <s v="Barn|Gym"/>
  </r>
  <r>
    <n v="2272"/>
    <s v="Property 2272"/>
    <x v="4"/>
    <x v="2"/>
    <n v="779715"/>
    <d v="2024-02-18T00:00:00"/>
    <x v="1"/>
    <m/>
    <n v="2306"/>
    <x v="1"/>
    <n v="2"/>
    <n v="5"/>
    <x v="2"/>
    <n v="2019"/>
    <n v="6"/>
    <n v="1"/>
    <x v="1"/>
    <s v="555-3779"/>
    <x v="1"/>
    <s v="Gym|Garden"/>
  </r>
  <r>
    <n v="2273"/>
    <s v="Property 2273"/>
    <x v="3"/>
    <x v="2"/>
    <n v="533344"/>
    <d v="2024-07-02T00:00:00"/>
    <x v="35"/>
    <n v="560883"/>
    <n v="1562"/>
    <x v="640"/>
    <n v="3"/>
    <n v="4"/>
    <x v="2"/>
    <n v="2000"/>
    <n v="4"/>
    <n v="2"/>
    <x v="5"/>
    <s v="555-5688"/>
    <x v="0"/>
    <s v="Elevator|Fireplace|Barn"/>
  </r>
  <r>
    <n v="2274"/>
    <s v="Property 2274"/>
    <x v="0"/>
    <x v="2"/>
    <n v="379241"/>
    <d v="2024-03-05T00:00:00"/>
    <x v="195"/>
    <n v="396957"/>
    <n v="2119"/>
    <x v="641"/>
    <n v="6"/>
    <n v="3"/>
    <x v="0"/>
    <n v="2000"/>
    <m/>
    <n v="2"/>
    <x v="0"/>
    <s v="555-5234"/>
    <x v="0"/>
    <s v="Elevator|Pool|Fireplace"/>
  </r>
  <r>
    <n v="2275"/>
    <s v="Property 2275"/>
    <x v="4"/>
    <x v="2"/>
    <n v="358579"/>
    <d v="2024-04-11T00:00:00"/>
    <x v="208"/>
    <n v="396806"/>
    <n v="3765"/>
    <x v="642"/>
    <n v="2"/>
    <n v="2"/>
    <x v="2"/>
    <n v="2005"/>
    <n v="9"/>
    <n v="3"/>
    <x v="7"/>
    <s v="555-1326"/>
    <x v="0"/>
    <s v="Barn|Elevator|Sauna"/>
  </r>
  <r>
    <n v="2276"/>
    <s v="Property 2276"/>
    <x v="4"/>
    <x v="0"/>
    <n v="736750"/>
    <d v="2024-01-27T00:00:00"/>
    <x v="1"/>
    <m/>
    <n v="3128"/>
    <x v="1"/>
    <n v="2"/>
    <n v="2"/>
    <x v="2"/>
    <n v="2000"/>
    <n v="8"/>
    <n v="1"/>
    <x v="7"/>
    <s v="555-5552"/>
    <x v="1"/>
    <s v="Sauna|Fireplace"/>
  </r>
  <r>
    <n v="2277"/>
    <s v="Property 2277"/>
    <x v="3"/>
    <x v="0"/>
    <n v="914066"/>
    <d v="2024-03-25T00:00:00"/>
    <x v="1"/>
    <m/>
    <n v="3099"/>
    <x v="1"/>
    <n v="3"/>
    <n v="4"/>
    <x v="0"/>
    <n v="2009"/>
    <m/>
    <n v="3"/>
    <x v="7"/>
    <s v="555-2952"/>
    <x v="1"/>
    <s v="Sauna"/>
  </r>
  <r>
    <n v="2278"/>
    <s v="Property 2278"/>
    <x v="2"/>
    <x v="2"/>
    <n v="354051"/>
    <d v="2024-03-09T00:00:00"/>
    <x v="110"/>
    <n v="399786"/>
    <n v="3854"/>
    <x v="643"/>
    <n v="4"/>
    <n v="4"/>
    <x v="0"/>
    <n v="2007"/>
    <m/>
    <n v="3"/>
    <x v="8"/>
    <s v="555-7812"/>
    <x v="0"/>
    <s v="Elevator|Gym|Pool"/>
  </r>
  <r>
    <n v="2279"/>
    <s v="Property 2279"/>
    <x v="4"/>
    <x v="2"/>
    <n v="365988"/>
    <d v="2023-12-26T00:00:00"/>
    <x v="66"/>
    <n v="411281"/>
    <n v="1858"/>
    <x v="644"/>
    <n v="2"/>
    <n v="2"/>
    <x v="0"/>
    <n v="2001"/>
    <m/>
    <n v="4"/>
    <x v="3"/>
    <s v="555-1780"/>
    <x v="0"/>
    <s v="Barn|Sauna|Elevator"/>
  </r>
  <r>
    <n v="2280"/>
    <s v="Property 2280"/>
    <x v="0"/>
    <x v="1"/>
    <n v="445435"/>
    <d v="2024-10-24T00:00:00"/>
    <x v="44"/>
    <n v="471935"/>
    <n v="2931"/>
    <x v="645"/>
    <n v="4"/>
    <n v="4"/>
    <x v="1"/>
    <n v="2017"/>
    <n v="10"/>
    <n v="2"/>
    <x v="1"/>
    <s v="555-4602"/>
    <x v="0"/>
    <s v="Barn|Elevator"/>
  </r>
  <r>
    <n v="2281"/>
    <s v="Property 2281"/>
    <x v="3"/>
    <x v="1"/>
    <n v="842885"/>
    <d v="2023-12-25T00:00:00"/>
    <x v="244"/>
    <n v="863061"/>
    <n v="3367"/>
    <x v="646"/>
    <n v="6"/>
    <n v="5"/>
    <x v="3"/>
    <n v="2015"/>
    <n v="4"/>
    <n v="4"/>
    <x v="2"/>
    <s v="555-3153"/>
    <x v="0"/>
    <s v="Sauna|Elevator|Barn"/>
  </r>
  <r>
    <n v="2282"/>
    <s v="Property 2282"/>
    <x v="0"/>
    <x v="1"/>
    <n v="934508"/>
    <d v="2024-03-31T00:00:00"/>
    <x v="1"/>
    <m/>
    <n v="2522"/>
    <x v="1"/>
    <n v="6"/>
    <n v="3"/>
    <x v="2"/>
    <n v="2009"/>
    <n v="10"/>
    <n v="3"/>
    <x v="5"/>
    <s v="555-9908"/>
    <x v="1"/>
    <s v="Gym|Garage"/>
  </r>
  <r>
    <n v="2283"/>
    <s v="Property 2283"/>
    <x v="4"/>
    <x v="2"/>
    <n v="746663"/>
    <d v="2024-02-27T00:00:00"/>
    <x v="280"/>
    <n v="792048"/>
    <n v="3569"/>
    <x v="647"/>
    <n v="5"/>
    <n v="2"/>
    <x v="3"/>
    <n v="2014"/>
    <n v="3"/>
    <n v="2"/>
    <x v="4"/>
    <s v="555-2226"/>
    <x v="0"/>
    <s v="Garage|Barn|Elevator"/>
  </r>
  <r>
    <n v="2284"/>
    <s v="Property 2284"/>
    <x v="3"/>
    <x v="1"/>
    <n v="730805"/>
    <d v="2023-12-20T00:00:00"/>
    <x v="224"/>
    <n v="754249"/>
    <n v="1484"/>
    <x v="648"/>
    <n v="2"/>
    <n v="2"/>
    <x v="0"/>
    <n v="2019"/>
    <m/>
    <n v="4"/>
    <x v="3"/>
    <s v="555-4039"/>
    <x v="0"/>
    <s v="Sauna|Elevator|Garden"/>
  </r>
  <r>
    <n v="2285"/>
    <s v="Property 2285"/>
    <x v="2"/>
    <x v="2"/>
    <n v="987423"/>
    <d v="2024-10-25T00:00:00"/>
    <x v="1"/>
    <m/>
    <n v="1059"/>
    <x v="1"/>
    <n v="4"/>
    <n v="3"/>
    <x v="1"/>
    <n v="2010"/>
    <n v="7"/>
    <n v="1"/>
    <x v="8"/>
    <s v="555-9689"/>
    <x v="1"/>
    <s v="Barn|Garage|Fireplace|Gym"/>
  </r>
  <r>
    <n v="2286"/>
    <s v="Property 2286"/>
    <x v="2"/>
    <x v="0"/>
    <n v="809284"/>
    <d v="2024-09-27T00:00:00"/>
    <x v="277"/>
    <n v="850330"/>
    <n v="2939"/>
    <x v="649"/>
    <n v="4"/>
    <n v="3"/>
    <x v="3"/>
    <n v="2022"/>
    <n v="6"/>
    <n v="2"/>
    <x v="8"/>
    <s v="555-4348"/>
    <x v="0"/>
    <s v="Gym|Garden|Pool|Sauna"/>
  </r>
  <r>
    <n v="2287"/>
    <s v="Property 2287"/>
    <x v="2"/>
    <x v="1"/>
    <n v="370203"/>
    <d v="2024-05-03T00:00:00"/>
    <x v="1"/>
    <m/>
    <n v="2519"/>
    <x v="1"/>
    <n v="5"/>
    <n v="3"/>
    <x v="1"/>
    <n v="2004"/>
    <n v="5"/>
    <n v="2"/>
    <x v="5"/>
    <s v="555-6273"/>
    <x v="1"/>
    <s v="Garden"/>
  </r>
  <r>
    <n v="2288"/>
    <s v="Property 2288"/>
    <x v="2"/>
    <x v="0"/>
    <n v="908186"/>
    <d v="2024-04-14T00:00:00"/>
    <x v="1"/>
    <m/>
    <n v="4335"/>
    <x v="1"/>
    <n v="6"/>
    <n v="2"/>
    <x v="2"/>
    <n v="2016"/>
    <n v="8"/>
    <n v="1"/>
    <x v="1"/>
    <s v="555-2894"/>
    <x v="1"/>
    <s v="Elevator|Pool|Fireplace"/>
  </r>
  <r>
    <n v="2289"/>
    <s v="Property 2289"/>
    <x v="4"/>
    <x v="0"/>
    <n v="374184"/>
    <d v="2024-02-07T00:00:00"/>
    <x v="264"/>
    <n v="421848"/>
    <n v="1495"/>
    <x v="650"/>
    <n v="2"/>
    <n v="4"/>
    <x v="3"/>
    <n v="2015"/>
    <n v="4"/>
    <n v="3"/>
    <x v="2"/>
    <s v="555-2367"/>
    <x v="0"/>
    <s v="Pool|Gym|Fireplace|Garage"/>
  </r>
  <r>
    <n v="2290"/>
    <s v="Property 2290"/>
    <x v="1"/>
    <x v="1"/>
    <n v="801940"/>
    <d v="2024-07-31T00:00:00"/>
    <x v="169"/>
    <n v="838544"/>
    <n v="1277"/>
    <x v="651"/>
    <n v="4"/>
    <n v="5"/>
    <x v="2"/>
    <n v="2002"/>
    <n v="3"/>
    <n v="4"/>
    <x v="9"/>
    <s v="555-6281"/>
    <x v="0"/>
    <s v="Sauna"/>
  </r>
  <r>
    <n v="2291"/>
    <s v="Property 2291"/>
    <x v="3"/>
    <x v="0"/>
    <n v="995656"/>
    <d v="2024-05-02T00:00:00"/>
    <x v="72"/>
    <n v="1028103"/>
    <n v="4552"/>
    <x v="652"/>
    <n v="3"/>
    <n v="2"/>
    <x v="2"/>
    <n v="2009"/>
    <n v="3"/>
    <n v="3"/>
    <x v="4"/>
    <s v="555-7900"/>
    <x v="0"/>
    <s v="Elevator|Fireplace"/>
  </r>
  <r>
    <n v="2292"/>
    <s v="Property 2292"/>
    <x v="0"/>
    <x v="2"/>
    <n v="382905"/>
    <d v="2024-03-04T00:00:00"/>
    <x v="93"/>
    <n v="408613"/>
    <n v="3436"/>
    <x v="653"/>
    <n v="2"/>
    <n v="2"/>
    <x v="0"/>
    <n v="2017"/>
    <m/>
    <n v="4"/>
    <x v="6"/>
    <s v="555-5238"/>
    <x v="0"/>
    <s v="Sauna|Elevator"/>
  </r>
  <r>
    <n v="2293"/>
    <s v="Property 2293"/>
    <x v="0"/>
    <x v="0"/>
    <n v="576275"/>
    <d v="2024-05-14T00:00:00"/>
    <x v="302"/>
    <n v="612949"/>
    <n v="3622"/>
    <x v="654"/>
    <n v="3"/>
    <n v="2"/>
    <x v="3"/>
    <n v="2004"/>
    <n v="5"/>
    <n v="3"/>
    <x v="0"/>
    <s v="555-2180"/>
    <x v="0"/>
    <s v="Elevator|Barn"/>
  </r>
  <r>
    <n v="2294"/>
    <s v="Property 2294"/>
    <x v="4"/>
    <x v="2"/>
    <n v="313523"/>
    <d v="2024-09-12T00:00:00"/>
    <x v="1"/>
    <m/>
    <n v="4149"/>
    <x v="1"/>
    <n v="5"/>
    <n v="5"/>
    <x v="2"/>
    <n v="2016"/>
    <n v="4"/>
    <n v="3"/>
    <x v="8"/>
    <s v="555-1983"/>
    <x v="1"/>
    <s v="Gym|Sauna|Garden"/>
  </r>
  <r>
    <n v="2295"/>
    <s v="Property 2295"/>
    <x v="0"/>
    <x v="1"/>
    <n v="783920"/>
    <d v="2024-12-13T00:00:00"/>
    <x v="104"/>
    <n v="826668"/>
    <n v="1462"/>
    <x v="655"/>
    <n v="3"/>
    <n v="5"/>
    <x v="3"/>
    <n v="2004"/>
    <n v="9"/>
    <n v="3"/>
    <x v="8"/>
    <s v="555-4490"/>
    <x v="0"/>
    <s v="Garden|Gym"/>
  </r>
  <r>
    <n v="2296"/>
    <s v="Property 2296"/>
    <x v="1"/>
    <x v="0"/>
    <n v="303761"/>
    <d v="2024-08-04T00:00:00"/>
    <x v="1"/>
    <m/>
    <n v="3839"/>
    <x v="1"/>
    <n v="5"/>
    <n v="2"/>
    <x v="2"/>
    <n v="2004"/>
    <n v="4"/>
    <n v="3"/>
    <x v="1"/>
    <s v="555-2583"/>
    <x v="1"/>
    <s v="Gym|Sauna|Barn"/>
  </r>
  <r>
    <n v="2297"/>
    <s v="Property 2297"/>
    <x v="0"/>
    <x v="1"/>
    <n v="585839"/>
    <d v="2023-12-21T00:00:00"/>
    <x v="173"/>
    <n v="632857"/>
    <n v="2314"/>
    <x v="656"/>
    <n v="3"/>
    <n v="2"/>
    <x v="3"/>
    <n v="2018"/>
    <n v="7"/>
    <n v="4"/>
    <x v="7"/>
    <s v="555-4278"/>
    <x v="0"/>
    <s v="Fireplace|Barn"/>
  </r>
  <r>
    <n v="2298"/>
    <s v="Property 2298"/>
    <x v="4"/>
    <x v="1"/>
    <n v="589710"/>
    <d v="2024-03-17T00:00:00"/>
    <x v="146"/>
    <n v="600036"/>
    <n v="4075"/>
    <x v="657"/>
    <n v="6"/>
    <n v="2"/>
    <x v="1"/>
    <n v="2019"/>
    <n v="7"/>
    <n v="1"/>
    <x v="5"/>
    <s v="555-2372"/>
    <x v="0"/>
    <s v="Fireplace|Pool|Barn|Garden"/>
  </r>
  <r>
    <n v="2299"/>
    <s v="Property 2299"/>
    <x v="0"/>
    <x v="1"/>
    <n v="868810"/>
    <d v="2024-11-06T00:00:00"/>
    <x v="1"/>
    <m/>
    <n v="1935"/>
    <x v="1"/>
    <n v="3"/>
    <n v="3"/>
    <x v="2"/>
    <n v="2012"/>
    <n v="4"/>
    <n v="3"/>
    <x v="3"/>
    <s v="555-5633"/>
    <x v="1"/>
    <s v="Fireplace|Elevator|Garage|Barn"/>
  </r>
  <r>
    <n v="2300"/>
    <s v="Property 2300"/>
    <x v="1"/>
    <x v="0"/>
    <n v="994344"/>
    <d v="2024-04-12T00:00:00"/>
    <x v="1"/>
    <m/>
    <n v="2174"/>
    <x v="1"/>
    <n v="2"/>
    <n v="5"/>
    <x v="3"/>
    <n v="2020"/>
    <n v="9"/>
    <n v="3"/>
    <x v="6"/>
    <s v="555-5168"/>
    <x v="1"/>
    <s v="Sauna|Garage|Fireplace"/>
  </r>
  <r>
    <n v="2301"/>
    <s v="Property 2301"/>
    <x v="3"/>
    <x v="2"/>
    <n v="353641"/>
    <d v="2024-09-01T00:00:00"/>
    <x v="133"/>
    <n v="374386"/>
    <n v="1305"/>
    <x v="658"/>
    <n v="6"/>
    <n v="5"/>
    <x v="0"/>
    <n v="2002"/>
    <m/>
    <n v="3"/>
    <x v="8"/>
    <s v="555-5223"/>
    <x v="0"/>
    <s v="Sauna"/>
  </r>
  <r>
    <n v="2302"/>
    <s v="Property 2302"/>
    <x v="3"/>
    <x v="1"/>
    <n v="332132"/>
    <d v="2024-10-09T00:00:00"/>
    <x v="240"/>
    <n v="380783"/>
    <n v="2252"/>
    <x v="659"/>
    <n v="5"/>
    <n v="2"/>
    <x v="3"/>
    <n v="2000"/>
    <n v="2"/>
    <n v="1"/>
    <x v="3"/>
    <s v="555-2638"/>
    <x v="0"/>
    <s v="Garden|Sauna|Pool|Barn"/>
  </r>
  <r>
    <n v="2303"/>
    <s v="Property 2303"/>
    <x v="2"/>
    <x v="2"/>
    <n v="541253"/>
    <d v="2024-02-13T00:00:00"/>
    <x v="188"/>
    <n v="559940"/>
    <n v="4148"/>
    <x v="660"/>
    <n v="3"/>
    <n v="4"/>
    <x v="2"/>
    <n v="2007"/>
    <n v="9"/>
    <n v="3"/>
    <x v="2"/>
    <s v="555-7688"/>
    <x v="0"/>
    <s v="Gym|Garden"/>
  </r>
  <r>
    <n v="2304"/>
    <s v="Property 2304"/>
    <x v="1"/>
    <x v="0"/>
    <n v="772024"/>
    <d v="2024-03-18T00:00:00"/>
    <x v="65"/>
    <n v="784472"/>
    <n v="1215"/>
    <x v="661"/>
    <n v="4"/>
    <n v="5"/>
    <x v="3"/>
    <n v="2006"/>
    <n v="10"/>
    <n v="1"/>
    <x v="1"/>
    <s v="555-4403"/>
    <x v="0"/>
    <s v="Pool|Sauna"/>
  </r>
  <r>
    <n v="2305"/>
    <s v="Property 2305"/>
    <x v="3"/>
    <x v="2"/>
    <n v="456507"/>
    <d v="2024-05-10T00:00:00"/>
    <x v="1"/>
    <m/>
    <n v="3574"/>
    <x v="1"/>
    <n v="2"/>
    <n v="2"/>
    <x v="0"/>
    <n v="2018"/>
    <m/>
    <n v="4"/>
    <x v="4"/>
    <s v="555-1682"/>
    <x v="1"/>
    <s v="Fireplace|Elevator|Barn"/>
  </r>
  <r>
    <n v="2306"/>
    <s v="Property 2306"/>
    <x v="2"/>
    <x v="1"/>
    <n v="896431"/>
    <d v="2024-10-22T00:00:00"/>
    <x v="1"/>
    <m/>
    <n v="4806"/>
    <x v="1"/>
    <n v="3"/>
    <n v="4"/>
    <x v="1"/>
    <n v="2006"/>
    <n v="7"/>
    <n v="1"/>
    <x v="6"/>
    <s v="555-1018"/>
    <x v="1"/>
    <s v="Garden|Elevator"/>
  </r>
  <r>
    <n v="2307"/>
    <s v="Property 2307"/>
    <x v="3"/>
    <x v="0"/>
    <n v="650314"/>
    <d v="2024-06-29T00:00:00"/>
    <x v="303"/>
    <n v="675286"/>
    <n v="4116"/>
    <x v="662"/>
    <n v="5"/>
    <n v="4"/>
    <x v="0"/>
    <n v="2002"/>
    <m/>
    <n v="2"/>
    <x v="9"/>
    <s v="555-7722"/>
    <x v="0"/>
    <s v="Garden|Sauna|Gym|Pool"/>
  </r>
  <r>
    <n v="2308"/>
    <s v="Property 2308"/>
    <x v="2"/>
    <x v="0"/>
    <n v="848438"/>
    <d v="2024-02-16T00:00:00"/>
    <x v="1"/>
    <m/>
    <n v="4256"/>
    <x v="1"/>
    <n v="3"/>
    <n v="4"/>
    <x v="0"/>
    <n v="2013"/>
    <m/>
    <n v="2"/>
    <x v="8"/>
    <s v="555-6151"/>
    <x v="1"/>
    <s v="Barn|Fireplace"/>
  </r>
  <r>
    <n v="2309"/>
    <s v="Property 2309"/>
    <x v="1"/>
    <x v="1"/>
    <n v="635381"/>
    <d v="2024-05-15T00:00:00"/>
    <x v="156"/>
    <n v="680959"/>
    <n v="4457"/>
    <x v="663"/>
    <n v="2"/>
    <n v="3"/>
    <x v="2"/>
    <n v="2019"/>
    <n v="8"/>
    <n v="2"/>
    <x v="4"/>
    <s v="555-8521"/>
    <x v="0"/>
    <s v="Gym"/>
  </r>
  <r>
    <n v="2310"/>
    <s v="Property 2310"/>
    <x v="1"/>
    <x v="0"/>
    <n v="533060"/>
    <d v="2024-04-12T00:00:00"/>
    <x v="304"/>
    <n v="571452"/>
    <n v="3672"/>
    <x v="664"/>
    <n v="3"/>
    <n v="2"/>
    <x v="0"/>
    <n v="2006"/>
    <m/>
    <n v="1"/>
    <x v="0"/>
    <s v="555-3390"/>
    <x v="0"/>
    <s v="Garden|Elevator"/>
  </r>
  <r>
    <n v="2311"/>
    <s v="Property 2311"/>
    <x v="3"/>
    <x v="0"/>
    <n v="785692"/>
    <d v="2024-01-28T00:00:00"/>
    <x v="241"/>
    <n v="832240"/>
    <n v="3408"/>
    <x v="665"/>
    <n v="5"/>
    <n v="5"/>
    <x v="1"/>
    <n v="2005"/>
    <n v="1"/>
    <n v="4"/>
    <x v="1"/>
    <s v="555-7579"/>
    <x v="0"/>
    <s v="Elevator"/>
  </r>
  <r>
    <n v="2312"/>
    <s v="Property 2312"/>
    <x v="1"/>
    <x v="2"/>
    <n v="357491"/>
    <d v="2024-11-29T00:00:00"/>
    <x v="8"/>
    <n v="389651"/>
    <n v="4019"/>
    <x v="666"/>
    <n v="4"/>
    <n v="3"/>
    <x v="3"/>
    <n v="2022"/>
    <n v="2"/>
    <n v="3"/>
    <x v="2"/>
    <s v="555-8799"/>
    <x v="0"/>
    <s v="Gym|Sauna"/>
  </r>
  <r>
    <n v="2313"/>
    <s v="Property 2313"/>
    <x v="3"/>
    <x v="0"/>
    <n v="480305"/>
    <d v="2024-12-14T00:00:00"/>
    <x v="284"/>
    <n v="517055"/>
    <n v="1386"/>
    <x v="667"/>
    <n v="4"/>
    <n v="5"/>
    <x v="1"/>
    <n v="2008"/>
    <n v="7"/>
    <n v="3"/>
    <x v="2"/>
    <s v="555-8927"/>
    <x v="0"/>
    <s v="Gym|Garage|Elevator"/>
  </r>
  <r>
    <n v="2314"/>
    <s v="Property 2314"/>
    <x v="3"/>
    <x v="2"/>
    <n v="840254"/>
    <d v="2024-09-16T00:00:00"/>
    <x v="1"/>
    <m/>
    <n v="4239"/>
    <x v="1"/>
    <n v="4"/>
    <n v="5"/>
    <x v="3"/>
    <n v="2004"/>
    <n v="4"/>
    <n v="1"/>
    <x v="5"/>
    <s v="555-6971"/>
    <x v="1"/>
    <s v="Garage"/>
  </r>
  <r>
    <n v="2315"/>
    <s v="Property 2315"/>
    <x v="4"/>
    <x v="1"/>
    <n v="793587"/>
    <d v="2024-07-05T00:00:00"/>
    <x v="1"/>
    <m/>
    <n v="3216"/>
    <x v="1"/>
    <n v="5"/>
    <n v="5"/>
    <x v="1"/>
    <n v="2005"/>
    <n v="6"/>
    <n v="2"/>
    <x v="5"/>
    <s v="555-6576"/>
    <x v="1"/>
    <s v="Elevator|Gym|Garden|Garage"/>
  </r>
  <r>
    <n v="2316"/>
    <s v="Property 2316"/>
    <x v="0"/>
    <x v="0"/>
    <n v="942746"/>
    <d v="2024-01-30T00:00:00"/>
    <x v="81"/>
    <n v="973547"/>
    <n v="1430"/>
    <x v="668"/>
    <n v="3"/>
    <n v="3"/>
    <x v="0"/>
    <n v="2009"/>
    <m/>
    <n v="3"/>
    <x v="6"/>
    <s v="555-9891"/>
    <x v="0"/>
    <s v="Pool"/>
  </r>
  <r>
    <n v="2317"/>
    <s v="Property 2317"/>
    <x v="0"/>
    <x v="0"/>
    <n v="324073"/>
    <d v="2024-03-10T00:00:00"/>
    <x v="1"/>
    <m/>
    <n v="3842"/>
    <x v="1"/>
    <n v="6"/>
    <n v="2"/>
    <x v="1"/>
    <n v="2006"/>
    <n v="5"/>
    <n v="1"/>
    <x v="8"/>
    <s v="555-4344"/>
    <x v="1"/>
    <s v="Fireplace|Gym|Garage|Sauna"/>
  </r>
  <r>
    <n v="2318"/>
    <s v="Property 2318"/>
    <x v="0"/>
    <x v="1"/>
    <n v="763633"/>
    <d v="2024-07-28T00:00:00"/>
    <x v="114"/>
    <n v="788509"/>
    <n v="1765"/>
    <x v="669"/>
    <n v="4"/>
    <n v="4"/>
    <x v="2"/>
    <n v="2017"/>
    <n v="4"/>
    <n v="3"/>
    <x v="9"/>
    <s v="555-3004"/>
    <x v="0"/>
    <s v="Gym|Garage|Sauna|Elevator"/>
  </r>
  <r>
    <n v="2319"/>
    <s v="Property 2319"/>
    <x v="4"/>
    <x v="1"/>
    <n v="917815"/>
    <d v="2024-07-24T00:00:00"/>
    <x v="270"/>
    <n v="965346"/>
    <n v="2253"/>
    <x v="670"/>
    <n v="5"/>
    <n v="4"/>
    <x v="3"/>
    <n v="2011"/>
    <n v="2"/>
    <n v="2"/>
    <x v="5"/>
    <s v="555-8327"/>
    <x v="0"/>
    <s v="Garden"/>
  </r>
  <r>
    <n v="2320"/>
    <s v="Property 2320"/>
    <x v="1"/>
    <x v="2"/>
    <n v="527290"/>
    <d v="2024-01-16T00:00:00"/>
    <x v="1"/>
    <m/>
    <n v="4032"/>
    <x v="1"/>
    <n v="3"/>
    <n v="2"/>
    <x v="2"/>
    <n v="2017"/>
    <n v="10"/>
    <n v="3"/>
    <x v="1"/>
    <s v="555-4191"/>
    <x v="1"/>
    <s v="Gym"/>
  </r>
  <r>
    <n v="2321"/>
    <s v="Property 2321"/>
    <x v="2"/>
    <x v="0"/>
    <n v="462146"/>
    <d v="2024-08-14T00:00:00"/>
    <x v="1"/>
    <m/>
    <n v="4137"/>
    <x v="1"/>
    <n v="2"/>
    <n v="4"/>
    <x v="3"/>
    <n v="2001"/>
    <n v="4"/>
    <n v="4"/>
    <x v="9"/>
    <s v="555-9890"/>
    <x v="1"/>
    <s v="Gym"/>
  </r>
  <r>
    <n v="2322"/>
    <s v="Property 2322"/>
    <x v="0"/>
    <x v="1"/>
    <n v="731130"/>
    <d v="2024-04-24T00:00:00"/>
    <x v="61"/>
    <n v="758885"/>
    <n v="4790"/>
    <x v="671"/>
    <n v="4"/>
    <n v="3"/>
    <x v="0"/>
    <n v="2006"/>
    <m/>
    <n v="4"/>
    <x v="6"/>
    <s v="555-6889"/>
    <x v="0"/>
    <s v="Garden|Pool"/>
  </r>
  <r>
    <n v="2323"/>
    <s v="Property 2323"/>
    <x v="0"/>
    <x v="0"/>
    <n v="372405"/>
    <d v="2024-06-09T00:00:00"/>
    <x v="1"/>
    <m/>
    <n v="3933"/>
    <x v="1"/>
    <n v="2"/>
    <n v="2"/>
    <x v="2"/>
    <n v="2017"/>
    <n v="6"/>
    <n v="2"/>
    <x v="8"/>
    <s v="555-1461"/>
    <x v="1"/>
    <s v="Sauna"/>
  </r>
  <r>
    <n v="2324"/>
    <s v="Property 2324"/>
    <x v="1"/>
    <x v="1"/>
    <n v="937606"/>
    <d v="2024-08-28T00:00:00"/>
    <x v="1"/>
    <m/>
    <n v="3698"/>
    <x v="1"/>
    <n v="6"/>
    <n v="4"/>
    <x v="3"/>
    <n v="2011"/>
    <n v="3"/>
    <n v="3"/>
    <x v="6"/>
    <s v="555-9343"/>
    <x v="1"/>
    <s v="Pool|Barn"/>
  </r>
  <r>
    <n v="2325"/>
    <s v="Property 2325"/>
    <x v="0"/>
    <x v="1"/>
    <n v="912554"/>
    <d v="2024-01-20T00:00:00"/>
    <x v="1"/>
    <m/>
    <n v="4503"/>
    <x v="1"/>
    <n v="4"/>
    <n v="4"/>
    <x v="3"/>
    <n v="2020"/>
    <n v="4"/>
    <n v="4"/>
    <x v="8"/>
    <s v="555-4544"/>
    <x v="1"/>
    <s v="Garden|Elevator|Pool|Fireplace"/>
  </r>
  <r>
    <n v="2326"/>
    <s v="Property 2326"/>
    <x v="4"/>
    <x v="0"/>
    <n v="973801"/>
    <d v="2024-09-30T00:00:00"/>
    <x v="18"/>
    <n v="1011468"/>
    <n v="4777"/>
    <x v="672"/>
    <n v="3"/>
    <n v="3"/>
    <x v="3"/>
    <n v="2006"/>
    <n v="10"/>
    <n v="1"/>
    <x v="1"/>
    <s v="555-1832"/>
    <x v="0"/>
    <s v="Garage|Fireplace|Barn"/>
  </r>
  <r>
    <n v="2327"/>
    <s v="Property 2327"/>
    <x v="4"/>
    <x v="0"/>
    <n v="931212"/>
    <d v="2024-05-27T00:00:00"/>
    <x v="1"/>
    <m/>
    <n v="2517"/>
    <x v="1"/>
    <n v="2"/>
    <n v="5"/>
    <x v="0"/>
    <n v="2006"/>
    <m/>
    <n v="3"/>
    <x v="8"/>
    <s v="555-3791"/>
    <x v="1"/>
    <s v="Elevator|Gym"/>
  </r>
  <r>
    <n v="2328"/>
    <s v="Property 2328"/>
    <x v="0"/>
    <x v="1"/>
    <n v="548389"/>
    <d v="2024-12-01T00:00:00"/>
    <x v="1"/>
    <m/>
    <n v="1184"/>
    <x v="1"/>
    <n v="6"/>
    <n v="4"/>
    <x v="0"/>
    <n v="2011"/>
    <m/>
    <n v="4"/>
    <x v="7"/>
    <s v="555-9138"/>
    <x v="1"/>
    <s v="Pool|Gym"/>
  </r>
  <r>
    <n v="2329"/>
    <s v="Property 2329"/>
    <x v="0"/>
    <x v="0"/>
    <n v="658159"/>
    <d v="2024-03-29T00:00:00"/>
    <x v="1"/>
    <m/>
    <n v="3556"/>
    <x v="1"/>
    <n v="2"/>
    <n v="3"/>
    <x v="2"/>
    <n v="2005"/>
    <n v="4"/>
    <n v="1"/>
    <x v="1"/>
    <s v="555-6840"/>
    <x v="1"/>
    <s v="Sauna|Elevator|Gym"/>
  </r>
  <r>
    <n v="2330"/>
    <s v="Property 2330"/>
    <x v="0"/>
    <x v="1"/>
    <n v="569139"/>
    <d v="2024-02-25T00:00:00"/>
    <x v="1"/>
    <m/>
    <n v="2904"/>
    <x v="1"/>
    <n v="6"/>
    <n v="3"/>
    <x v="2"/>
    <n v="2016"/>
    <n v="8"/>
    <n v="3"/>
    <x v="4"/>
    <s v="555-3774"/>
    <x v="1"/>
    <s v="Elevator|Garden|Fireplace"/>
  </r>
  <r>
    <n v="2331"/>
    <s v="Property 2331"/>
    <x v="3"/>
    <x v="2"/>
    <n v="670065"/>
    <d v="2024-06-27T00:00:00"/>
    <x v="1"/>
    <m/>
    <n v="1498"/>
    <x v="1"/>
    <n v="6"/>
    <n v="2"/>
    <x v="0"/>
    <n v="2002"/>
    <m/>
    <n v="2"/>
    <x v="9"/>
    <s v="555-9073"/>
    <x v="1"/>
    <s v="Garage"/>
  </r>
  <r>
    <n v="2332"/>
    <s v="Property 2332"/>
    <x v="0"/>
    <x v="0"/>
    <n v="923078"/>
    <d v="2024-01-24T00:00:00"/>
    <x v="1"/>
    <m/>
    <n v="4772"/>
    <x v="1"/>
    <n v="3"/>
    <n v="3"/>
    <x v="1"/>
    <n v="2015"/>
    <n v="10"/>
    <n v="1"/>
    <x v="2"/>
    <s v="555-9344"/>
    <x v="1"/>
    <s v="Pool|Barn|Garage|Garden"/>
  </r>
  <r>
    <n v="2333"/>
    <s v="Property 2333"/>
    <x v="2"/>
    <x v="0"/>
    <n v="473406"/>
    <d v="2023-12-19T00:00:00"/>
    <x v="258"/>
    <n v="498205"/>
    <n v="4663"/>
    <x v="673"/>
    <n v="5"/>
    <n v="3"/>
    <x v="2"/>
    <n v="2008"/>
    <n v="5"/>
    <n v="2"/>
    <x v="0"/>
    <s v="555-4036"/>
    <x v="0"/>
    <s v="Sauna|Garden|Gym|Garage"/>
  </r>
  <r>
    <n v="2334"/>
    <s v="Property 2334"/>
    <x v="0"/>
    <x v="0"/>
    <n v="783493"/>
    <d v="2024-11-28T00:00:00"/>
    <x v="1"/>
    <m/>
    <n v="1202"/>
    <x v="1"/>
    <n v="3"/>
    <n v="3"/>
    <x v="0"/>
    <n v="2007"/>
    <m/>
    <n v="2"/>
    <x v="6"/>
    <s v="555-2003"/>
    <x v="1"/>
    <s v="Garage"/>
  </r>
  <r>
    <n v="2335"/>
    <s v="Property 2335"/>
    <x v="3"/>
    <x v="0"/>
    <n v="957904"/>
    <d v="2024-10-02T00:00:00"/>
    <x v="305"/>
    <n v="1005036"/>
    <n v="3739"/>
    <x v="674"/>
    <n v="5"/>
    <n v="3"/>
    <x v="0"/>
    <n v="2017"/>
    <m/>
    <n v="1"/>
    <x v="8"/>
    <s v="555-9156"/>
    <x v="0"/>
    <s v="Pool|Sauna"/>
  </r>
  <r>
    <n v="2336"/>
    <s v="Property 2336"/>
    <x v="1"/>
    <x v="1"/>
    <n v="687327"/>
    <d v="2024-05-20T00:00:00"/>
    <x v="116"/>
    <n v="715634"/>
    <n v="2036"/>
    <x v="675"/>
    <n v="2"/>
    <n v="5"/>
    <x v="2"/>
    <n v="2008"/>
    <n v="6"/>
    <n v="2"/>
    <x v="5"/>
    <s v="555-7060"/>
    <x v="0"/>
    <s v="Barn|Garage"/>
  </r>
  <r>
    <n v="2337"/>
    <s v="Property 2337"/>
    <x v="0"/>
    <x v="0"/>
    <n v="331299"/>
    <d v="2024-07-07T00:00:00"/>
    <x v="1"/>
    <m/>
    <n v="4723"/>
    <x v="1"/>
    <n v="6"/>
    <n v="3"/>
    <x v="3"/>
    <n v="2015"/>
    <n v="9"/>
    <n v="1"/>
    <x v="8"/>
    <s v="555-8626"/>
    <x v="1"/>
    <s v="Elevator|Pool|Garden|Gym"/>
  </r>
  <r>
    <n v="2338"/>
    <s v="Property 2338"/>
    <x v="2"/>
    <x v="0"/>
    <n v="457352"/>
    <d v="2024-04-09T00:00:00"/>
    <x v="1"/>
    <m/>
    <n v="4484"/>
    <x v="1"/>
    <n v="3"/>
    <n v="4"/>
    <x v="0"/>
    <n v="2002"/>
    <m/>
    <n v="1"/>
    <x v="3"/>
    <s v="555-9772"/>
    <x v="1"/>
    <s v="Sauna|Fireplace|Barn|Garage"/>
  </r>
  <r>
    <n v="2339"/>
    <s v="Property 2339"/>
    <x v="0"/>
    <x v="1"/>
    <n v="607593"/>
    <d v="2024-04-19T00:00:00"/>
    <x v="100"/>
    <n v="632591"/>
    <n v="2977"/>
    <x v="676"/>
    <n v="6"/>
    <n v="3"/>
    <x v="3"/>
    <n v="2013"/>
    <n v="7"/>
    <n v="3"/>
    <x v="4"/>
    <s v="555-9759"/>
    <x v="0"/>
    <s v="Gym|Pool|Fireplace|Garden"/>
  </r>
  <r>
    <n v="2340"/>
    <s v="Property 2340"/>
    <x v="4"/>
    <x v="2"/>
    <n v="767012"/>
    <d v="2024-06-26T00:00:00"/>
    <x v="36"/>
    <n v="810111"/>
    <n v="3824"/>
    <x v="677"/>
    <n v="4"/>
    <n v="5"/>
    <x v="2"/>
    <n v="2021"/>
    <n v="6"/>
    <n v="1"/>
    <x v="0"/>
    <s v="555-7522"/>
    <x v="0"/>
    <s v="Garden|Fireplace|Pool"/>
  </r>
  <r>
    <n v="2341"/>
    <s v="Property 2341"/>
    <x v="1"/>
    <x v="1"/>
    <n v="815109"/>
    <d v="2024-09-22T00:00:00"/>
    <x v="1"/>
    <m/>
    <n v="2232"/>
    <x v="1"/>
    <n v="2"/>
    <n v="3"/>
    <x v="2"/>
    <n v="2018"/>
    <n v="4"/>
    <n v="1"/>
    <x v="6"/>
    <s v="555-1232"/>
    <x v="1"/>
    <s v="Gym|Barn"/>
  </r>
  <r>
    <n v="2342"/>
    <s v="Property 2342"/>
    <x v="0"/>
    <x v="0"/>
    <n v="902974"/>
    <d v="2024-07-22T00:00:00"/>
    <x v="1"/>
    <m/>
    <n v="2755"/>
    <x v="1"/>
    <n v="2"/>
    <n v="4"/>
    <x v="3"/>
    <n v="2008"/>
    <n v="7"/>
    <n v="4"/>
    <x v="4"/>
    <s v="555-1332"/>
    <x v="1"/>
    <s v="Sauna|Gym|Fireplace"/>
  </r>
  <r>
    <n v="2343"/>
    <s v="Property 2343"/>
    <x v="1"/>
    <x v="2"/>
    <n v="582483"/>
    <d v="2024-09-19T00:00:00"/>
    <x v="193"/>
    <n v="603263"/>
    <n v="2101"/>
    <x v="678"/>
    <n v="4"/>
    <n v="5"/>
    <x v="1"/>
    <n v="2009"/>
    <n v="8"/>
    <n v="1"/>
    <x v="3"/>
    <s v="555-4631"/>
    <x v="0"/>
    <s v="Fireplace|Pool|Garage"/>
  </r>
  <r>
    <n v="2344"/>
    <s v="Property 2344"/>
    <x v="2"/>
    <x v="2"/>
    <n v="341165"/>
    <d v="2024-08-07T00:00:00"/>
    <x v="1"/>
    <m/>
    <n v="4110"/>
    <x v="1"/>
    <n v="3"/>
    <n v="4"/>
    <x v="2"/>
    <n v="2022"/>
    <n v="2"/>
    <n v="3"/>
    <x v="6"/>
    <s v="555-6106"/>
    <x v="1"/>
    <s v="Elevator"/>
  </r>
  <r>
    <n v="2345"/>
    <s v="Property 2345"/>
    <x v="2"/>
    <x v="0"/>
    <n v="686673"/>
    <d v="2024-04-12T00:00:00"/>
    <x v="306"/>
    <n v="708684"/>
    <n v="1671"/>
    <x v="679"/>
    <n v="2"/>
    <n v="4"/>
    <x v="0"/>
    <n v="2014"/>
    <m/>
    <n v="2"/>
    <x v="7"/>
    <s v="555-1688"/>
    <x v="0"/>
    <s v="Pool|Sauna"/>
  </r>
  <r>
    <n v="2346"/>
    <s v="Property 2346"/>
    <x v="2"/>
    <x v="2"/>
    <n v="880401"/>
    <d v="2024-03-13T00:00:00"/>
    <x v="191"/>
    <n v="901636"/>
    <n v="1127"/>
    <x v="680"/>
    <n v="4"/>
    <n v="2"/>
    <x v="1"/>
    <n v="2011"/>
    <n v="1"/>
    <n v="4"/>
    <x v="9"/>
    <s v="555-4971"/>
    <x v="0"/>
    <s v="Garage|Barn"/>
  </r>
  <r>
    <n v="2347"/>
    <s v="Property 2347"/>
    <x v="2"/>
    <x v="0"/>
    <n v="756778"/>
    <d v="2024-08-04T00:00:00"/>
    <x v="266"/>
    <n v="789064"/>
    <n v="3140"/>
    <x v="681"/>
    <n v="4"/>
    <n v="3"/>
    <x v="2"/>
    <n v="2002"/>
    <n v="4"/>
    <n v="3"/>
    <x v="8"/>
    <s v="555-6298"/>
    <x v="0"/>
    <s v="Gym"/>
  </r>
  <r>
    <n v="2348"/>
    <s v="Property 2348"/>
    <x v="1"/>
    <x v="2"/>
    <n v="911297"/>
    <d v="2024-03-21T00:00:00"/>
    <x v="200"/>
    <n v="947599"/>
    <n v="3349"/>
    <x v="682"/>
    <n v="6"/>
    <n v="2"/>
    <x v="1"/>
    <n v="2015"/>
    <n v="1"/>
    <n v="3"/>
    <x v="6"/>
    <s v="555-6813"/>
    <x v="0"/>
    <s v="Garage"/>
  </r>
  <r>
    <n v="2349"/>
    <s v="Property 2349"/>
    <x v="1"/>
    <x v="2"/>
    <n v="865040"/>
    <d v="2024-03-23T00:00:00"/>
    <x v="241"/>
    <n v="898352"/>
    <n v="1976"/>
    <x v="683"/>
    <n v="4"/>
    <n v="2"/>
    <x v="0"/>
    <n v="2018"/>
    <m/>
    <n v="1"/>
    <x v="7"/>
    <s v="555-6840"/>
    <x v="0"/>
    <s v="Barn|Sauna|Elevator|Garage"/>
  </r>
  <r>
    <n v="2350"/>
    <s v="Property 2350"/>
    <x v="3"/>
    <x v="2"/>
    <n v="335957"/>
    <d v="2024-11-20T00:00:00"/>
    <x v="1"/>
    <m/>
    <n v="3518"/>
    <x v="1"/>
    <n v="2"/>
    <n v="2"/>
    <x v="3"/>
    <n v="2016"/>
    <n v="4"/>
    <n v="1"/>
    <x v="4"/>
    <s v="555-2358"/>
    <x v="1"/>
    <s v="Sauna|Gym|Fireplace|Barn"/>
  </r>
  <r>
    <n v="2351"/>
    <s v="Property 2351"/>
    <x v="2"/>
    <x v="2"/>
    <n v="989740"/>
    <d v="2024-07-25T00:00:00"/>
    <x v="89"/>
    <n v="1003355"/>
    <n v="1045"/>
    <x v="684"/>
    <n v="2"/>
    <n v="2"/>
    <x v="0"/>
    <n v="2019"/>
    <m/>
    <n v="3"/>
    <x v="3"/>
    <s v="555-6590"/>
    <x v="0"/>
    <s v="Fireplace"/>
  </r>
  <r>
    <n v="2352"/>
    <s v="Property 2352"/>
    <x v="0"/>
    <x v="0"/>
    <n v="585190"/>
    <d v="2024-06-26T00:00:00"/>
    <x v="1"/>
    <m/>
    <n v="3989"/>
    <x v="1"/>
    <n v="2"/>
    <n v="3"/>
    <x v="0"/>
    <n v="2010"/>
    <m/>
    <n v="2"/>
    <x v="5"/>
    <s v="555-6356"/>
    <x v="1"/>
    <s v="Garden|Fireplace"/>
  </r>
  <r>
    <n v="2353"/>
    <s v="Property 2353"/>
    <x v="1"/>
    <x v="2"/>
    <n v="458725"/>
    <d v="2024-11-20T00:00:00"/>
    <x v="8"/>
    <n v="492244"/>
    <n v="2536"/>
    <x v="685"/>
    <n v="3"/>
    <n v="5"/>
    <x v="1"/>
    <n v="2000"/>
    <n v="3"/>
    <n v="3"/>
    <x v="7"/>
    <s v="555-7459"/>
    <x v="0"/>
    <s v="Elevator|Sauna|Pool|Fireplace"/>
  </r>
  <r>
    <n v="2354"/>
    <s v="Property 2354"/>
    <x v="3"/>
    <x v="0"/>
    <n v="436949"/>
    <d v="2024-05-17T00:00:00"/>
    <x v="117"/>
    <n v="470946"/>
    <n v="2972"/>
    <x v="686"/>
    <n v="3"/>
    <n v="2"/>
    <x v="3"/>
    <n v="2008"/>
    <n v="4"/>
    <n v="4"/>
    <x v="4"/>
    <s v="555-9766"/>
    <x v="0"/>
    <s v="Barn|Fireplace|Garage"/>
  </r>
  <r>
    <n v="2355"/>
    <s v="Property 2355"/>
    <x v="4"/>
    <x v="1"/>
    <n v="732265"/>
    <d v="2024-01-07T00:00:00"/>
    <x v="30"/>
    <n v="750816"/>
    <n v="2571"/>
    <x v="687"/>
    <n v="2"/>
    <n v="5"/>
    <x v="3"/>
    <n v="2010"/>
    <n v="5"/>
    <n v="3"/>
    <x v="5"/>
    <s v="555-9914"/>
    <x v="0"/>
    <s v="Sauna|Pool"/>
  </r>
  <r>
    <n v="2356"/>
    <s v="Property 2356"/>
    <x v="2"/>
    <x v="1"/>
    <n v="893537"/>
    <d v="2024-01-20T00:00:00"/>
    <x v="297"/>
    <n v="918672"/>
    <n v="2843"/>
    <x v="688"/>
    <n v="6"/>
    <n v="4"/>
    <x v="0"/>
    <n v="2015"/>
    <m/>
    <n v="1"/>
    <x v="1"/>
    <s v="555-6422"/>
    <x v="0"/>
    <s v="Elevator|Gym|Sauna|Garden"/>
  </r>
  <r>
    <n v="2357"/>
    <s v="Property 2357"/>
    <x v="0"/>
    <x v="2"/>
    <n v="702655"/>
    <d v="2023-12-24T00:00:00"/>
    <x v="1"/>
    <m/>
    <n v="2447"/>
    <x v="1"/>
    <n v="6"/>
    <n v="5"/>
    <x v="0"/>
    <n v="2006"/>
    <m/>
    <n v="1"/>
    <x v="9"/>
    <s v="555-9077"/>
    <x v="1"/>
    <s v="Barn"/>
  </r>
  <r>
    <n v="2358"/>
    <s v="Property 2358"/>
    <x v="3"/>
    <x v="0"/>
    <n v="889891"/>
    <d v="2024-03-11T00:00:00"/>
    <x v="1"/>
    <m/>
    <n v="4110"/>
    <x v="1"/>
    <n v="2"/>
    <n v="4"/>
    <x v="2"/>
    <n v="2004"/>
    <n v="1"/>
    <n v="3"/>
    <x v="7"/>
    <s v="555-1320"/>
    <x v="1"/>
    <s v="Sauna"/>
  </r>
  <r>
    <n v="2359"/>
    <s v="Property 2359"/>
    <x v="4"/>
    <x v="1"/>
    <n v="648544"/>
    <d v="2024-10-08T00:00:00"/>
    <x v="262"/>
    <n v="663082"/>
    <n v="1288"/>
    <x v="689"/>
    <n v="6"/>
    <n v="2"/>
    <x v="2"/>
    <n v="2000"/>
    <n v="9"/>
    <n v="3"/>
    <x v="9"/>
    <s v="555-8843"/>
    <x v="0"/>
    <s v="Elevator|Sauna|Garden"/>
  </r>
  <r>
    <n v="2360"/>
    <s v="Property 2360"/>
    <x v="4"/>
    <x v="0"/>
    <n v="460788"/>
    <d v="2024-06-01T00:00:00"/>
    <x v="1"/>
    <m/>
    <n v="3377"/>
    <x v="1"/>
    <n v="5"/>
    <n v="4"/>
    <x v="0"/>
    <n v="2009"/>
    <m/>
    <n v="1"/>
    <x v="9"/>
    <s v="555-7198"/>
    <x v="1"/>
    <s v="Fireplace|Pool|Barn|Sauna"/>
  </r>
  <r>
    <n v="2361"/>
    <s v="Property 2361"/>
    <x v="2"/>
    <x v="2"/>
    <n v="367089"/>
    <d v="2024-08-09T00:00:00"/>
    <x v="1"/>
    <m/>
    <n v="4783"/>
    <x v="1"/>
    <n v="6"/>
    <n v="4"/>
    <x v="3"/>
    <n v="2017"/>
    <n v="10"/>
    <n v="3"/>
    <x v="5"/>
    <s v="555-9725"/>
    <x v="1"/>
    <s v="Gym|Sauna|Fireplace"/>
  </r>
  <r>
    <n v="2362"/>
    <s v="Property 2362"/>
    <x v="4"/>
    <x v="0"/>
    <n v="302912"/>
    <d v="2024-02-24T00:00:00"/>
    <x v="1"/>
    <m/>
    <n v="4340"/>
    <x v="1"/>
    <n v="4"/>
    <n v="3"/>
    <x v="0"/>
    <n v="2000"/>
    <m/>
    <n v="4"/>
    <x v="1"/>
    <s v="555-9401"/>
    <x v="1"/>
    <s v="Barn|Gym"/>
  </r>
  <r>
    <n v="2363"/>
    <s v="Property 2363"/>
    <x v="1"/>
    <x v="1"/>
    <n v="345628"/>
    <d v="2024-05-12T00:00:00"/>
    <x v="203"/>
    <n v="381235"/>
    <n v="1939"/>
    <x v="690"/>
    <n v="6"/>
    <n v="3"/>
    <x v="2"/>
    <n v="2012"/>
    <n v="8"/>
    <n v="2"/>
    <x v="3"/>
    <s v="555-3215"/>
    <x v="0"/>
    <s v="Fireplace|Barn|Sauna"/>
  </r>
  <r>
    <n v="2364"/>
    <s v="Property 2364"/>
    <x v="1"/>
    <x v="2"/>
    <n v="337384"/>
    <d v="2024-06-11T00:00:00"/>
    <x v="307"/>
    <n v="360427"/>
    <n v="3872"/>
    <x v="691"/>
    <n v="5"/>
    <n v="4"/>
    <x v="1"/>
    <n v="2001"/>
    <n v="3"/>
    <n v="4"/>
    <x v="3"/>
    <s v="555-1482"/>
    <x v="0"/>
    <s v="Fireplace"/>
  </r>
  <r>
    <n v="2365"/>
    <s v="Property 2365"/>
    <x v="2"/>
    <x v="1"/>
    <n v="407952"/>
    <d v="2024-10-31T00:00:00"/>
    <x v="1"/>
    <m/>
    <n v="1403"/>
    <x v="1"/>
    <n v="4"/>
    <n v="2"/>
    <x v="2"/>
    <n v="2006"/>
    <n v="10"/>
    <n v="2"/>
    <x v="7"/>
    <s v="555-2917"/>
    <x v="1"/>
    <s v="Garage"/>
  </r>
  <r>
    <n v="2366"/>
    <s v="Property 2366"/>
    <x v="0"/>
    <x v="1"/>
    <n v="743684"/>
    <d v="2024-01-25T00:00:00"/>
    <x v="1"/>
    <m/>
    <n v="4492"/>
    <x v="1"/>
    <n v="4"/>
    <n v="4"/>
    <x v="0"/>
    <n v="2020"/>
    <m/>
    <n v="3"/>
    <x v="7"/>
    <s v="555-8143"/>
    <x v="1"/>
    <s v="Pool|Garden"/>
  </r>
  <r>
    <n v="2367"/>
    <s v="Property 2367"/>
    <x v="2"/>
    <x v="2"/>
    <n v="747202"/>
    <d v="2024-07-14T00:00:00"/>
    <x v="1"/>
    <m/>
    <n v="2650"/>
    <x v="1"/>
    <n v="4"/>
    <n v="2"/>
    <x v="1"/>
    <n v="2013"/>
    <n v="1"/>
    <n v="4"/>
    <x v="0"/>
    <s v="555-4022"/>
    <x v="1"/>
    <s v="Sauna|Garage|Gym"/>
  </r>
  <r>
    <n v="2368"/>
    <s v="Property 2368"/>
    <x v="4"/>
    <x v="2"/>
    <n v="958658"/>
    <d v="2024-10-04T00:00:00"/>
    <x v="1"/>
    <m/>
    <n v="4768"/>
    <x v="1"/>
    <n v="2"/>
    <n v="3"/>
    <x v="1"/>
    <n v="2003"/>
    <n v="2"/>
    <n v="3"/>
    <x v="2"/>
    <s v="555-8208"/>
    <x v="1"/>
    <s v="Garden"/>
  </r>
  <r>
    <n v="2369"/>
    <s v="Property 2369"/>
    <x v="4"/>
    <x v="0"/>
    <n v="888187"/>
    <d v="2024-02-26T00:00:00"/>
    <x v="243"/>
    <n v="928475"/>
    <n v="5000"/>
    <x v="692"/>
    <n v="4"/>
    <n v="2"/>
    <x v="3"/>
    <n v="2018"/>
    <n v="7"/>
    <n v="3"/>
    <x v="0"/>
    <s v="555-1477"/>
    <x v="0"/>
    <s v="Sauna|Gym|Garden|Garage"/>
  </r>
  <r>
    <n v="2370"/>
    <s v="Property 2370"/>
    <x v="2"/>
    <x v="2"/>
    <n v="972526"/>
    <d v="2024-11-06T00:00:00"/>
    <x v="262"/>
    <n v="1020710"/>
    <n v="1105"/>
    <x v="693"/>
    <n v="2"/>
    <n v="3"/>
    <x v="1"/>
    <n v="2010"/>
    <n v="9"/>
    <n v="4"/>
    <x v="7"/>
    <s v="555-8009"/>
    <x v="0"/>
    <s v="Elevator|Sauna|Garden|Pool"/>
  </r>
  <r>
    <n v="2371"/>
    <s v="Property 2371"/>
    <x v="3"/>
    <x v="1"/>
    <n v="757019"/>
    <d v="2024-02-28T00:00:00"/>
    <x v="1"/>
    <m/>
    <n v="3329"/>
    <x v="1"/>
    <n v="2"/>
    <n v="5"/>
    <x v="1"/>
    <n v="2021"/>
    <n v="5"/>
    <n v="2"/>
    <x v="1"/>
    <s v="555-7075"/>
    <x v="1"/>
    <s v="Garage"/>
  </r>
  <r>
    <n v="2372"/>
    <s v="Property 2372"/>
    <x v="3"/>
    <x v="1"/>
    <n v="542410"/>
    <d v="2024-04-12T00:00:00"/>
    <x v="230"/>
    <n v="578464"/>
    <n v="1342"/>
    <x v="694"/>
    <n v="6"/>
    <n v="2"/>
    <x v="3"/>
    <n v="2000"/>
    <n v="3"/>
    <n v="3"/>
    <x v="1"/>
    <s v="555-3069"/>
    <x v="0"/>
    <s v="Garage"/>
  </r>
  <r>
    <n v="2373"/>
    <s v="Property 2373"/>
    <x v="0"/>
    <x v="0"/>
    <n v="873191"/>
    <d v="2024-06-19T00:00:00"/>
    <x v="1"/>
    <m/>
    <n v="4770"/>
    <x v="1"/>
    <n v="5"/>
    <n v="5"/>
    <x v="1"/>
    <n v="2006"/>
    <n v="10"/>
    <n v="2"/>
    <x v="3"/>
    <s v="555-8673"/>
    <x v="1"/>
    <s v="Garage|Elevator|Gym"/>
  </r>
  <r>
    <n v="2374"/>
    <s v="Property 2374"/>
    <x v="3"/>
    <x v="1"/>
    <n v="924717"/>
    <d v="2024-05-18T00:00:00"/>
    <x v="2"/>
    <n v="965545"/>
    <n v="4405"/>
    <x v="695"/>
    <n v="4"/>
    <n v="4"/>
    <x v="0"/>
    <n v="2016"/>
    <m/>
    <n v="2"/>
    <x v="5"/>
    <s v="555-7539"/>
    <x v="0"/>
    <s v="Garden"/>
  </r>
  <r>
    <n v="2375"/>
    <s v="Property 2375"/>
    <x v="3"/>
    <x v="2"/>
    <n v="717415"/>
    <d v="2024-05-06T00:00:00"/>
    <x v="1"/>
    <m/>
    <n v="1253"/>
    <x v="1"/>
    <n v="4"/>
    <n v="5"/>
    <x v="1"/>
    <n v="2009"/>
    <n v="2"/>
    <n v="3"/>
    <x v="7"/>
    <s v="555-3869"/>
    <x v="1"/>
    <s v="Pool"/>
  </r>
  <r>
    <n v="2376"/>
    <s v="Property 2376"/>
    <x v="1"/>
    <x v="1"/>
    <n v="650668"/>
    <d v="2024-08-06T00:00:00"/>
    <x v="199"/>
    <n v="686095"/>
    <n v="2255"/>
    <x v="696"/>
    <n v="3"/>
    <n v="2"/>
    <x v="2"/>
    <n v="2008"/>
    <n v="9"/>
    <n v="3"/>
    <x v="8"/>
    <s v="555-8697"/>
    <x v="0"/>
    <s v="Garden|Pool|Garage"/>
  </r>
  <r>
    <n v="2377"/>
    <s v="Property 2377"/>
    <x v="3"/>
    <x v="1"/>
    <n v="891686"/>
    <d v="2024-07-30T00:00:00"/>
    <x v="1"/>
    <m/>
    <n v="1070"/>
    <x v="1"/>
    <n v="2"/>
    <n v="2"/>
    <x v="3"/>
    <n v="2010"/>
    <n v="7"/>
    <n v="3"/>
    <x v="5"/>
    <s v="555-6271"/>
    <x v="1"/>
    <s v="Fireplace|Garden"/>
  </r>
  <r>
    <n v="2378"/>
    <s v="Property 2378"/>
    <x v="1"/>
    <x v="1"/>
    <n v="541150"/>
    <d v="2024-10-11T00:00:00"/>
    <x v="130"/>
    <n v="584798"/>
    <n v="4159"/>
    <x v="697"/>
    <n v="3"/>
    <n v="3"/>
    <x v="2"/>
    <n v="2013"/>
    <n v="7"/>
    <n v="3"/>
    <x v="9"/>
    <s v="555-3175"/>
    <x v="0"/>
    <s v="Elevator|Pool|Gym|Sauna"/>
  </r>
  <r>
    <n v="2379"/>
    <s v="Property 2379"/>
    <x v="3"/>
    <x v="1"/>
    <n v="483711"/>
    <d v="2024-01-15T00:00:00"/>
    <x v="169"/>
    <n v="522336"/>
    <n v="3179"/>
    <x v="698"/>
    <n v="4"/>
    <n v="3"/>
    <x v="3"/>
    <n v="2017"/>
    <n v="7"/>
    <n v="1"/>
    <x v="1"/>
    <s v="555-8868"/>
    <x v="0"/>
    <s v="Gym"/>
  </r>
  <r>
    <n v="2380"/>
    <s v="Property 2380"/>
    <x v="0"/>
    <x v="0"/>
    <n v="707167"/>
    <d v="2024-10-21T00:00:00"/>
    <x v="1"/>
    <m/>
    <n v="1220"/>
    <x v="1"/>
    <n v="5"/>
    <n v="5"/>
    <x v="0"/>
    <n v="2016"/>
    <m/>
    <n v="1"/>
    <x v="6"/>
    <s v="555-4806"/>
    <x v="1"/>
    <s v="Fireplace|Gym|Garage|Garden"/>
  </r>
  <r>
    <n v="2381"/>
    <s v="Property 2381"/>
    <x v="0"/>
    <x v="0"/>
    <n v="570204"/>
    <d v="2024-06-20T00:00:00"/>
    <x v="94"/>
    <n v="611776"/>
    <n v="2164"/>
    <x v="699"/>
    <n v="6"/>
    <n v="5"/>
    <x v="1"/>
    <n v="2003"/>
    <n v="1"/>
    <n v="2"/>
    <x v="5"/>
    <s v="555-1250"/>
    <x v="0"/>
    <s v="Sauna|Elevator|Fireplace"/>
  </r>
  <r>
    <n v="2382"/>
    <s v="Property 2382"/>
    <x v="2"/>
    <x v="0"/>
    <n v="455110"/>
    <d v="2024-06-02T00:00:00"/>
    <x v="1"/>
    <m/>
    <n v="1875"/>
    <x v="1"/>
    <n v="4"/>
    <n v="3"/>
    <x v="2"/>
    <n v="2012"/>
    <n v="10"/>
    <n v="2"/>
    <x v="1"/>
    <s v="555-4304"/>
    <x v="1"/>
    <s v="Elevator|Pool|Gym"/>
  </r>
  <r>
    <n v="2383"/>
    <s v="Property 2383"/>
    <x v="2"/>
    <x v="0"/>
    <n v="374344"/>
    <d v="2024-04-07T00:00:00"/>
    <x v="200"/>
    <n v="402770"/>
    <n v="1819"/>
    <x v="700"/>
    <n v="2"/>
    <n v="2"/>
    <x v="1"/>
    <n v="2022"/>
    <n v="5"/>
    <n v="3"/>
    <x v="8"/>
    <s v="555-7419"/>
    <x v="0"/>
    <s v="Garden|Pool|Elevator"/>
  </r>
  <r>
    <n v="2384"/>
    <s v="Property 2384"/>
    <x v="1"/>
    <x v="0"/>
    <n v="703543"/>
    <d v="2024-08-20T00:00:00"/>
    <x v="1"/>
    <m/>
    <n v="2818"/>
    <x v="1"/>
    <n v="2"/>
    <n v="2"/>
    <x v="0"/>
    <n v="2004"/>
    <m/>
    <n v="3"/>
    <x v="7"/>
    <s v="555-2898"/>
    <x v="1"/>
    <s v="Garage|Elevator|Sauna|Gym"/>
  </r>
  <r>
    <n v="2385"/>
    <s v="Property 2385"/>
    <x v="0"/>
    <x v="2"/>
    <n v="954466"/>
    <d v="2024-01-23T00:00:00"/>
    <x v="308"/>
    <n v="977456"/>
    <n v="4488"/>
    <x v="701"/>
    <n v="3"/>
    <n v="4"/>
    <x v="3"/>
    <n v="2000"/>
    <n v="9"/>
    <n v="1"/>
    <x v="9"/>
    <s v="555-2376"/>
    <x v="0"/>
    <s v="Garage|Elevator|Garden|Sauna"/>
  </r>
  <r>
    <n v="2386"/>
    <s v="Property 2386"/>
    <x v="2"/>
    <x v="0"/>
    <n v="339267"/>
    <d v="2024-01-06T00:00:00"/>
    <x v="1"/>
    <m/>
    <n v="1375"/>
    <x v="1"/>
    <n v="3"/>
    <n v="2"/>
    <x v="1"/>
    <n v="2018"/>
    <n v="1"/>
    <n v="2"/>
    <x v="9"/>
    <s v="555-7179"/>
    <x v="1"/>
    <s v="Sauna"/>
  </r>
  <r>
    <n v="2387"/>
    <s v="Property 2387"/>
    <x v="0"/>
    <x v="0"/>
    <n v="423960"/>
    <d v="2024-07-03T00:00:00"/>
    <x v="71"/>
    <n v="443459"/>
    <n v="3093"/>
    <x v="702"/>
    <n v="3"/>
    <n v="2"/>
    <x v="1"/>
    <n v="2023"/>
    <n v="4"/>
    <n v="4"/>
    <x v="8"/>
    <s v="555-5104"/>
    <x v="0"/>
    <s v="Pool|Elevator"/>
  </r>
  <r>
    <n v="2388"/>
    <s v="Property 2388"/>
    <x v="2"/>
    <x v="2"/>
    <n v="820501"/>
    <d v="2024-04-06T00:00:00"/>
    <x v="1"/>
    <m/>
    <n v="3202"/>
    <x v="1"/>
    <n v="6"/>
    <n v="2"/>
    <x v="1"/>
    <n v="2015"/>
    <n v="9"/>
    <n v="3"/>
    <x v="6"/>
    <s v="555-4296"/>
    <x v="1"/>
    <s v="Pool|Gym|Garage"/>
  </r>
  <r>
    <n v="2389"/>
    <s v="Property 2389"/>
    <x v="1"/>
    <x v="0"/>
    <n v="641251"/>
    <d v="2024-07-28T00:00:00"/>
    <x v="120"/>
    <n v="663115"/>
    <n v="2819"/>
    <x v="703"/>
    <n v="5"/>
    <n v="4"/>
    <x v="3"/>
    <n v="2004"/>
    <n v="1"/>
    <n v="4"/>
    <x v="4"/>
    <s v="555-2558"/>
    <x v="0"/>
    <s v="Fireplace|Gym|Sauna"/>
  </r>
  <r>
    <n v="2390"/>
    <s v="Property 2390"/>
    <x v="3"/>
    <x v="1"/>
    <n v="571924"/>
    <d v="2024-09-09T00:00:00"/>
    <x v="1"/>
    <m/>
    <n v="4049"/>
    <x v="1"/>
    <n v="3"/>
    <n v="3"/>
    <x v="2"/>
    <n v="2023"/>
    <n v="9"/>
    <n v="4"/>
    <x v="7"/>
    <s v="555-4221"/>
    <x v="1"/>
    <s v="Fireplace|Elevator|Pool|Garden"/>
  </r>
  <r>
    <n v="2391"/>
    <s v="Property 2391"/>
    <x v="2"/>
    <x v="2"/>
    <n v="412917"/>
    <d v="2024-07-08T00:00:00"/>
    <x v="152"/>
    <n v="439138"/>
    <n v="3048"/>
    <x v="704"/>
    <n v="6"/>
    <n v="5"/>
    <x v="3"/>
    <n v="2008"/>
    <n v="4"/>
    <n v="1"/>
    <x v="6"/>
    <s v="555-2575"/>
    <x v="0"/>
    <s v="Sauna"/>
  </r>
  <r>
    <n v="2392"/>
    <s v="Property 2392"/>
    <x v="1"/>
    <x v="0"/>
    <n v="876448"/>
    <d v="2024-10-16T00:00:00"/>
    <x v="1"/>
    <m/>
    <n v="1879"/>
    <x v="1"/>
    <n v="5"/>
    <n v="3"/>
    <x v="3"/>
    <n v="2015"/>
    <n v="3"/>
    <n v="4"/>
    <x v="2"/>
    <s v="555-6461"/>
    <x v="1"/>
    <s v="Garden"/>
  </r>
  <r>
    <n v="2393"/>
    <s v="Property 2393"/>
    <x v="2"/>
    <x v="2"/>
    <n v="641100"/>
    <d v="2024-05-23T00:00:00"/>
    <x v="1"/>
    <m/>
    <n v="1263"/>
    <x v="1"/>
    <n v="5"/>
    <n v="5"/>
    <x v="0"/>
    <n v="2014"/>
    <m/>
    <n v="2"/>
    <x v="8"/>
    <s v="555-7260"/>
    <x v="1"/>
    <s v="Elevator|Pool|Gym"/>
  </r>
  <r>
    <n v="2394"/>
    <s v="Property 2394"/>
    <x v="1"/>
    <x v="1"/>
    <n v="657341"/>
    <d v="2024-03-02T00:00:00"/>
    <x v="1"/>
    <m/>
    <n v="2395"/>
    <x v="1"/>
    <n v="3"/>
    <n v="3"/>
    <x v="2"/>
    <n v="2023"/>
    <n v="4"/>
    <n v="2"/>
    <x v="8"/>
    <s v="555-5349"/>
    <x v="1"/>
    <s v="Fireplace"/>
  </r>
  <r>
    <n v="2395"/>
    <s v="Property 2395"/>
    <x v="1"/>
    <x v="0"/>
    <n v="620393"/>
    <d v="2024-06-07T00:00:00"/>
    <x v="1"/>
    <m/>
    <n v="3974"/>
    <x v="1"/>
    <n v="3"/>
    <n v="5"/>
    <x v="3"/>
    <n v="2010"/>
    <n v="3"/>
    <n v="4"/>
    <x v="8"/>
    <s v="555-1588"/>
    <x v="1"/>
    <s v="Barn|Fireplace"/>
  </r>
  <r>
    <n v="2396"/>
    <s v="Property 2396"/>
    <x v="2"/>
    <x v="2"/>
    <n v="752693"/>
    <d v="2024-06-17T00:00:00"/>
    <x v="1"/>
    <m/>
    <n v="2655"/>
    <x v="1"/>
    <n v="3"/>
    <n v="5"/>
    <x v="3"/>
    <n v="2000"/>
    <n v="6"/>
    <n v="1"/>
    <x v="3"/>
    <s v="555-9062"/>
    <x v="1"/>
    <s v="Garden"/>
  </r>
  <r>
    <n v="2397"/>
    <s v="Property 2397"/>
    <x v="3"/>
    <x v="0"/>
    <n v="915740"/>
    <d v="2024-01-26T00:00:00"/>
    <x v="1"/>
    <m/>
    <n v="4611"/>
    <x v="1"/>
    <n v="2"/>
    <n v="4"/>
    <x v="3"/>
    <n v="2021"/>
    <n v="1"/>
    <n v="1"/>
    <x v="0"/>
    <s v="555-9286"/>
    <x v="1"/>
    <s v="Garden|Pool|Sauna"/>
  </r>
  <r>
    <n v="2398"/>
    <s v="Property 2398"/>
    <x v="4"/>
    <x v="2"/>
    <n v="430401"/>
    <d v="2024-05-04T00:00:00"/>
    <x v="1"/>
    <m/>
    <n v="1394"/>
    <x v="1"/>
    <n v="2"/>
    <n v="5"/>
    <x v="3"/>
    <n v="2017"/>
    <n v="6"/>
    <n v="2"/>
    <x v="3"/>
    <s v="555-5640"/>
    <x v="1"/>
    <s v="Pool"/>
  </r>
  <r>
    <n v="2399"/>
    <s v="Property 2399"/>
    <x v="4"/>
    <x v="0"/>
    <n v="377808"/>
    <d v="2024-02-10T00:00:00"/>
    <x v="1"/>
    <m/>
    <n v="1294"/>
    <x v="1"/>
    <n v="4"/>
    <n v="2"/>
    <x v="3"/>
    <n v="2013"/>
    <n v="6"/>
    <n v="1"/>
    <x v="0"/>
    <s v="555-1679"/>
    <x v="1"/>
    <s v="Garden|Gym"/>
  </r>
  <r>
    <n v="2400"/>
    <s v="Property 2400"/>
    <x v="1"/>
    <x v="1"/>
    <n v="728903"/>
    <d v="2024-07-22T00:00:00"/>
    <x v="1"/>
    <m/>
    <n v="3600"/>
    <x v="1"/>
    <n v="2"/>
    <n v="5"/>
    <x v="2"/>
    <n v="2013"/>
    <n v="7"/>
    <n v="2"/>
    <x v="7"/>
    <s v="555-2652"/>
    <x v="1"/>
    <s v="Garage"/>
  </r>
  <r>
    <n v="2401"/>
    <s v="Property 2401"/>
    <x v="1"/>
    <x v="1"/>
    <n v="437834"/>
    <d v="2024-06-18T00:00:00"/>
    <x v="309"/>
    <n v="486366"/>
    <n v="4118"/>
    <x v="705"/>
    <n v="5"/>
    <n v="2"/>
    <x v="3"/>
    <n v="2010"/>
    <n v="2"/>
    <n v="1"/>
    <x v="7"/>
    <s v="555-7040"/>
    <x v="0"/>
    <s v="Gym|Sauna"/>
  </r>
  <r>
    <n v="2402"/>
    <s v="Property 2402"/>
    <x v="3"/>
    <x v="2"/>
    <n v="381337"/>
    <d v="2024-01-05T00:00:00"/>
    <x v="228"/>
    <n v="402968"/>
    <n v="2771"/>
    <x v="706"/>
    <n v="3"/>
    <n v="3"/>
    <x v="3"/>
    <n v="2019"/>
    <n v="6"/>
    <n v="1"/>
    <x v="8"/>
    <s v="555-7914"/>
    <x v="0"/>
    <s v="Elevator|Barn"/>
  </r>
  <r>
    <n v="2403"/>
    <s v="Property 2403"/>
    <x v="2"/>
    <x v="0"/>
    <n v="703912"/>
    <d v="2024-09-16T00:00:00"/>
    <x v="181"/>
    <n v="716773"/>
    <n v="2913"/>
    <x v="707"/>
    <n v="6"/>
    <n v="5"/>
    <x v="2"/>
    <n v="2019"/>
    <n v="9"/>
    <n v="4"/>
    <x v="9"/>
    <s v="555-6292"/>
    <x v="0"/>
    <s v="Elevator"/>
  </r>
  <r>
    <n v="2404"/>
    <s v="Property 2404"/>
    <x v="0"/>
    <x v="0"/>
    <n v="785627"/>
    <d v="2024-05-29T00:00:00"/>
    <x v="79"/>
    <n v="831509"/>
    <n v="3966"/>
    <x v="708"/>
    <n v="3"/>
    <n v="5"/>
    <x v="3"/>
    <n v="2013"/>
    <n v="9"/>
    <n v="1"/>
    <x v="9"/>
    <s v="555-1216"/>
    <x v="0"/>
    <s v="Gym|Pool|Barn"/>
  </r>
  <r>
    <n v="2405"/>
    <s v="Property 2405"/>
    <x v="3"/>
    <x v="0"/>
    <n v="561354"/>
    <d v="2024-11-28T00:00:00"/>
    <x v="132"/>
    <n v="585361"/>
    <n v="2086"/>
    <x v="709"/>
    <n v="2"/>
    <n v="2"/>
    <x v="3"/>
    <n v="2003"/>
    <n v="10"/>
    <n v="4"/>
    <x v="0"/>
    <s v="555-6943"/>
    <x v="0"/>
    <s v="Barn|Garage"/>
  </r>
  <r>
    <n v="2406"/>
    <s v="Property 2406"/>
    <x v="4"/>
    <x v="0"/>
    <n v="679021"/>
    <d v="2024-01-25T00:00:00"/>
    <x v="97"/>
    <n v="697490"/>
    <n v="4649"/>
    <x v="710"/>
    <n v="2"/>
    <n v="5"/>
    <x v="2"/>
    <n v="2021"/>
    <n v="1"/>
    <n v="2"/>
    <x v="7"/>
    <s v="555-9558"/>
    <x v="0"/>
    <s v="Elevator|Garden|Garage"/>
  </r>
  <r>
    <n v="2407"/>
    <s v="Property 2407"/>
    <x v="0"/>
    <x v="2"/>
    <n v="584026"/>
    <d v="2024-06-16T00:00:00"/>
    <x v="1"/>
    <m/>
    <n v="4507"/>
    <x v="1"/>
    <n v="3"/>
    <n v="4"/>
    <x v="1"/>
    <n v="2018"/>
    <n v="9"/>
    <n v="1"/>
    <x v="4"/>
    <s v="555-8801"/>
    <x v="1"/>
    <s v="Garden|Fireplace|Gym|Sauna"/>
  </r>
  <r>
    <n v="2408"/>
    <s v="Property 2408"/>
    <x v="2"/>
    <x v="2"/>
    <n v="568411"/>
    <d v="2024-09-12T00:00:00"/>
    <x v="310"/>
    <n v="613614"/>
    <n v="2804"/>
    <x v="711"/>
    <n v="4"/>
    <n v="4"/>
    <x v="0"/>
    <n v="2005"/>
    <m/>
    <n v="2"/>
    <x v="7"/>
    <s v="555-1832"/>
    <x v="0"/>
    <s v="Elevator|Barn|Garden|Garage"/>
  </r>
  <r>
    <n v="2409"/>
    <s v="Property 2409"/>
    <x v="3"/>
    <x v="2"/>
    <n v="778280"/>
    <d v="2024-09-16T00:00:00"/>
    <x v="1"/>
    <m/>
    <n v="4668"/>
    <x v="1"/>
    <n v="4"/>
    <n v="3"/>
    <x v="2"/>
    <n v="2017"/>
    <n v="10"/>
    <n v="2"/>
    <x v="4"/>
    <s v="555-1552"/>
    <x v="1"/>
    <s v="Gym|Garden|Pool|Garage"/>
  </r>
  <r>
    <n v="2410"/>
    <s v="Property 2410"/>
    <x v="1"/>
    <x v="2"/>
    <n v="373040"/>
    <d v="2023-12-24T00:00:00"/>
    <x v="144"/>
    <n v="384969"/>
    <n v="3798"/>
    <x v="712"/>
    <n v="3"/>
    <n v="5"/>
    <x v="0"/>
    <n v="2015"/>
    <m/>
    <n v="1"/>
    <x v="3"/>
    <s v="555-4366"/>
    <x v="0"/>
    <s v="Sauna|Garden|Fireplace"/>
  </r>
  <r>
    <n v="2411"/>
    <s v="Property 2411"/>
    <x v="4"/>
    <x v="1"/>
    <n v="743159"/>
    <d v="2024-10-06T00:00:00"/>
    <x v="197"/>
    <n v="790530"/>
    <n v="4078"/>
    <x v="713"/>
    <n v="5"/>
    <n v="5"/>
    <x v="1"/>
    <n v="2008"/>
    <n v="3"/>
    <n v="3"/>
    <x v="8"/>
    <s v="555-9452"/>
    <x v="0"/>
    <s v="Gym|Sauna"/>
  </r>
  <r>
    <n v="2412"/>
    <s v="Property 2412"/>
    <x v="0"/>
    <x v="2"/>
    <n v="996809"/>
    <d v="2024-06-22T00:00:00"/>
    <x v="1"/>
    <m/>
    <n v="1863"/>
    <x v="1"/>
    <n v="6"/>
    <n v="2"/>
    <x v="0"/>
    <n v="2023"/>
    <m/>
    <n v="4"/>
    <x v="0"/>
    <s v="555-9817"/>
    <x v="1"/>
    <s v="Barn|Garage|Gym|Pool"/>
  </r>
  <r>
    <n v="2413"/>
    <s v="Property 2413"/>
    <x v="3"/>
    <x v="0"/>
    <n v="593684"/>
    <d v="2024-08-10T00:00:00"/>
    <x v="311"/>
    <n v="636798"/>
    <n v="4406"/>
    <x v="714"/>
    <n v="6"/>
    <n v="4"/>
    <x v="1"/>
    <n v="2006"/>
    <n v="9"/>
    <n v="2"/>
    <x v="1"/>
    <s v="555-7796"/>
    <x v="0"/>
    <s v="Garden|Sauna|Elevator|Garage"/>
  </r>
  <r>
    <n v="2414"/>
    <s v="Property 2414"/>
    <x v="2"/>
    <x v="2"/>
    <n v="440656"/>
    <d v="2023-12-23T00:00:00"/>
    <x v="186"/>
    <n v="483914"/>
    <n v="1620"/>
    <x v="715"/>
    <n v="6"/>
    <n v="4"/>
    <x v="1"/>
    <n v="2004"/>
    <n v="5"/>
    <n v="3"/>
    <x v="9"/>
    <s v="555-8736"/>
    <x v="0"/>
    <s v="Garage"/>
  </r>
  <r>
    <n v="2415"/>
    <s v="Property 2415"/>
    <x v="2"/>
    <x v="2"/>
    <n v="910483"/>
    <d v="2024-04-12T00:00:00"/>
    <x v="217"/>
    <n v="943822"/>
    <n v="4425"/>
    <x v="716"/>
    <n v="2"/>
    <n v="3"/>
    <x v="1"/>
    <n v="2012"/>
    <n v="9"/>
    <n v="3"/>
    <x v="1"/>
    <s v="555-8199"/>
    <x v="0"/>
    <s v="Gym|Fireplace|Barn|Pool"/>
  </r>
  <r>
    <n v="2416"/>
    <s v="Property 2416"/>
    <x v="2"/>
    <x v="1"/>
    <n v="665867"/>
    <d v="2024-04-22T00:00:00"/>
    <x v="1"/>
    <m/>
    <n v="3397"/>
    <x v="1"/>
    <n v="6"/>
    <n v="4"/>
    <x v="2"/>
    <n v="2020"/>
    <n v="2"/>
    <n v="3"/>
    <x v="7"/>
    <s v="555-5464"/>
    <x v="1"/>
    <s v="Elevator"/>
  </r>
  <r>
    <n v="2417"/>
    <s v="Property 2417"/>
    <x v="3"/>
    <x v="1"/>
    <n v="541937"/>
    <d v="2024-12-15T00:00:00"/>
    <x v="1"/>
    <m/>
    <n v="2722"/>
    <x v="1"/>
    <n v="6"/>
    <n v="3"/>
    <x v="3"/>
    <n v="2001"/>
    <n v="10"/>
    <n v="2"/>
    <x v="6"/>
    <s v="555-4244"/>
    <x v="1"/>
    <s v="Garden|Fireplace|Garage"/>
  </r>
  <r>
    <n v="2418"/>
    <s v="Property 2418"/>
    <x v="0"/>
    <x v="2"/>
    <n v="627724"/>
    <d v="2024-01-12T00:00:00"/>
    <x v="237"/>
    <n v="664262"/>
    <n v="1711"/>
    <x v="717"/>
    <n v="4"/>
    <n v="4"/>
    <x v="2"/>
    <n v="2011"/>
    <n v="6"/>
    <n v="1"/>
    <x v="7"/>
    <s v="555-5116"/>
    <x v="0"/>
    <s v="Fireplace"/>
  </r>
  <r>
    <n v="2419"/>
    <s v="Property 2419"/>
    <x v="1"/>
    <x v="0"/>
    <n v="967222"/>
    <d v="2024-06-01T00:00:00"/>
    <x v="247"/>
    <n v="984573"/>
    <n v="4340"/>
    <x v="718"/>
    <n v="2"/>
    <n v="3"/>
    <x v="3"/>
    <n v="2022"/>
    <n v="2"/>
    <n v="2"/>
    <x v="8"/>
    <s v="555-8246"/>
    <x v="0"/>
    <s v="Elevator|Garage"/>
  </r>
  <r>
    <n v="2420"/>
    <s v="Property 2420"/>
    <x v="0"/>
    <x v="0"/>
    <n v="725892"/>
    <d v="2024-01-02T00:00:00"/>
    <x v="1"/>
    <m/>
    <n v="3135"/>
    <x v="1"/>
    <n v="3"/>
    <n v="4"/>
    <x v="0"/>
    <n v="2016"/>
    <m/>
    <n v="2"/>
    <x v="9"/>
    <s v="555-6132"/>
    <x v="1"/>
    <s v="Barn|Sauna"/>
  </r>
  <r>
    <n v="2421"/>
    <s v="Property 2421"/>
    <x v="1"/>
    <x v="1"/>
    <n v="938728"/>
    <d v="2024-12-15T00:00:00"/>
    <x v="1"/>
    <m/>
    <n v="3625"/>
    <x v="1"/>
    <n v="4"/>
    <n v="3"/>
    <x v="0"/>
    <n v="2002"/>
    <m/>
    <n v="4"/>
    <x v="7"/>
    <s v="555-7571"/>
    <x v="1"/>
    <s v="Elevator|Gym"/>
  </r>
  <r>
    <n v="2422"/>
    <s v="Property 2422"/>
    <x v="0"/>
    <x v="1"/>
    <n v="419363"/>
    <d v="2024-09-25T00:00:00"/>
    <x v="1"/>
    <m/>
    <n v="1461"/>
    <x v="1"/>
    <n v="5"/>
    <n v="4"/>
    <x v="2"/>
    <n v="2005"/>
    <n v="10"/>
    <n v="1"/>
    <x v="9"/>
    <s v="555-4764"/>
    <x v="1"/>
    <s v="Pool|Elevator|Fireplace|Garden"/>
  </r>
  <r>
    <n v="2423"/>
    <s v="Property 2423"/>
    <x v="4"/>
    <x v="0"/>
    <n v="894292"/>
    <d v="2024-09-23T00:00:00"/>
    <x v="1"/>
    <m/>
    <n v="3518"/>
    <x v="1"/>
    <n v="6"/>
    <n v="4"/>
    <x v="1"/>
    <n v="2008"/>
    <n v="6"/>
    <n v="4"/>
    <x v="7"/>
    <s v="555-1965"/>
    <x v="1"/>
    <s v="Sauna"/>
  </r>
  <r>
    <n v="2424"/>
    <s v="Property 2424"/>
    <x v="1"/>
    <x v="1"/>
    <n v="698551"/>
    <d v="2024-02-07T00:00:00"/>
    <x v="1"/>
    <m/>
    <n v="1640"/>
    <x v="1"/>
    <n v="5"/>
    <n v="2"/>
    <x v="2"/>
    <n v="2013"/>
    <n v="7"/>
    <n v="1"/>
    <x v="5"/>
    <s v="555-8218"/>
    <x v="1"/>
    <s v="Pool|Barn"/>
  </r>
  <r>
    <n v="2425"/>
    <s v="Property 2425"/>
    <x v="2"/>
    <x v="0"/>
    <n v="804497"/>
    <d v="2024-01-22T00:00:00"/>
    <x v="280"/>
    <n v="824677"/>
    <n v="4891"/>
    <x v="719"/>
    <n v="3"/>
    <n v="5"/>
    <x v="2"/>
    <n v="2006"/>
    <n v="8"/>
    <n v="2"/>
    <x v="1"/>
    <s v="555-7464"/>
    <x v="0"/>
    <s v="Sauna|Pool|Elevator"/>
  </r>
  <r>
    <n v="2426"/>
    <s v="Property 2426"/>
    <x v="2"/>
    <x v="2"/>
    <n v="906788"/>
    <d v="2024-10-22T00:00:00"/>
    <x v="312"/>
    <n v="939293"/>
    <n v="4650"/>
    <x v="720"/>
    <n v="2"/>
    <n v="3"/>
    <x v="0"/>
    <n v="2011"/>
    <m/>
    <n v="4"/>
    <x v="7"/>
    <s v="555-7576"/>
    <x v="0"/>
    <s v="Gym"/>
  </r>
  <r>
    <n v="2427"/>
    <s v="Property 2427"/>
    <x v="3"/>
    <x v="0"/>
    <n v="882863"/>
    <d v="2024-04-03T00:00:00"/>
    <x v="1"/>
    <m/>
    <n v="3411"/>
    <x v="1"/>
    <n v="4"/>
    <n v="3"/>
    <x v="1"/>
    <n v="2010"/>
    <n v="6"/>
    <n v="1"/>
    <x v="4"/>
    <s v="555-5636"/>
    <x v="1"/>
    <s v="Barn|Garage|Sauna"/>
  </r>
  <r>
    <n v="2428"/>
    <s v="Property 2428"/>
    <x v="3"/>
    <x v="1"/>
    <n v="560377"/>
    <d v="2024-12-11T00:00:00"/>
    <x v="1"/>
    <m/>
    <n v="1906"/>
    <x v="1"/>
    <n v="5"/>
    <n v="3"/>
    <x v="2"/>
    <n v="2004"/>
    <n v="1"/>
    <n v="2"/>
    <x v="6"/>
    <s v="555-2369"/>
    <x v="1"/>
    <s v="Garden|Pool|Garage|Gym"/>
  </r>
  <r>
    <n v="2429"/>
    <s v="Property 2429"/>
    <x v="3"/>
    <x v="2"/>
    <n v="742732"/>
    <d v="2024-03-03T00:00:00"/>
    <x v="1"/>
    <m/>
    <n v="1642"/>
    <x v="1"/>
    <n v="4"/>
    <n v="4"/>
    <x v="0"/>
    <n v="2011"/>
    <m/>
    <n v="4"/>
    <x v="7"/>
    <s v="555-1366"/>
    <x v="1"/>
    <s v="Garden"/>
  </r>
  <r>
    <n v="2430"/>
    <s v="Property 2430"/>
    <x v="4"/>
    <x v="0"/>
    <n v="888993"/>
    <d v="2024-10-09T00:00:00"/>
    <x v="108"/>
    <n v="918527"/>
    <n v="3780"/>
    <x v="721"/>
    <n v="2"/>
    <n v="2"/>
    <x v="3"/>
    <n v="2018"/>
    <n v="3"/>
    <n v="2"/>
    <x v="7"/>
    <s v="555-7730"/>
    <x v="0"/>
    <s v="Pool|Gym|Fireplace"/>
  </r>
  <r>
    <n v="2431"/>
    <s v="Property 2431"/>
    <x v="2"/>
    <x v="2"/>
    <n v="760350"/>
    <d v="2024-04-03T00:00:00"/>
    <x v="1"/>
    <m/>
    <n v="1633"/>
    <x v="1"/>
    <n v="3"/>
    <n v="2"/>
    <x v="3"/>
    <n v="2016"/>
    <n v="3"/>
    <n v="2"/>
    <x v="8"/>
    <s v="555-6667"/>
    <x v="1"/>
    <s v="Pool|Garden|Sauna|Elevator"/>
  </r>
  <r>
    <n v="2432"/>
    <s v="Property 2432"/>
    <x v="3"/>
    <x v="2"/>
    <n v="368376"/>
    <d v="2024-12-14T00:00:00"/>
    <x v="1"/>
    <m/>
    <n v="4637"/>
    <x v="1"/>
    <n v="4"/>
    <n v="4"/>
    <x v="1"/>
    <n v="2010"/>
    <n v="2"/>
    <n v="2"/>
    <x v="1"/>
    <s v="555-4364"/>
    <x v="1"/>
    <s v="Garage"/>
  </r>
  <r>
    <n v="2433"/>
    <s v="Property 2433"/>
    <x v="4"/>
    <x v="1"/>
    <n v="672667"/>
    <d v="2024-07-31T00:00:00"/>
    <x v="307"/>
    <n v="710544"/>
    <n v="4604"/>
    <x v="722"/>
    <n v="5"/>
    <n v="2"/>
    <x v="2"/>
    <n v="2000"/>
    <n v="4"/>
    <n v="2"/>
    <x v="8"/>
    <s v="555-9917"/>
    <x v="0"/>
    <s v="Sauna|Barn|Fireplace|Elevator"/>
  </r>
  <r>
    <n v="2434"/>
    <s v="Property 2434"/>
    <x v="4"/>
    <x v="1"/>
    <n v="438132"/>
    <d v="2024-11-15T00:00:00"/>
    <x v="91"/>
    <n v="486405"/>
    <n v="1341"/>
    <x v="723"/>
    <n v="5"/>
    <n v="2"/>
    <x v="0"/>
    <n v="2007"/>
    <m/>
    <n v="4"/>
    <x v="1"/>
    <s v="555-3609"/>
    <x v="0"/>
    <s v="Pool|Sauna"/>
  </r>
  <r>
    <n v="2435"/>
    <s v="Property 2435"/>
    <x v="2"/>
    <x v="0"/>
    <n v="547731"/>
    <d v="2024-06-01T00:00:00"/>
    <x v="21"/>
    <n v="586155"/>
    <n v="1869"/>
    <x v="724"/>
    <n v="6"/>
    <n v="2"/>
    <x v="2"/>
    <n v="2009"/>
    <n v="7"/>
    <n v="1"/>
    <x v="8"/>
    <s v="555-7022"/>
    <x v="0"/>
    <s v="Gym|Elevator|Garden|Sauna"/>
  </r>
  <r>
    <n v="2436"/>
    <s v="Property 2436"/>
    <x v="4"/>
    <x v="0"/>
    <n v="764455"/>
    <d v="2024-07-31T00:00:00"/>
    <x v="308"/>
    <n v="804233"/>
    <n v="4260"/>
    <x v="725"/>
    <n v="2"/>
    <n v="2"/>
    <x v="0"/>
    <n v="2003"/>
    <m/>
    <n v="4"/>
    <x v="2"/>
    <s v="555-5758"/>
    <x v="0"/>
    <s v="Gym|Sauna|Garden|Garage"/>
  </r>
  <r>
    <n v="2437"/>
    <s v="Property 2437"/>
    <x v="3"/>
    <x v="1"/>
    <n v="670568"/>
    <d v="2024-02-07T00:00:00"/>
    <x v="245"/>
    <n v="720072"/>
    <n v="2600"/>
    <x v="726"/>
    <n v="3"/>
    <n v="4"/>
    <x v="0"/>
    <n v="2004"/>
    <m/>
    <n v="1"/>
    <x v="1"/>
    <s v="555-7533"/>
    <x v="0"/>
    <s v="Fireplace|Gym|Garage|Sauna"/>
  </r>
  <r>
    <n v="2438"/>
    <s v="Property 2438"/>
    <x v="2"/>
    <x v="2"/>
    <n v="536732"/>
    <d v="2024-05-19T00:00:00"/>
    <x v="205"/>
    <n v="555187"/>
    <n v="2868"/>
    <x v="727"/>
    <n v="3"/>
    <n v="2"/>
    <x v="3"/>
    <n v="2016"/>
    <n v="1"/>
    <n v="1"/>
    <x v="7"/>
    <s v="555-6699"/>
    <x v="0"/>
    <s v="Gym|Sauna"/>
  </r>
  <r>
    <n v="2439"/>
    <s v="Property 2439"/>
    <x v="1"/>
    <x v="0"/>
    <n v="322020"/>
    <d v="2024-09-22T00:00:00"/>
    <x v="36"/>
    <n v="343455"/>
    <n v="4889"/>
    <x v="728"/>
    <n v="3"/>
    <n v="2"/>
    <x v="1"/>
    <n v="2020"/>
    <n v="9"/>
    <n v="1"/>
    <x v="3"/>
    <s v="555-1086"/>
    <x v="0"/>
    <s v="Sauna|Elevator|Pool"/>
  </r>
  <r>
    <n v="2440"/>
    <s v="Property 2440"/>
    <x v="0"/>
    <x v="0"/>
    <n v="468203"/>
    <d v="2024-03-29T00:00:00"/>
    <x v="128"/>
    <n v="494390"/>
    <n v="1293"/>
    <x v="729"/>
    <n v="3"/>
    <n v="5"/>
    <x v="2"/>
    <n v="2020"/>
    <n v="7"/>
    <n v="4"/>
    <x v="6"/>
    <s v="555-5583"/>
    <x v="0"/>
    <s v="Garage|Gym"/>
  </r>
  <r>
    <n v="2441"/>
    <s v="Property 2441"/>
    <x v="4"/>
    <x v="1"/>
    <n v="694204"/>
    <d v="2024-07-15T00:00:00"/>
    <x v="1"/>
    <m/>
    <n v="3609"/>
    <x v="1"/>
    <n v="5"/>
    <n v="5"/>
    <x v="1"/>
    <n v="2005"/>
    <n v="4"/>
    <n v="2"/>
    <x v="6"/>
    <s v="555-5088"/>
    <x v="1"/>
    <s v="Pool|Garden|Gym"/>
  </r>
  <r>
    <n v="2442"/>
    <s v="Property 2442"/>
    <x v="3"/>
    <x v="2"/>
    <n v="447914"/>
    <d v="2024-05-12T00:00:00"/>
    <x v="1"/>
    <m/>
    <n v="2537"/>
    <x v="1"/>
    <n v="4"/>
    <n v="3"/>
    <x v="2"/>
    <n v="2013"/>
    <n v="5"/>
    <n v="3"/>
    <x v="5"/>
    <s v="555-6467"/>
    <x v="1"/>
    <s v="Gym|Elevator|Garage"/>
  </r>
  <r>
    <n v="2443"/>
    <s v="Property 2443"/>
    <x v="2"/>
    <x v="2"/>
    <n v="924916"/>
    <d v="2024-01-27T00:00:00"/>
    <x v="1"/>
    <m/>
    <n v="2640"/>
    <x v="1"/>
    <n v="5"/>
    <n v="4"/>
    <x v="2"/>
    <n v="2018"/>
    <n v="9"/>
    <n v="3"/>
    <x v="3"/>
    <s v="555-5617"/>
    <x v="1"/>
    <s v="Elevator|Barn"/>
  </r>
  <r>
    <n v="2444"/>
    <s v="Property 2444"/>
    <x v="4"/>
    <x v="2"/>
    <n v="679131"/>
    <d v="2024-08-28T00:00:00"/>
    <x v="1"/>
    <m/>
    <n v="2968"/>
    <x v="1"/>
    <n v="3"/>
    <n v="4"/>
    <x v="3"/>
    <n v="2014"/>
    <n v="3"/>
    <n v="3"/>
    <x v="3"/>
    <s v="555-2724"/>
    <x v="1"/>
    <s v="Barn"/>
  </r>
  <r>
    <n v="2445"/>
    <s v="Property 2445"/>
    <x v="1"/>
    <x v="2"/>
    <n v="845881"/>
    <d v="2024-05-26T00:00:00"/>
    <x v="257"/>
    <n v="877897"/>
    <n v="1948"/>
    <x v="730"/>
    <n v="2"/>
    <n v="5"/>
    <x v="1"/>
    <n v="2018"/>
    <n v="2"/>
    <n v="2"/>
    <x v="0"/>
    <s v="555-4001"/>
    <x v="0"/>
    <s v="Elevator|Pool|Sauna|Barn"/>
  </r>
  <r>
    <n v="2446"/>
    <s v="Property 2446"/>
    <x v="4"/>
    <x v="2"/>
    <n v="826636"/>
    <d v="2024-11-03T00:00:00"/>
    <x v="80"/>
    <n v="839702"/>
    <n v="4618"/>
    <x v="731"/>
    <n v="6"/>
    <n v="2"/>
    <x v="0"/>
    <n v="2017"/>
    <m/>
    <n v="3"/>
    <x v="4"/>
    <s v="555-1295"/>
    <x v="0"/>
    <s v="Sauna|Barn|Garage"/>
  </r>
  <r>
    <n v="2447"/>
    <s v="Property 2447"/>
    <x v="4"/>
    <x v="0"/>
    <n v="882728"/>
    <d v="2024-07-05T00:00:00"/>
    <x v="1"/>
    <m/>
    <n v="3061"/>
    <x v="1"/>
    <n v="5"/>
    <n v="4"/>
    <x v="1"/>
    <n v="2022"/>
    <n v="8"/>
    <n v="4"/>
    <x v="2"/>
    <s v="555-8248"/>
    <x v="1"/>
    <s v="Fireplace"/>
  </r>
  <r>
    <n v="2448"/>
    <s v="Property 2448"/>
    <x v="1"/>
    <x v="2"/>
    <n v="559870"/>
    <d v="2024-09-20T00:00:00"/>
    <x v="261"/>
    <n v="578908"/>
    <n v="1800"/>
    <x v="732"/>
    <n v="6"/>
    <n v="5"/>
    <x v="1"/>
    <n v="2011"/>
    <n v="3"/>
    <n v="4"/>
    <x v="1"/>
    <s v="555-1987"/>
    <x v="0"/>
    <s v="Barn"/>
  </r>
  <r>
    <n v="2449"/>
    <s v="Property 2449"/>
    <x v="1"/>
    <x v="0"/>
    <n v="421492"/>
    <d v="2024-11-06T00:00:00"/>
    <x v="1"/>
    <m/>
    <n v="2456"/>
    <x v="1"/>
    <n v="5"/>
    <n v="4"/>
    <x v="2"/>
    <n v="2020"/>
    <n v="8"/>
    <n v="2"/>
    <x v="7"/>
    <s v="555-5474"/>
    <x v="1"/>
    <s v="Garage|Fireplace|Sauna|Elevator"/>
  </r>
  <r>
    <n v="2450"/>
    <s v="Property 2450"/>
    <x v="3"/>
    <x v="2"/>
    <n v="789739"/>
    <d v="2024-12-05T00:00:00"/>
    <x v="1"/>
    <m/>
    <n v="4568"/>
    <x v="1"/>
    <n v="4"/>
    <n v="4"/>
    <x v="0"/>
    <n v="2008"/>
    <m/>
    <n v="4"/>
    <x v="4"/>
    <s v="555-5525"/>
    <x v="1"/>
    <s v="Fireplace|Barn|Garden"/>
  </r>
  <r>
    <n v="2451"/>
    <s v="Property 2451"/>
    <x v="4"/>
    <x v="0"/>
    <n v="973559"/>
    <d v="2024-12-12T00:00:00"/>
    <x v="1"/>
    <m/>
    <n v="4420"/>
    <x v="1"/>
    <n v="5"/>
    <n v="3"/>
    <x v="3"/>
    <n v="2002"/>
    <n v="3"/>
    <n v="4"/>
    <x v="8"/>
    <s v="555-7551"/>
    <x v="1"/>
    <s v="Gym|Barn|Pool"/>
  </r>
  <r>
    <n v="2452"/>
    <s v="Property 2452"/>
    <x v="1"/>
    <x v="1"/>
    <n v="471350"/>
    <d v="2024-11-05T00:00:00"/>
    <x v="1"/>
    <m/>
    <n v="3376"/>
    <x v="1"/>
    <n v="5"/>
    <n v="4"/>
    <x v="1"/>
    <n v="2020"/>
    <n v="3"/>
    <n v="2"/>
    <x v="5"/>
    <s v="555-8930"/>
    <x v="1"/>
    <s v="Elevator"/>
  </r>
  <r>
    <n v="2453"/>
    <s v="Property 2453"/>
    <x v="0"/>
    <x v="0"/>
    <n v="484729"/>
    <d v="2024-07-08T00:00:00"/>
    <x v="1"/>
    <m/>
    <n v="1653"/>
    <x v="1"/>
    <n v="4"/>
    <n v="2"/>
    <x v="1"/>
    <n v="2019"/>
    <n v="7"/>
    <n v="4"/>
    <x v="0"/>
    <s v="555-2094"/>
    <x v="1"/>
    <s v="Gym|Garden|Barn"/>
  </r>
  <r>
    <n v="2454"/>
    <s v="Property 2454"/>
    <x v="0"/>
    <x v="1"/>
    <n v="855577"/>
    <d v="2024-08-07T00:00:00"/>
    <x v="1"/>
    <m/>
    <n v="3526"/>
    <x v="1"/>
    <n v="4"/>
    <n v="5"/>
    <x v="2"/>
    <n v="2014"/>
    <n v="7"/>
    <n v="2"/>
    <x v="7"/>
    <s v="555-4517"/>
    <x v="1"/>
    <s v="Garden|Sauna"/>
  </r>
  <r>
    <n v="2455"/>
    <s v="Property 2455"/>
    <x v="2"/>
    <x v="1"/>
    <n v="709639"/>
    <d v="2024-07-08T00:00:00"/>
    <x v="262"/>
    <n v="732417"/>
    <n v="4794"/>
    <x v="733"/>
    <n v="2"/>
    <n v="3"/>
    <x v="2"/>
    <n v="2020"/>
    <n v="1"/>
    <n v="1"/>
    <x v="8"/>
    <s v="555-7108"/>
    <x v="0"/>
    <s v="Barn|Fireplace"/>
  </r>
  <r>
    <n v="2456"/>
    <s v="Property 2456"/>
    <x v="4"/>
    <x v="0"/>
    <n v="935072"/>
    <d v="2024-07-09T00:00:00"/>
    <x v="1"/>
    <m/>
    <n v="4629"/>
    <x v="1"/>
    <n v="5"/>
    <n v="5"/>
    <x v="0"/>
    <n v="2006"/>
    <m/>
    <n v="3"/>
    <x v="1"/>
    <s v="555-3564"/>
    <x v="1"/>
    <s v="Fireplace|Pool|Barn|Garage"/>
  </r>
  <r>
    <n v="2457"/>
    <s v="Property 2457"/>
    <x v="1"/>
    <x v="1"/>
    <n v="469460"/>
    <d v="2024-08-15T00:00:00"/>
    <x v="206"/>
    <n v="480287"/>
    <n v="2199"/>
    <x v="734"/>
    <n v="5"/>
    <n v="2"/>
    <x v="2"/>
    <n v="2016"/>
    <n v="9"/>
    <n v="3"/>
    <x v="6"/>
    <s v="555-8313"/>
    <x v="0"/>
    <s v="Fireplace|Sauna|Elevator"/>
  </r>
  <r>
    <n v="2458"/>
    <s v="Property 2458"/>
    <x v="3"/>
    <x v="1"/>
    <n v="828884"/>
    <d v="2024-09-16T00:00:00"/>
    <x v="21"/>
    <n v="862381"/>
    <n v="1856"/>
    <x v="735"/>
    <n v="4"/>
    <n v="2"/>
    <x v="0"/>
    <n v="2012"/>
    <m/>
    <n v="3"/>
    <x v="4"/>
    <s v="555-6023"/>
    <x v="0"/>
    <s v="Fireplace|Elevator|Garden"/>
  </r>
  <r>
    <n v="2459"/>
    <s v="Property 2459"/>
    <x v="3"/>
    <x v="0"/>
    <n v="542212"/>
    <d v="2024-09-21T00:00:00"/>
    <x v="1"/>
    <m/>
    <n v="2206"/>
    <x v="1"/>
    <n v="3"/>
    <n v="5"/>
    <x v="3"/>
    <n v="2013"/>
    <n v="1"/>
    <n v="1"/>
    <x v="9"/>
    <s v="555-9075"/>
    <x v="1"/>
    <s v="Fireplace|Gym|Sauna|Garage"/>
  </r>
  <r>
    <n v="2460"/>
    <s v="Property 2460"/>
    <x v="2"/>
    <x v="2"/>
    <n v="427383"/>
    <d v="2024-01-26T00:00:00"/>
    <x v="103"/>
    <n v="445084"/>
    <n v="2658"/>
    <x v="736"/>
    <n v="2"/>
    <n v="2"/>
    <x v="2"/>
    <n v="2011"/>
    <n v="3"/>
    <n v="1"/>
    <x v="1"/>
    <s v="555-9821"/>
    <x v="0"/>
    <s v="Sauna|Fireplace"/>
  </r>
  <r>
    <n v="2461"/>
    <s v="Property 2461"/>
    <x v="1"/>
    <x v="1"/>
    <n v="488277"/>
    <d v="2024-07-03T00:00:00"/>
    <x v="1"/>
    <m/>
    <n v="1817"/>
    <x v="1"/>
    <n v="5"/>
    <n v="3"/>
    <x v="1"/>
    <n v="2022"/>
    <n v="9"/>
    <n v="4"/>
    <x v="1"/>
    <s v="555-5169"/>
    <x v="1"/>
    <s v="Elevator|Gym|Fireplace|Garage"/>
  </r>
  <r>
    <n v="2462"/>
    <s v="Property 2462"/>
    <x v="0"/>
    <x v="1"/>
    <n v="731780"/>
    <d v="2024-11-04T00:00:00"/>
    <x v="1"/>
    <m/>
    <n v="1834"/>
    <x v="1"/>
    <n v="3"/>
    <n v="2"/>
    <x v="0"/>
    <n v="2017"/>
    <m/>
    <n v="3"/>
    <x v="7"/>
    <s v="555-5794"/>
    <x v="1"/>
    <s v="Pool"/>
  </r>
  <r>
    <n v="2463"/>
    <s v="Property 2463"/>
    <x v="4"/>
    <x v="0"/>
    <n v="725750"/>
    <d v="2024-03-04T00:00:00"/>
    <x v="142"/>
    <n v="766496"/>
    <n v="2877"/>
    <x v="737"/>
    <n v="6"/>
    <n v="5"/>
    <x v="3"/>
    <n v="2001"/>
    <n v="6"/>
    <n v="4"/>
    <x v="2"/>
    <s v="555-9269"/>
    <x v="0"/>
    <s v="Pool|Elevator"/>
  </r>
  <r>
    <n v="2464"/>
    <s v="Property 2464"/>
    <x v="1"/>
    <x v="1"/>
    <n v="837091"/>
    <d v="2024-01-29T00:00:00"/>
    <x v="1"/>
    <m/>
    <n v="2005"/>
    <x v="1"/>
    <n v="6"/>
    <n v="5"/>
    <x v="0"/>
    <n v="2000"/>
    <m/>
    <n v="1"/>
    <x v="2"/>
    <s v="555-9963"/>
    <x v="1"/>
    <s v="Gym|Barn|Pool"/>
  </r>
  <r>
    <n v="2465"/>
    <s v="Property 2465"/>
    <x v="1"/>
    <x v="1"/>
    <n v="934370"/>
    <d v="2024-08-28T00:00:00"/>
    <x v="150"/>
    <n v="969066"/>
    <n v="1376"/>
    <x v="738"/>
    <n v="3"/>
    <n v="5"/>
    <x v="0"/>
    <n v="2015"/>
    <m/>
    <n v="3"/>
    <x v="5"/>
    <s v="555-1225"/>
    <x v="0"/>
    <s v="Sauna|Fireplace|Garden"/>
  </r>
  <r>
    <n v="2466"/>
    <s v="Property 2466"/>
    <x v="3"/>
    <x v="1"/>
    <n v="330195"/>
    <d v="2024-11-16T00:00:00"/>
    <x v="1"/>
    <m/>
    <n v="2052"/>
    <x v="1"/>
    <n v="2"/>
    <n v="3"/>
    <x v="3"/>
    <n v="2003"/>
    <n v="1"/>
    <n v="4"/>
    <x v="1"/>
    <s v="555-9017"/>
    <x v="1"/>
    <s v="Elevator"/>
  </r>
  <r>
    <n v="2467"/>
    <s v="Property 2467"/>
    <x v="4"/>
    <x v="0"/>
    <n v="939242"/>
    <d v="2024-06-11T00:00:00"/>
    <x v="1"/>
    <m/>
    <n v="4420"/>
    <x v="1"/>
    <n v="4"/>
    <n v="2"/>
    <x v="1"/>
    <n v="2020"/>
    <n v="9"/>
    <n v="1"/>
    <x v="2"/>
    <s v="555-9439"/>
    <x v="1"/>
    <s v="Garage"/>
  </r>
  <r>
    <n v="2468"/>
    <s v="Property 2468"/>
    <x v="3"/>
    <x v="2"/>
    <n v="774001"/>
    <d v="2024-05-07T00:00:00"/>
    <x v="313"/>
    <n v="793997"/>
    <n v="3217"/>
    <x v="739"/>
    <n v="2"/>
    <n v="2"/>
    <x v="3"/>
    <n v="2013"/>
    <n v="3"/>
    <n v="1"/>
    <x v="3"/>
    <s v="555-1310"/>
    <x v="0"/>
    <s v="Sauna|Garden"/>
  </r>
  <r>
    <n v="2469"/>
    <s v="Property 2469"/>
    <x v="3"/>
    <x v="0"/>
    <n v="612153"/>
    <d v="2024-08-09T00:00:00"/>
    <x v="1"/>
    <m/>
    <n v="3882"/>
    <x v="1"/>
    <n v="2"/>
    <n v="4"/>
    <x v="0"/>
    <n v="2001"/>
    <m/>
    <n v="1"/>
    <x v="3"/>
    <s v="555-6897"/>
    <x v="1"/>
    <s v="Sauna|Barn"/>
  </r>
  <r>
    <n v="2470"/>
    <s v="Property 2470"/>
    <x v="2"/>
    <x v="0"/>
    <n v="965697"/>
    <d v="2024-11-22T00:00:00"/>
    <x v="185"/>
    <n v="981039"/>
    <n v="4039"/>
    <x v="740"/>
    <n v="6"/>
    <n v="4"/>
    <x v="1"/>
    <n v="2023"/>
    <n v="1"/>
    <n v="1"/>
    <x v="4"/>
    <s v="555-4886"/>
    <x v="0"/>
    <s v="Elevator|Fireplace|Gym"/>
  </r>
  <r>
    <n v="2471"/>
    <s v="Property 2471"/>
    <x v="2"/>
    <x v="2"/>
    <n v="560085"/>
    <d v="2024-08-09T00:00:00"/>
    <x v="1"/>
    <m/>
    <n v="3805"/>
    <x v="1"/>
    <n v="2"/>
    <n v="5"/>
    <x v="1"/>
    <n v="2003"/>
    <n v="5"/>
    <n v="1"/>
    <x v="5"/>
    <s v="555-3933"/>
    <x v="1"/>
    <s v="Barn"/>
  </r>
  <r>
    <n v="2472"/>
    <s v="Property 2472"/>
    <x v="0"/>
    <x v="1"/>
    <n v="862007"/>
    <d v="2024-07-30T00:00:00"/>
    <x v="314"/>
    <n v="877586"/>
    <n v="3234"/>
    <x v="741"/>
    <n v="2"/>
    <n v="5"/>
    <x v="2"/>
    <n v="2012"/>
    <n v="10"/>
    <n v="3"/>
    <x v="9"/>
    <s v="555-8850"/>
    <x v="0"/>
    <s v="Garden"/>
  </r>
  <r>
    <n v="2473"/>
    <s v="Property 2473"/>
    <x v="3"/>
    <x v="0"/>
    <n v="827364"/>
    <d v="2024-04-13T00:00:00"/>
    <x v="287"/>
    <n v="840083"/>
    <n v="1349"/>
    <x v="742"/>
    <n v="6"/>
    <n v="4"/>
    <x v="3"/>
    <n v="2019"/>
    <n v="3"/>
    <n v="4"/>
    <x v="0"/>
    <s v="555-3594"/>
    <x v="0"/>
    <s v="Fireplace|Barn"/>
  </r>
  <r>
    <n v="2474"/>
    <s v="Property 2474"/>
    <x v="4"/>
    <x v="1"/>
    <n v="561142"/>
    <d v="2024-02-19T00:00:00"/>
    <x v="40"/>
    <n v="594525"/>
    <n v="2557"/>
    <x v="743"/>
    <n v="4"/>
    <n v="2"/>
    <x v="0"/>
    <n v="2009"/>
    <m/>
    <n v="3"/>
    <x v="9"/>
    <s v="555-2865"/>
    <x v="0"/>
    <s v="Garden"/>
  </r>
  <r>
    <n v="2475"/>
    <s v="Property 2475"/>
    <x v="0"/>
    <x v="1"/>
    <n v="548280"/>
    <d v="2024-04-18T00:00:00"/>
    <x v="1"/>
    <m/>
    <n v="3928"/>
    <x v="1"/>
    <n v="5"/>
    <n v="2"/>
    <x v="2"/>
    <n v="2002"/>
    <n v="10"/>
    <n v="4"/>
    <x v="6"/>
    <s v="555-6946"/>
    <x v="1"/>
    <s v="Elevator|Fireplace|Sauna"/>
  </r>
  <r>
    <n v="2476"/>
    <s v="Property 2476"/>
    <x v="3"/>
    <x v="1"/>
    <n v="526648"/>
    <d v="2024-03-19T00:00:00"/>
    <x v="253"/>
    <n v="549576"/>
    <n v="4672"/>
    <x v="744"/>
    <n v="6"/>
    <n v="5"/>
    <x v="2"/>
    <n v="2014"/>
    <n v="6"/>
    <n v="3"/>
    <x v="7"/>
    <s v="555-8595"/>
    <x v="0"/>
    <s v="Fireplace|Elevator|Gym|Garden"/>
  </r>
  <r>
    <n v="2477"/>
    <s v="Property 2477"/>
    <x v="1"/>
    <x v="1"/>
    <n v="982198"/>
    <d v="2024-10-12T00:00:00"/>
    <x v="1"/>
    <m/>
    <n v="3560"/>
    <x v="1"/>
    <n v="5"/>
    <n v="2"/>
    <x v="3"/>
    <n v="2014"/>
    <n v="9"/>
    <n v="2"/>
    <x v="2"/>
    <s v="555-4399"/>
    <x v="1"/>
    <s v="Fireplace|Barn"/>
  </r>
  <r>
    <n v="2478"/>
    <s v="Property 2478"/>
    <x v="3"/>
    <x v="2"/>
    <n v="428342"/>
    <d v="2024-03-30T00:00:00"/>
    <x v="1"/>
    <m/>
    <n v="1792"/>
    <x v="1"/>
    <n v="5"/>
    <n v="5"/>
    <x v="0"/>
    <n v="2004"/>
    <m/>
    <n v="4"/>
    <x v="3"/>
    <s v="555-6017"/>
    <x v="1"/>
    <s v="Elevator|Pool"/>
  </r>
  <r>
    <n v="2479"/>
    <s v="Property 2479"/>
    <x v="4"/>
    <x v="0"/>
    <n v="993458"/>
    <d v="2024-03-04T00:00:00"/>
    <x v="79"/>
    <n v="1032015"/>
    <n v="3745"/>
    <x v="745"/>
    <n v="4"/>
    <n v="4"/>
    <x v="3"/>
    <n v="2005"/>
    <n v="2"/>
    <n v="4"/>
    <x v="7"/>
    <s v="555-5199"/>
    <x v="0"/>
    <s v="Sauna|Barn|Garage"/>
  </r>
  <r>
    <n v="2480"/>
    <s v="Property 2480"/>
    <x v="4"/>
    <x v="2"/>
    <n v="877137"/>
    <d v="2024-10-05T00:00:00"/>
    <x v="1"/>
    <m/>
    <n v="4677"/>
    <x v="1"/>
    <n v="2"/>
    <n v="2"/>
    <x v="3"/>
    <n v="2019"/>
    <n v="4"/>
    <n v="4"/>
    <x v="4"/>
    <s v="555-8149"/>
    <x v="1"/>
    <s v="Sauna|Pool"/>
  </r>
  <r>
    <n v="2481"/>
    <s v="Property 2481"/>
    <x v="3"/>
    <x v="1"/>
    <n v="758017"/>
    <d v="2024-02-04T00:00:00"/>
    <x v="273"/>
    <n v="768649"/>
    <n v="3004"/>
    <x v="746"/>
    <n v="3"/>
    <n v="2"/>
    <x v="0"/>
    <n v="2006"/>
    <m/>
    <n v="1"/>
    <x v="8"/>
    <s v="555-2648"/>
    <x v="0"/>
    <s v="Elevator|Gym|Fireplace|Pool"/>
  </r>
  <r>
    <n v="2482"/>
    <s v="Property 2482"/>
    <x v="4"/>
    <x v="0"/>
    <n v="484860"/>
    <d v="2024-12-06T00:00:00"/>
    <x v="1"/>
    <m/>
    <n v="3577"/>
    <x v="1"/>
    <n v="4"/>
    <n v="5"/>
    <x v="2"/>
    <n v="2017"/>
    <n v="8"/>
    <n v="3"/>
    <x v="8"/>
    <s v="555-4523"/>
    <x v="1"/>
    <s v="Elevator|Barn|Garden|Garage"/>
  </r>
  <r>
    <n v="2483"/>
    <s v="Property 2483"/>
    <x v="2"/>
    <x v="2"/>
    <n v="406805"/>
    <d v="2024-11-02T00:00:00"/>
    <x v="165"/>
    <n v="436145"/>
    <n v="4733"/>
    <x v="747"/>
    <n v="4"/>
    <n v="5"/>
    <x v="3"/>
    <n v="2006"/>
    <n v="4"/>
    <n v="1"/>
    <x v="4"/>
    <s v="555-9093"/>
    <x v="0"/>
    <s v="Barn|Elevator|Garden"/>
  </r>
  <r>
    <n v="2484"/>
    <s v="Property 2484"/>
    <x v="1"/>
    <x v="1"/>
    <n v="968071"/>
    <d v="2024-07-24T00:00:00"/>
    <x v="59"/>
    <n v="1002957"/>
    <n v="1681"/>
    <x v="748"/>
    <n v="4"/>
    <n v="2"/>
    <x v="0"/>
    <n v="2002"/>
    <m/>
    <n v="1"/>
    <x v="1"/>
    <s v="555-5662"/>
    <x v="0"/>
    <s v="Garden|Barn"/>
  </r>
  <r>
    <n v="2485"/>
    <s v="Property 2485"/>
    <x v="4"/>
    <x v="0"/>
    <n v="709507"/>
    <d v="2024-04-24T00:00:00"/>
    <x v="315"/>
    <n v="750854"/>
    <n v="1652"/>
    <x v="749"/>
    <n v="5"/>
    <n v="4"/>
    <x v="3"/>
    <n v="2005"/>
    <n v="3"/>
    <n v="1"/>
    <x v="0"/>
    <s v="555-5095"/>
    <x v="0"/>
    <s v="Sauna"/>
  </r>
  <r>
    <n v="2486"/>
    <s v="Property 2486"/>
    <x v="0"/>
    <x v="2"/>
    <n v="691971"/>
    <d v="2024-03-07T00:00:00"/>
    <x v="1"/>
    <m/>
    <n v="3133"/>
    <x v="1"/>
    <n v="3"/>
    <n v="3"/>
    <x v="0"/>
    <n v="2014"/>
    <m/>
    <n v="1"/>
    <x v="4"/>
    <s v="555-6842"/>
    <x v="1"/>
    <s v="Garage"/>
  </r>
  <r>
    <n v="2487"/>
    <s v="Property 2487"/>
    <x v="0"/>
    <x v="2"/>
    <n v="748132"/>
    <d v="2024-02-27T00:00:00"/>
    <x v="265"/>
    <n v="786021"/>
    <n v="1565"/>
    <x v="750"/>
    <n v="5"/>
    <n v="3"/>
    <x v="0"/>
    <n v="2017"/>
    <m/>
    <n v="2"/>
    <x v="4"/>
    <s v="555-2396"/>
    <x v="0"/>
    <s v="Pool|Sauna|Fireplace"/>
  </r>
  <r>
    <n v="2488"/>
    <s v="Property 2488"/>
    <x v="0"/>
    <x v="1"/>
    <n v="521958"/>
    <d v="2024-04-12T00:00:00"/>
    <x v="316"/>
    <n v="563433"/>
    <n v="4347"/>
    <x v="751"/>
    <n v="3"/>
    <n v="5"/>
    <x v="3"/>
    <n v="2006"/>
    <n v="9"/>
    <n v="1"/>
    <x v="1"/>
    <s v="555-2066"/>
    <x v="0"/>
    <s v="Sauna"/>
  </r>
  <r>
    <n v="2489"/>
    <s v="Property 2489"/>
    <x v="0"/>
    <x v="1"/>
    <n v="402771"/>
    <d v="2024-06-22T00:00:00"/>
    <x v="275"/>
    <n v="436249"/>
    <n v="3982"/>
    <x v="752"/>
    <n v="2"/>
    <n v="3"/>
    <x v="0"/>
    <n v="2000"/>
    <m/>
    <n v="4"/>
    <x v="2"/>
    <s v="555-5428"/>
    <x v="0"/>
    <s v="Barn|Gym|Pool"/>
  </r>
  <r>
    <n v="2490"/>
    <s v="Property 2490"/>
    <x v="0"/>
    <x v="2"/>
    <n v="679654"/>
    <d v="2024-09-20T00:00:00"/>
    <x v="1"/>
    <m/>
    <n v="3118"/>
    <x v="1"/>
    <n v="2"/>
    <n v="5"/>
    <x v="1"/>
    <n v="2016"/>
    <n v="10"/>
    <n v="1"/>
    <x v="5"/>
    <s v="555-6676"/>
    <x v="1"/>
    <s v="Sauna|Pool|Gym"/>
  </r>
  <r>
    <n v="2491"/>
    <s v="Property 2491"/>
    <x v="0"/>
    <x v="2"/>
    <n v="486430"/>
    <d v="2024-02-14T00:00:00"/>
    <x v="243"/>
    <n v="505029"/>
    <n v="1957"/>
    <x v="753"/>
    <n v="3"/>
    <n v="3"/>
    <x v="0"/>
    <n v="2013"/>
    <m/>
    <n v="3"/>
    <x v="0"/>
    <s v="555-6923"/>
    <x v="0"/>
    <s v="Gym|Garden|Garage|Barn"/>
  </r>
  <r>
    <n v="2492"/>
    <s v="Property 2492"/>
    <x v="0"/>
    <x v="1"/>
    <n v="429950"/>
    <d v="2024-08-28T00:00:00"/>
    <x v="172"/>
    <n v="467512"/>
    <n v="3156"/>
    <x v="754"/>
    <n v="5"/>
    <n v="5"/>
    <x v="3"/>
    <n v="2017"/>
    <n v="2"/>
    <n v="2"/>
    <x v="0"/>
    <s v="555-1431"/>
    <x v="0"/>
    <s v="Elevator|Sauna|Fireplace"/>
  </r>
  <r>
    <n v="2493"/>
    <s v="Property 2493"/>
    <x v="0"/>
    <x v="2"/>
    <n v="601373"/>
    <d v="2024-08-28T00:00:00"/>
    <x v="1"/>
    <m/>
    <n v="3908"/>
    <x v="1"/>
    <n v="2"/>
    <n v="2"/>
    <x v="2"/>
    <n v="2015"/>
    <n v="5"/>
    <n v="3"/>
    <x v="6"/>
    <s v="555-4542"/>
    <x v="1"/>
    <s v="Pool"/>
  </r>
  <r>
    <n v="2494"/>
    <s v="Property 2494"/>
    <x v="4"/>
    <x v="2"/>
    <n v="470141"/>
    <d v="2024-04-14T00:00:00"/>
    <x v="317"/>
    <n v="512360"/>
    <n v="4395"/>
    <x v="755"/>
    <n v="6"/>
    <n v="3"/>
    <x v="2"/>
    <n v="2011"/>
    <n v="1"/>
    <n v="1"/>
    <x v="0"/>
    <s v="555-7076"/>
    <x v="0"/>
    <s v="Garage|Gym"/>
  </r>
  <r>
    <n v="2495"/>
    <s v="Property 2495"/>
    <x v="1"/>
    <x v="2"/>
    <n v="771008"/>
    <d v="2024-04-20T00:00:00"/>
    <x v="59"/>
    <n v="789746"/>
    <n v="4547"/>
    <x v="756"/>
    <n v="3"/>
    <n v="5"/>
    <x v="0"/>
    <n v="2017"/>
    <m/>
    <n v="3"/>
    <x v="0"/>
    <s v="555-6699"/>
    <x v="0"/>
    <s v="Garden|Garage|Gym|Barn"/>
  </r>
  <r>
    <n v="2496"/>
    <s v="Property 2496"/>
    <x v="4"/>
    <x v="1"/>
    <n v="613755"/>
    <d v="2024-11-01T00:00:00"/>
    <x v="103"/>
    <n v="630449"/>
    <n v="1432"/>
    <x v="757"/>
    <n v="3"/>
    <n v="4"/>
    <x v="1"/>
    <n v="2012"/>
    <n v="6"/>
    <n v="1"/>
    <x v="5"/>
    <s v="555-8674"/>
    <x v="0"/>
    <s v="Gym|Garage|Barn"/>
  </r>
  <r>
    <n v="2497"/>
    <s v="Property 2497"/>
    <x v="2"/>
    <x v="2"/>
    <n v="741533"/>
    <d v="2024-11-27T00:00:00"/>
    <x v="237"/>
    <n v="778410"/>
    <n v="4739"/>
    <x v="758"/>
    <n v="2"/>
    <n v="4"/>
    <x v="2"/>
    <n v="2000"/>
    <n v="3"/>
    <n v="1"/>
    <x v="0"/>
    <s v="555-5682"/>
    <x v="0"/>
    <s v="Elevator|Barn|Garden|Fireplace"/>
  </r>
  <r>
    <n v="2498"/>
    <s v="Property 2498"/>
    <x v="1"/>
    <x v="0"/>
    <n v="945632"/>
    <d v="2024-11-20T00:00:00"/>
    <x v="1"/>
    <m/>
    <n v="2788"/>
    <x v="1"/>
    <n v="6"/>
    <n v="3"/>
    <x v="1"/>
    <n v="2007"/>
    <n v="1"/>
    <n v="2"/>
    <x v="2"/>
    <s v="555-4421"/>
    <x v="1"/>
    <s v="Garage|Pool|Garden|Barn"/>
  </r>
  <r>
    <n v="2499"/>
    <s v="Property 2499"/>
    <x v="0"/>
    <x v="0"/>
    <n v="351546"/>
    <d v="2023-12-25T00:00:00"/>
    <x v="1"/>
    <m/>
    <n v="4528"/>
    <x v="1"/>
    <n v="4"/>
    <n v="3"/>
    <x v="2"/>
    <n v="2005"/>
    <n v="8"/>
    <n v="2"/>
    <x v="2"/>
    <s v="555-2805"/>
    <x v="1"/>
    <s v="Garden|Fireplace|Garage"/>
  </r>
  <r>
    <n v="2500"/>
    <s v="Property 2500"/>
    <x v="4"/>
    <x v="0"/>
    <n v="696146"/>
    <d v="2024-01-17T00:00:00"/>
    <x v="246"/>
    <n v="739920"/>
    <n v="2446"/>
    <x v="759"/>
    <n v="2"/>
    <n v="4"/>
    <x v="2"/>
    <n v="2017"/>
    <n v="5"/>
    <n v="4"/>
    <x v="5"/>
    <s v="555-7556"/>
    <x v="0"/>
    <s v="Sauna|Poo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1259C1-3EFA-4CCF-B464-056407834F4B}"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ate">
  <location ref="A3:B19" firstHeaderRow="1" firstDataRow="1" firstDataCol="1"/>
  <pivotFields count="23">
    <pivotField showAll="0"/>
    <pivotField showAll="0"/>
    <pivotField showAll="0">
      <items count="6">
        <item x="1"/>
        <item x="2"/>
        <item x="4"/>
        <item x="0"/>
        <item x="3"/>
        <item t="default"/>
      </items>
    </pivotField>
    <pivotField showAll="0"/>
    <pivotField showAll="0"/>
    <pivotField numFmtId="14" showAll="0"/>
    <pivotField showAll="0">
      <items count="319">
        <item x="262"/>
        <item x="207"/>
        <item x="113"/>
        <item x="300"/>
        <item x="279"/>
        <item x="90"/>
        <item x="312"/>
        <item x="78"/>
        <item x="81"/>
        <item x="59"/>
        <item x="94"/>
        <item x="14"/>
        <item x="239"/>
        <item x="259"/>
        <item x="230"/>
        <item x="153"/>
        <item x="88"/>
        <item x="64"/>
        <item x="36"/>
        <item x="35"/>
        <item x="151"/>
        <item x="67"/>
        <item x="224"/>
        <item x="313"/>
        <item x="190"/>
        <item x="57"/>
        <item x="265"/>
        <item x="105"/>
        <item x="216"/>
        <item x="277"/>
        <item x="182"/>
        <item x="271"/>
        <item x="281"/>
        <item x="50"/>
        <item x="308"/>
        <item x="136"/>
        <item x="314"/>
        <item x="235"/>
        <item x="155"/>
        <item x="150"/>
        <item x="250"/>
        <item x="23"/>
        <item x="2"/>
        <item x="138"/>
        <item x="127"/>
        <item x="301"/>
        <item x="142"/>
        <item x="167"/>
        <item x="53"/>
        <item x="141"/>
        <item x="214"/>
        <item x="284"/>
        <item x="129"/>
        <item x="238"/>
        <item x="139"/>
        <item x="255"/>
        <item x="80"/>
        <item x="96"/>
        <item x="180"/>
        <item x="126"/>
        <item x="192"/>
        <item x="227"/>
        <item x="117"/>
        <item x="5"/>
        <item x="252"/>
        <item x="310"/>
        <item x="289"/>
        <item x="309"/>
        <item x="25"/>
        <item x="68"/>
        <item x="294"/>
        <item x="114"/>
        <item x="18"/>
        <item x="266"/>
        <item x="242"/>
        <item x="225"/>
        <item x="296"/>
        <item x="199"/>
        <item x="56"/>
        <item x="70"/>
        <item x="42"/>
        <item x="247"/>
        <item x="241"/>
        <item x="20"/>
        <item x="144"/>
        <item x="264"/>
        <item x="210"/>
        <item x="47"/>
        <item x="226"/>
        <item x="278"/>
        <item x="193"/>
        <item x="147"/>
        <item x="295"/>
        <item x="260"/>
        <item x="249"/>
        <item x="194"/>
        <item x="257"/>
        <item x="132"/>
        <item x="102"/>
        <item x="77"/>
        <item x="270"/>
        <item x="44"/>
        <item x="48"/>
        <item x="222"/>
        <item x="181"/>
        <item x="285"/>
        <item x="93"/>
        <item x="101"/>
        <item x="231"/>
        <item x="99"/>
        <item x="130"/>
        <item x="290"/>
        <item x="12"/>
        <item x="107"/>
        <item x="291"/>
        <item x="209"/>
        <item x="16"/>
        <item x="195"/>
        <item x="17"/>
        <item x="215"/>
        <item x="148"/>
        <item x="40"/>
        <item x="133"/>
        <item x="135"/>
        <item x="92"/>
        <item x="162"/>
        <item x="293"/>
        <item x="49"/>
        <item x="19"/>
        <item x="256"/>
        <item x="66"/>
        <item x="187"/>
        <item x="4"/>
        <item x="58"/>
        <item x="188"/>
        <item x="21"/>
        <item x="115"/>
        <item x="30"/>
        <item x="219"/>
        <item x="172"/>
        <item x="121"/>
        <item x="232"/>
        <item x="143"/>
        <item x="10"/>
        <item x="87"/>
        <item x="263"/>
        <item x="111"/>
        <item x="229"/>
        <item x="261"/>
        <item x="160"/>
        <item x="7"/>
        <item x="158"/>
        <item x="0"/>
        <item x="276"/>
        <item x="131"/>
        <item x="46"/>
        <item x="15"/>
        <item x="149"/>
        <item x="74"/>
        <item x="302"/>
        <item x="108"/>
        <item x="267"/>
        <item x="305"/>
        <item x="84"/>
        <item x="32"/>
        <item x="54"/>
        <item x="177"/>
        <item x="134"/>
        <item x="3"/>
        <item x="175"/>
        <item x="254"/>
        <item x="221"/>
        <item x="8"/>
        <item x="137"/>
        <item x="124"/>
        <item x="253"/>
        <item x="103"/>
        <item x="292"/>
        <item x="71"/>
        <item x="204"/>
        <item x="203"/>
        <item x="189"/>
        <item x="98"/>
        <item x="272"/>
        <item x="286"/>
        <item x="202"/>
        <item x="11"/>
        <item x="274"/>
        <item x="307"/>
        <item x="196"/>
        <item x="198"/>
        <item x="31"/>
        <item x="212"/>
        <item x="223"/>
        <item x="304"/>
        <item x="55"/>
        <item x="63"/>
        <item x="51"/>
        <item x="83"/>
        <item x="34"/>
        <item x="185"/>
        <item x="112"/>
        <item x="186"/>
        <item x="200"/>
        <item x="86"/>
        <item x="75"/>
        <item x="217"/>
        <item x="106"/>
        <item x="168"/>
        <item x="166"/>
        <item x="165"/>
        <item x="201"/>
        <item x="283"/>
        <item x="234"/>
        <item x="280"/>
        <item x="28"/>
        <item x="146"/>
        <item x="38"/>
        <item x="13"/>
        <item x="109"/>
        <item x="315"/>
        <item x="116"/>
        <item x="69"/>
        <item x="41"/>
        <item x="156"/>
        <item x="26"/>
        <item x="72"/>
        <item x="154"/>
        <item x="122"/>
        <item x="24"/>
        <item x="220"/>
        <item x="37"/>
        <item x="184"/>
        <item x="174"/>
        <item x="157"/>
        <item x="169"/>
        <item x="228"/>
        <item x="218"/>
        <item x="317"/>
        <item x="6"/>
        <item x="246"/>
        <item x="288"/>
        <item x="233"/>
        <item x="97"/>
        <item x="161"/>
        <item x="145"/>
        <item x="205"/>
        <item x="125"/>
        <item x="173"/>
        <item x="282"/>
        <item x="213"/>
        <item x="251"/>
        <item x="268"/>
        <item x="179"/>
        <item x="197"/>
        <item x="237"/>
        <item x="9"/>
        <item x="45"/>
        <item x="243"/>
        <item x="191"/>
        <item x="123"/>
        <item x="120"/>
        <item x="206"/>
        <item x="269"/>
        <item x="79"/>
        <item x="244"/>
        <item x="43"/>
        <item x="152"/>
        <item x="110"/>
        <item x="236"/>
        <item x="306"/>
        <item x="297"/>
        <item x="287"/>
        <item x="76"/>
        <item x="183"/>
        <item x="208"/>
        <item x="178"/>
        <item x="82"/>
        <item x="62"/>
        <item x="61"/>
        <item x="33"/>
        <item x="240"/>
        <item x="95"/>
        <item x="73"/>
        <item x="159"/>
        <item x="104"/>
        <item x="91"/>
        <item x="118"/>
        <item x="163"/>
        <item x="248"/>
        <item x="211"/>
        <item x="311"/>
        <item x="298"/>
        <item x="258"/>
        <item x="27"/>
        <item x="128"/>
        <item x="245"/>
        <item x="299"/>
        <item x="100"/>
        <item x="140"/>
        <item x="171"/>
        <item x="85"/>
        <item x="316"/>
        <item x="22"/>
        <item x="303"/>
        <item x="52"/>
        <item x="275"/>
        <item x="164"/>
        <item x="170"/>
        <item x="29"/>
        <item x="119"/>
        <item x="39"/>
        <item x="176"/>
        <item x="65"/>
        <item x="89"/>
        <item x="273"/>
        <item x="60"/>
        <item x="1"/>
        <item t="default"/>
      </items>
    </pivotField>
    <pivotField showAll="0"/>
    <pivotField showAll="0"/>
    <pivotField dataField="1" showAll="0"/>
    <pivotField showAll="0"/>
    <pivotField showAll="0"/>
    <pivotField showAll="0">
      <items count="5">
        <item x="3"/>
        <item x="0"/>
        <item x="2"/>
        <item x="1"/>
        <item t="default"/>
      </items>
    </pivotField>
    <pivotField showAll="0"/>
    <pivotField showAll="0"/>
    <pivotField showAll="0"/>
    <pivotField showAll="0">
      <items count="11">
        <item x="7"/>
        <item x="8"/>
        <item x="6"/>
        <item x="0"/>
        <item x="9"/>
        <item x="2"/>
        <item x="1"/>
        <item x="5"/>
        <item x="4"/>
        <item x="3"/>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axis="axisRow" showAll="0">
      <items count="5">
        <item h="1" sd="0" x="0"/>
        <item x="1"/>
        <item x="2"/>
        <item h="1" sd="0" x="3"/>
        <item t="default"/>
      </items>
    </pivotField>
  </pivotFields>
  <rowFields count="2">
    <field x="22"/>
    <field x="20"/>
  </rowFields>
  <rowItems count="16">
    <i>
      <x v="1"/>
    </i>
    <i r="1">
      <x v="12"/>
    </i>
    <i>
      <x v="2"/>
    </i>
    <i r="1">
      <x v="1"/>
    </i>
    <i r="1">
      <x v="2"/>
    </i>
    <i r="1">
      <x v="3"/>
    </i>
    <i r="1">
      <x v="4"/>
    </i>
    <i r="1">
      <x v="5"/>
    </i>
    <i r="1">
      <x v="6"/>
    </i>
    <i r="1">
      <x v="7"/>
    </i>
    <i r="1">
      <x v="8"/>
    </i>
    <i r="1">
      <x v="9"/>
    </i>
    <i r="1">
      <x v="10"/>
    </i>
    <i r="1">
      <x v="11"/>
    </i>
    <i r="1">
      <x v="12"/>
    </i>
    <i t="grand">
      <x/>
    </i>
  </rowItems>
  <colItems count="1">
    <i/>
  </colItems>
  <dataFields count="1">
    <dataField name="Total_Revenue" fld="9" baseField="22" baseItem="1" numFmtId="165"/>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048C25-FD7B-43B2-866E-818E4AA3246B}"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Agents">
  <location ref="A3:B14" firstHeaderRow="1" firstDataRow="1" firstDataCol="1"/>
  <pivotFields count="23">
    <pivotField showAll="0"/>
    <pivotField showAll="0"/>
    <pivotField showAll="0">
      <items count="6">
        <item x="1"/>
        <item x="2"/>
        <item x="4"/>
        <item x="0"/>
        <item x="3"/>
        <item t="default"/>
      </items>
    </pivotField>
    <pivotField showAll="0"/>
    <pivotField showAll="0"/>
    <pivotField numFmtId="14" showAll="0"/>
    <pivotField showAll="0">
      <items count="319">
        <item x="262"/>
        <item x="207"/>
        <item x="113"/>
        <item x="300"/>
        <item x="279"/>
        <item x="90"/>
        <item x="312"/>
        <item x="78"/>
        <item x="81"/>
        <item x="59"/>
        <item x="94"/>
        <item x="14"/>
        <item x="239"/>
        <item x="259"/>
        <item x="230"/>
        <item x="153"/>
        <item x="88"/>
        <item x="64"/>
        <item x="36"/>
        <item x="35"/>
        <item x="151"/>
        <item x="67"/>
        <item x="224"/>
        <item x="313"/>
        <item x="190"/>
        <item x="57"/>
        <item x="265"/>
        <item x="105"/>
        <item x="216"/>
        <item x="277"/>
        <item x="182"/>
        <item x="271"/>
        <item x="281"/>
        <item x="50"/>
        <item x="308"/>
        <item x="136"/>
        <item x="314"/>
        <item x="235"/>
        <item x="155"/>
        <item x="150"/>
        <item x="250"/>
        <item x="23"/>
        <item x="2"/>
        <item x="138"/>
        <item x="127"/>
        <item x="301"/>
        <item x="142"/>
        <item x="167"/>
        <item x="53"/>
        <item x="141"/>
        <item x="214"/>
        <item x="284"/>
        <item x="129"/>
        <item x="238"/>
        <item x="139"/>
        <item x="255"/>
        <item x="80"/>
        <item x="96"/>
        <item x="180"/>
        <item x="126"/>
        <item x="192"/>
        <item x="227"/>
        <item x="117"/>
        <item x="5"/>
        <item x="252"/>
        <item x="310"/>
        <item x="289"/>
        <item x="309"/>
        <item x="25"/>
        <item x="68"/>
        <item x="294"/>
        <item x="114"/>
        <item x="18"/>
        <item x="266"/>
        <item x="242"/>
        <item x="225"/>
        <item x="296"/>
        <item x="199"/>
        <item x="56"/>
        <item x="70"/>
        <item x="42"/>
        <item x="247"/>
        <item x="241"/>
        <item x="20"/>
        <item x="144"/>
        <item x="264"/>
        <item x="210"/>
        <item x="47"/>
        <item x="226"/>
        <item x="278"/>
        <item x="193"/>
        <item x="147"/>
        <item x="295"/>
        <item x="260"/>
        <item x="249"/>
        <item x="194"/>
        <item x="257"/>
        <item x="132"/>
        <item x="102"/>
        <item x="77"/>
        <item x="270"/>
        <item x="44"/>
        <item x="48"/>
        <item x="222"/>
        <item x="181"/>
        <item x="285"/>
        <item x="93"/>
        <item x="101"/>
        <item x="231"/>
        <item x="99"/>
        <item x="130"/>
        <item x="290"/>
        <item x="12"/>
        <item x="107"/>
        <item x="291"/>
        <item x="209"/>
        <item x="16"/>
        <item x="195"/>
        <item x="17"/>
        <item x="215"/>
        <item x="148"/>
        <item x="40"/>
        <item x="133"/>
        <item x="135"/>
        <item x="92"/>
        <item x="162"/>
        <item x="293"/>
        <item x="49"/>
        <item x="19"/>
        <item x="256"/>
        <item x="66"/>
        <item x="187"/>
        <item x="4"/>
        <item x="58"/>
        <item x="188"/>
        <item x="21"/>
        <item x="115"/>
        <item x="30"/>
        <item x="219"/>
        <item x="172"/>
        <item x="121"/>
        <item x="232"/>
        <item x="143"/>
        <item x="10"/>
        <item x="87"/>
        <item x="263"/>
        <item x="111"/>
        <item x="229"/>
        <item x="261"/>
        <item x="160"/>
        <item x="7"/>
        <item x="158"/>
        <item x="0"/>
        <item x="276"/>
        <item x="131"/>
        <item x="46"/>
        <item x="15"/>
        <item x="149"/>
        <item x="74"/>
        <item x="302"/>
        <item x="108"/>
        <item x="267"/>
        <item x="305"/>
        <item x="84"/>
        <item x="32"/>
        <item x="54"/>
        <item x="177"/>
        <item x="134"/>
        <item x="3"/>
        <item x="175"/>
        <item x="254"/>
        <item x="221"/>
        <item x="8"/>
        <item x="137"/>
        <item x="124"/>
        <item x="253"/>
        <item x="103"/>
        <item x="292"/>
        <item x="71"/>
        <item x="204"/>
        <item x="203"/>
        <item x="189"/>
        <item x="98"/>
        <item x="272"/>
        <item x="286"/>
        <item x="202"/>
        <item x="11"/>
        <item x="274"/>
        <item x="307"/>
        <item x="196"/>
        <item x="198"/>
        <item x="31"/>
        <item x="212"/>
        <item x="223"/>
        <item x="304"/>
        <item x="55"/>
        <item x="63"/>
        <item x="51"/>
        <item x="83"/>
        <item x="34"/>
        <item x="185"/>
        <item x="112"/>
        <item x="186"/>
        <item x="200"/>
        <item x="86"/>
        <item x="75"/>
        <item x="217"/>
        <item x="106"/>
        <item x="168"/>
        <item x="166"/>
        <item x="165"/>
        <item x="201"/>
        <item x="283"/>
        <item x="234"/>
        <item x="280"/>
        <item x="28"/>
        <item x="146"/>
        <item x="38"/>
        <item x="13"/>
        <item x="109"/>
        <item x="315"/>
        <item x="116"/>
        <item x="69"/>
        <item x="41"/>
        <item x="156"/>
        <item x="26"/>
        <item x="72"/>
        <item x="154"/>
        <item x="122"/>
        <item x="24"/>
        <item x="220"/>
        <item x="37"/>
        <item x="184"/>
        <item x="174"/>
        <item x="157"/>
        <item x="169"/>
        <item x="228"/>
        <item x="218"/>
        <item x="317"/>
        <item x="6"/>
        <item x="246"/>
        <item x="288"/>
        <item x="233"/>
        <item x="97"/>
        <item x="161"/>
        <item x="145"/>
        <item x="205"/>
        <item x="125"/>
        <item x="173"/>
        <item x="282"/>
        <item x="213"/>
        <item x="251"/>
        <item x="268"/>
        <item x="179"/>
        <item x="197"/>
        <item x="237"/>
        <item x="9"/>
        <item x="45"/>
        <item x="243"/>
        <item x="191"/>
        <item x="123"/>
        <item x="120"/>
        <item x="206"/>
        <item x="269"/>
        <item x="79"/>
        <item x="244"/>
        <item x="43"/>
        <item x="152"/>
        <item x="110"/>
        <item x="236"/>
        <item x="306"/>
        <item x="297"/>
        <item x="287"/>
        <item x="76"/>
        <item x="183"/>
        <item x="208"/>
        <item x="178"/>
        <item x="82"/>
        <item x="62"/>
        <item x="61"/>
        <item x="33"/>
        <item x="240"/>
        <item x="95"/>
        <item x="73"/>
        <item x="159"/>
        <item x="104"/>
        <item x="91"/>
        <item x="118"/>
        <item x="163"/>
        <item x="248"/>
        <item x="211"/>
        <item x="311"/>
        <item x="298"/>
        <item x="258"/>
        <item x="27"/>
        <item x="128"/>
        <item x="245"/>
        <item x="299"/>
        <item x="100"/>
        <item x="140"/>
        <item x="171"/>
        <item x="85"/>
        <item x="316"/>
        <item x="22"/>
        <item x="303"/>
        <item x="52"/>
        <item x="275"/>
        <item x="164"/>
        <item x="170"/>
        <item x="29"/>
        <item x="119"/>
        <item x="39"/>
        <item x="176"/>
        <item x="65"/>
        <item x="89"/>
        <item x="273"/>
        <item x="60"/>
        <item x="1"/>
        <item t="default"/>
      </items>
    </pivotField>
    <pivotField showAll="0"/>
    <pivotField showAll="0"/>
    <pivotField dataField="1" showAll="0">
      <items count="761">
        <item x="12"/>
        <item x="114"/>
        <item x="637"/>
        <item x="638"/>
        <item x="561"/>
        <item x="78"/>
        <item x="509"/>
        <item x="658"/>
        <item x="622"/>
        <item x="274"/>
        <item x="327"/>
        <item x="300"/>
        <item x="521"/>
        <item x="406"/>
        <item x="492"/>
        <item x="51"/>
        <item x="508"/>
        <item x="47"/>
        <item x="230"/>
        <item x="279"/>
        <item x="379"/>
        <item x="593"/>
        <item x="402"/>
        <item x="623"/>
        <item x="104"/>
        <item x="619"/>
        <item x="36"/>
        <item x="169"/>
        <item x="151"/>
        <item x="598"/>
        <item x="301"/>
        <item x="390"/>
        <item x="5"/>
        <item x="650"/>
        <item x="10"/>
        <item x="729"/>
        <item x="16"/>
        <item x="723"/>
        <item x="513"/>
        <item x="113"/>
        <item x="426"/>
        <item x="608"/>
        <item x="296"/>
        <item x="353"/>
        <item x="14"/>
        <item x="471"/>
        <item x="350"/>
        <item x="19"/>
        <item x="204"/>
        <item x="173"/>
        <item x="122"/>
        <item x="667"/>
        <item x="29"/>
        <item x="228"/>
        <item x="700"/>
        <item x="553"/>
        <item x="690"/>
        <item x="117"/>
        <item x="602"/>
        <item x="435"/>
        <item x="644"/>
        <item x="418"/>
        <item x="594"/>
        <item x="694"/>
        <item x="325"/>
        <item x="433"/>
        <item x="312"/>
        <item x="715"/>
        <item x="256"/>
        <item x="571"/>
        <item x="375"/>
        <item x="302"/>
        <item x="498"/>
        <item x="160"/>
        <item x="163"/>
        <item x="440"/>
        <item x="465"/>
        <item x="348"/>
        <item x="401"/>
        <item x="41"/>
        <item x="641"/>
        <item x="320"/>
        <item x="689"/>
        <item x="659"/>
        <item x="105"/>
        <item x="534"/>
        <item x="424"/>
        <item x="74"/>
        <item x="640"/>
        <item x="268"/>
        <item x="272"/>
        <item x="447"/>
        <item x="26"/>
        <item x="9"/>
        <item x="445"/>
        <item x="757"/>
        <item x="136"/>
        <item x="166"/>
        <item x="538"/>
        <item x="601"/>
        <item x="174"/>
        <item x="238"/>
        <item x="360"/>
        <item x="92"/>
        <item x="63"/>
        <item x="373"/>
        <item x="306"/>
        <item x="585"/>
        <item x="661"/>
        <item x="548"/>
        <item x="400"/>
        <item x="234"/>
        <item x="245"/>
        <item x="477"/>
        <item x="33"/>
        <item x="753"/>
        <item x="240"/>
        <item x="491"/>
        <item x="192"/>
        <item x="71"/>
        <item x="680"/>
        <item x="504"/>
        <item x="190"/>
        <item x="415"/>
        <item x="119"/>
        <item x="259"/>
        <item x="162"/>
        <item x="459"/>
        <item x="197"/>
        <item x="184"/>
        <item x="398"/>
        <item x="88"/>
        <item x="134"/>
        <item x="732"/>
        <item x="462"/>
        <item x="684"/>
        <item x="248"/>
        <item x="21"/>
        <item x="734"/>
        <item x="102"/>
        <item x="610"/>
        <item x="591"/>
        <item x="600"/>
        <item x="85"/>
        <item x="128"/>
        <item x="211"/>
        <item x="434"/>
        <item x="651"/>
        <item x="188"/>
        <item x="453"/>
        <item x="535"/>
        <item x="599"/>
        <item x="724"/>
        <item x="111"/>
        <item x="189"/>
        <item x="568"/>
        <item x="165"/>
        <item x="255"/>
        <item x="706"/>
        <item x="648"/>
        <item x="250"/>
        <item x="42"/>
        <item x="62"/>
        <item x="603"/>
        <item x="693"/>
        <item x="606"/>
        <item x="336"/>
        <item x="408"/>
        <item x="742"/>
        <item x="717"/>
        <item x="67"/>
        <item x="455"/>
        <item x="387"/>
        <item x="625"/>
        <item x="551"/>
        <item x="639"/>
        <item x="140"/>
        <item x="324"/>
        <item x="528"/>
        <item x="736"/>
        <item x="679"/>
        <item x="185"/>
        <item x="72"/>
        <item x="333"/>
        <item x="31"/>
        <item x="253"/>
        <item x="131"/>
        <item x="356"/>
        <item x="227"/>
        <item x="655"/>
        <item x="346"/>
        <item x="573"/>
        <item x="172"/>
        <item x="709"/>
        <item x="130"/>
        <item x="181"/>
        <item x="156"/>
        <item x="35"/>
        <item x="750"/>
        <item x="208"/>
        <item x="337"/>
        <item x="112"/>
        <item x="437"/>
        <item x="578"/>
        <item x="23"/>
        <item x="749"/>
        <item x="155"/>
        <item x="456"/>
        <item x="685"/>
        <item x="139"/>
        <item x="344"/>
        <item x="595"/>
        <item x="678"/>
        <item x="115"/>
        <item x="205"/>
        <item x="446"/>
        <item x="225"/>
        <item x="388"/>
        <item x="153"/>
        <item x="427"/>
        <item x="200"/>
        <item x="478"/>
        <item x="614"/>
        <item x="566"/>
        <item x="699"/>
        <item x="66"/>
        <item x="554"/>
        <item x="54"/>
        <item x="46"/>
        <item x="738"/>
        <item x="7"/>
        <item x="704"/>
        <item x="38"/>
        <item x="428"/>
        <item x="277"/>
        <item x="533"/>
        <item x="702"/>
        <item x="444"/>
        <item x="359"/>
        <item x="149"/>
        <item x="597"/>
        <item x="458"/>
        <item x="645"/>
        <item x="28"/>
        <item x="329"/>
        <item x="176"/>
        <item x="669"/>
        <item x="668"/>
        <item x="691"/>
        <item x="686"/>
        <item x="496"/>
        <item x="232"/>
        <item x="634"/>
        <item x="653"/>
        <item x="613"/>
        <item x="226"/>
        <item x="48"/>
        <item x="404"/>
        <item x="264"/>
        <item x="460"/>
        <item x="180"/>
        <item x="89"/>
        <item x="430"/>
        <item x="212"/>
        <item x="249"/>
        <item x="632"/>
        <item x="70"/>
        <item x="53"/>
        <item x="94"/>
        <item x="675"/>
        <item x="712"/>
        <item x="656"/>
        <item x="318"/>
        <item x="330"/>
        <item x="499"/>
        <item x="611"/>
        <item x="754"/>
        <item x="451"/>
        <item x="524"/>
        <item x="642"/>
        <item x="269"/>
        <item x="503"/>
        <item x="559"/>
        <item x="246"/>
        <item x="743"/>
        <item x="378"/>
        <item x="480"/>
        <item x="243"/>
        <item x="643"/>
        <item x="61"/>
        <item x="380"/>
        <item x="512"/>
        <item x="696"/>
        <item x="544"/>
        <item x="242"/>
        <item x="335"/>
        <item x="342"/>
        <item x="201"/>
        <item x="666"/>
        <item x="267"/>
        <item x="413"/>
        <item x="57"/>
        <item x="75"/>
        <item x="727"/>
        <item x="319"/>
        <item x="392"/>
        <item x="97"/>
        <item x="629"/>
        <item x="278"/>
        <item x="735"/>
        <item x="283"/>
        <item x="298"/>
        <item x="144"/>
        <item x="96"/>
        <item x="605"/>
        <item x="372"/>
        <item x="100"/>
        <item x="414"/>
        <item x="216"/>
        <item x="81"/>
        <item x="307"/>
        <item x="280"/>
        <item x="412"/>
        <item x="101"/>
        <item x="251"/>
        <item x="698"/>
        <item x="541"/>
        <item x="532"/>
        <item x="8"/>
        <item x="560"/>
        <item x="39"/>
        <item x="728"/>
        <item x="501"/>
        <item x="394"/>
        <item x="590"/>
        <item x="748"/>
        <item x="129"/>
        <item x="328"/>
        <item x="409"/>
        <item x="620"/>
        <item x="215"/>
        <item x="730"/>
        <item x="476"/>
        <item x="30"/>
        <item x="108"/>
        <item x="711"/>
        <item x="469"/>
        <item x="518"/>
        <item x="309"/>
        <item x="542"/>
        <item x="448"/>
        <item x="84"/>
        <item x="385"/>
        <item x="193"/>
        <item x="752"/>
        <item x="58"/>
        <item x="64"/>
        <item x="103"/>
        <item x="443"/>
        <item x="146"/>
        <item x="310"/>
        <item x="464"/>
        <item x="339"/>
        <item x="683"/>
        <item x="569"/>
        <item x="450"/>
        <item x="368"/>
        <item x="357"/>
        <item x="261"/>
        <item x="624"/>
        <item x="369"/>
        <item x="759"/>
        <item x="442"/>
        <item x="580"/>
        <item x="239"/>
        <item x="273"/>
        <item x="439"/>
        <item x="374"/>
        <item x="229"/>
        <item x="303"/>
        <item x="358"/>
        <item x="221"/>
        <item x="90"/>
        <item x="621"/>
        <item x="297"/>
        <item x="244"/>
        <item x="332"/>
        <item x="703"/>
        <item x="120"/>
        <item x="726"/>
        <item x="556"/>
        <item x="676"/>
        <item x="15"/>
        <item x="483"/>
        <item x="517"/>
        <item x="147"/>
        <item x="617"/>
        <item x="219"/>
        <item x="213"/>
        <item x="287"/>
        <item x="241"/>
        <item x="157"/>
        <item x="687"/>
        <item x="154"/>
        <item x="32"/>
        <item x="529"/>
        <item x="254"/>
        <item x="142"/>
        <item x="514"/>
        <item x="137"/>
        <item x="627"/>
        <item x="271"/>
        <item x="44"/>
        <item x="633"/>
        <item x="549"/>
        <item x="106"/>
        <item x="705"/>
        <item x="577"/>
        <item x="45"/>
        <item x="73"/>
        <item x="109"/>
        <item x="562"/>
        <item x="284"/>
        <item x="543"/>
        <item x="537"/>
        <item x="236"/>
        <item x="40"/>
        <item x="124"/>
        <item x="266"/>
        <item x="308"/>
        <item x="79"/>
        <item x="362"/>
        <item x="237"/>
        <item x="436"/>
        <item x="376"/>
        <item x="488"/>
        <item x="747"/>
        <item x="323"/>
        <item x="416"/>
        <item x="125"/>
        <item x="98"/>
        <item x="202"/>
        <item x="164"/>
        <item x="707"/>
        <item x="141"/>
        <item x="664"/>
        <item x="6"/>
        <item x="485"/>
        <item x="570"/>
        <item x="365"/>
        <item x="575"/>
        <item x="386"/>
        <item x="507"/>
        <item x="563"/>
        <item x="364"/>
        <item x="317"/>
        <item x="497"/>
        <item x="515"/>
        <item x="186"/>
        <item x="432"/>
        <item x="431"/>
        <item x="502"/>
        <item x="290"/>
        <item x="198"/>
        <item x="381"/>
        <item x="207"/>
        <item x="313"/>
        <item x="99"/>
        <item x="391"/>
        <item x="27"/>
        <item x="148"/>
        <item x="670"/>
        <item x="220"/>
        <item x="86"/>
        <item x="91"/>
        <item x="737"/>
        <item x="135"/>
        <item x="231"/>
        <item x="654"/>
        <item x="582"/>
        <item x="474"/>
        <item x="382"/>
        <item x="755"/>
        <item x="83"/>
        <item x="93"/>
        <item x="389"/>
        <item x="56"/>
        <item x="276"/>
        <item x="289"/>
        <item x="118"/>
        <item x="421"/>
        <item x="540"/>
        <item x="351"/>
        <item x="167"/>
        <item x="127"/>
        <item x="367"/>
        <item x="179"/>
        <item x="604"/>
        <item x="138"/>
        <item x="746"/>
        <item x="510"/>
        <item x="263"/>
        <item x="660"/>
        <item x="673"/>
        <item x="110"/>
        <item x="635"/>
        <item x="25"/>
        <item x="586"/>
        <item x="574"/>
        <item x="495"/>
        <item x="352"/>
        <item x="484"/>
        <item x="311"/>
        <item x="291"/>
        <item x="371"/>
        <item x="59"/>
        <item x="258"/>
        <item x="116"/>
        <item x="366"/>
        <item x="121"/>
        <item x="76"/>
        <item x="546"/>
        <item x="334"/>
        <item x="631"/>
        <item x="55"/>
        <item x="470"/>
        <item x="133"/>
        <item x="547"/>
        <item x="697"/>
        <item x="383"/>
        <item x="265"/>
        <item x="584"/>
        <item x="657"/>
        <item x="751"/>
        <item x="218"/>
        <item x="195"/>
        <item x="384"/>
        <item x="681"/>
        <item x="223"/>
        <item x="3"/>
        <item x="161"/>
        <item x="649"/>
        <item x="552"/>
        <item x="217"/>
        <item x="69"/>
        <item x="299"/>
        <item x="2"/>
        <item x="340"/>
        <item x="275"/>
        <item x="472"/>
        <item x="739"/>
        <item x="744"/>
        <item x="407"/>
        <item x="77"/>
        <item x="363"/>
        <item x="516"/>
        <item x="612"/>
        <item x="4"/>
        <item x="523"/>
        <item x="688"/>
        <item x="411"/>
        <item x="107"/>
        <item x="527"/>
        <item x="43"/>
        <item x="397"/>
        <item x="199"/>
        <item x="630"/>
        <item x="588"/>
        <item x="587"/>
        <item x="282"/>
        <item x="452"/>
        <item x="457"/>
        <item x="596"/>
        <item x="87"/>
        <item x="355"/>
        <item x="475"/>
        <item x="345"/>
        <item x="522"/>
        <item x="545"/>
        <item x="22"/>
        <item x="293"/>
        <item x="65"/>
        <item x="145"/>
        <item x="13"/>
        <item x="405"/>
        <item x="662"/>
        <item x="589"/>
        <item x="493"/>
        <item x="18"/>
        <item x="270"/>
        <item x="714"/>
        <item x="20"/>
        <item x="370"/>
        <item x="579"/>
        <item x="52"/>
        <item x="647"/>
        <item x="132"/>
        <item x="628"/>
        <item x="665"/>
        <item x="741"/>
        <item x="511"/>
        <item x="557"/>
        <item x="558"/>
        <item x="68"/>
        <item x="196"/>
        <item x="338"/>
        <item x="304"/>
        <item x="80"/>
        <item x="294"/>
        <item x="646"/>
        <item x="0"/>
        <item x="481"/>
        <item x="486"/>
        <item x="182"/>
        <item x="60"/>
        <item x="187"/>
        <item x="526"/>
        <item x="438"/>
        <item x="616"/>
        <item x="37"/>
        <item x="461"/>
        <item x="479"/>
        <item x="150"/>
        <item x="171"/>
        <item x="539"/>
        <item x="663"/>
        <item x="467"/>
        <item x="143"/>
        <item x="247"/>
        <item x="326"/>
        <item x="441"/>
        <item x="677"/>
        <item x="316"/>
        <item x="583"/>
        <item x="417"/>
        <item x="489"/>
        <item x="505"/>
        <item x="615"/>
        <item x="322"/>
        <item x="682"/>
        <item x="34"/>
        <item x="395"/>
        <item x="50"/>
        <item x="581"/>
        <item x="393"/>
        <item x="713"/>
        <item x="281"/>
        <item x="710"/>
        <item x="490"/>
        <item x="17"/>
        <item x="550"/>
        <item x="419"/>
        <item x="722"/>
        <item x="377"/>
        <item x="494"/>
        <item x="95"/>
        <item x="422"/>
        <item x="708"/>
        <item x="177"/>
        <item x="520"/>
        <item x="403"/>
        <item x="178"/>
        <item x="206"/>
        <item x="285"/>
        <item x="203"/>
        <item x="175"/>
        <item x="224"/>
        <item x="607"/>
        <item x="295"/>
        <item x="468"/>
        <item x="487"/>
        <item x="286"/>
        <item x="347"/>
        <item x="235"/>
        <item x="725"/>
        <item x="361"/>
        <item x="305"/>
        <item x="506"/>
        <item x="567"/>
        <item x="49"/>
        <item x="454"/>
        <item x="126"/>
        <item x="721"/>
        <item x="572"/>
        <item x="420"/>
        <item x="11"/>
        <item x="466"/>
        <item x="168"/>
        <item x="257"/>
        <item x="733"/>
        <item x="214"/>
        <item x="473"/>
        <item x="314"/>
        <item x="349"/>
        <item x="425"/>
        <item x="525"/>
        <item x="354"/>
        <item x="756"/>
        <item x="410"/>
        <item x="170"/>
        <item x="592"/>
        <item x="159"/>
        <item x="183"/>
        <item x="262"/>
        <item x="671"/>
        <item x="536"/>
        <item x="500"/>
        <item x="531"/>
        <item x="758"/>
        <item x="564"/>
        <item x="519"/>
        <item x="209"/>
        <item x="555"/>
        <item x="191"/>
        <item x="530"/>
        <item x="343"/>
        <item x="429"/>
        <item x="674"/>
        <item x="152"/>
        <item x="618"/>
        <item x="331"/>
        <item x="399"/>
        <item x="745"/>
        <item x="731"/>
        <item x="315"/>
        <item x="158"/>
        <item x="740"/>
        <item x="233"/>
        <item x="719"/>
        <item x="24"/>
        <item x="222"/>
        <item x="194"/>
        <item x="626"/>
        <item x="716"/>
        <item x="396"/>
        <item x="482"/>
        <item x="695"/>
        <item x="449"/>
        <item x="718"/>
        <item x="463"/>
        <item x="341"/>
        <item x="565"/>
        <item x="210"/>
        <item x="288"/>
        <item x="292"/>
        <item x="636"/>
        <item x="720"/>
        <item x="701"/>
        <item x="123"/>
        <item x="576"/>
        <item x="260"/>
        <item x="692"/>
        <item x="252"/>
        <item x="423"/>
        <item x="652"/>
        <item x="82"/>
        <item x="321"/>
        <item x="609"/>
        <item x="672"/>
        <item x="1"/>
        <item t="default"/>
      </items>
    </pivotField>
    <pivotField showAll="0"/>
    <pivotField showAll="0"/>
    <pivotField showAll="0">
      <items count="5">
        <item x="3"/>
        <item x="0"/>
        <item x="2"/>
        <item x="1"/>
        <item t="default"/>
      </items>
    </pivotField>
    <pivotField showAll="0"/>
    <pivotField showAll="0"/>
    <pivotField showAll="0"/>
    <pivotField axis="axisRow" showAll="0" sortType="ascending">
      <items count="11">
        <item x="3"/>
        <item x="4"/>
        <item x="5"/>
        <item x="1"/>
        <item x="2"/>
        <item x="9"/>
        <item x="0"/>
        <item x="6"/>
        <item x="8"/>
        <item x="7"/>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defaultSubtotal="0"/>
    <pivotField showAll="0" defaultSubtotal="0"/>
    <pivotField showAll="0" defaultSubtotal="0">
      <items count="4">
        <item x="0"/>
        <item x="1"/>
        <item x="2"/>
        <item x="3"/>
      </items>
    </pivotField>
  </pivotFields>
  <rowFields count="1">
    <field x="16"/>
  </rowFields>
  <rowItems count="11">
    <i>
      <x v="2"/>
    </i>
    <i>
      <x v="4"/>
    </i>
    <i>
      <x v="3"/>
    </i>
    <i>
      <x v="7"/>
    </i>
    <i>
      <x/>
    </i>
    <i>
      <x v="6"/>
    </i>
    <i>
      <x v="5"/>
    </i>
    <i>
      <x v="9"/>
    </i>
    <i>
      <x v="8"/>
    </i>
    <i>
      <x v="1"/>
    </i>
    <i t="grand">
      <x/>
    </i>
  </rowItems>
  <colItems count="1">
    <i/>
  </colItems>
  <dataFields count="1">
    <dataField name="Sum of Revenue" fld="9" baseField="0" baseItem="0" numFmtId="165"/>
  </dataField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9990D0-F3F8-4BAB-9A5E-ED17CC10668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3">
    <pivotField showAll="0"/>
    <pivotField showAll="0"/>
    <pivotField axis="axisRow" showAll="0">
      <items count="6">
        <item x="1"/>
        <item x="2"/>
        <item x="4"/>
        <item x="0"/>
        <item x="3"/>
        <item t="default"/>
      </items>
    </pivotField>
    <pivotField showAll="0"/>
    <pivotField showAll="0"/>
    <pivotField numFmtId="14" showAll="0"/>
    <pivotField showAll="0">
      <items count="319">
        <item x="262"/>
        <item x="207"/>
        <item x="113"/>
        <item x="300"/>
        <item x="279"/>
        <item x="90"/>
        <item x="312"/>
        <item x="78"/>
        <item x="81"/>
        <item x="59"/>
        <item x="94"/>
        <item x="14"/>
        <item x="239"/>
        <item x="259"/>
        <item x="230"/>
        <item x="153"/>
        <item x="88"/>
        <item x="64"/>
        <item x="36"/>
        <item x="35"/>
        <item x="151"/>
        <item x="67"/>
        <item x="224"/>
        <item x="313"/>
        <item x="190"/>
        <item x="57"/>
        <item x="265"/>
        <item x="105"/>
        <item x="216"/>
        <item x="277"/>
        <item x="182"/>
        <item x="271"/>
        <item x="281"/>
        <item x="50"/>
        <item x="308"/>
        <item x="136"/>
        <item x="314"/>
        <item x="235"/>
        <item x="155"/>
        <item x="150"/>
        <item x="250"/>
        <item x="23"/>
        <item x="2"/>
        <item x="138"/>
        <item x="127"/>
        <item x="301"/>
        <item x="142"/>
        <item x="167"/>
        <item x="53"/>
        <item x="141"/>
        <item x="214"/>
        <item x="284"/>
        <item x="129"/>
        <item x="238"/>
        <item x="139"/>
        <item x="255"/>
        <item x="80"/>
        <item x="96"/>
        <item x="180"/>
        <item x="126"/>
        <item x="192"/>
        <item x="227"/>
        <item x="117"/>
        <item x="5"/>
        <item x="252"/>
        <item x="310"/>
        <item x="289"/>
        <item x="309"/>
        <item x="25"/>
        <item x="68"/>
        <item x="294"/>
        <item x="114"/>
        <item x="18"/>
        <item x="266"/>
        <item x="242"/>
        <item x="225"/>
        <item x="296"/>
        <item x="199"/>
        <item x="56"/>
        <item x="70"/>
        <item x="42"/>
        <item x="247"/>
        <item x="241"/>
        <item x="20"/>
        <item x="144"/>
        <item x="264"/>
        <item x="210"/>
        <item x="47"/>
        <item x="226"/>
        <item x="278"/>
        <item x="193"/>
        <item x="147"/>
        <item x="295"/>
        <item x="260"/>
        <item x="249"/>
        <item x="194"/>
        <item x="257"/>
        <item x="132"/>
        <item x="102"/>
        <item x="77"/>
        <item x="270"/>
        <item x="44"/>
        <item x="48"/>
        <item x="222"/>
        <item x="181"/>
        <item x="285"/>
        <item x="93"/>
        <item x="101"/>
        <item x="231"/>
        <item x="99"/>
        <item x="130"/>
        <item x="290"/>
        <item x="12"/>
        <item x="107"/>
        <item x="291"/>
        <item x="209"/>
        <item x="16"/>
        <item x="195"/>
        <item x="17"/>
        <item x="215"/>
        <item x="148"/>
        <item x="40"/>
        <item x="133"/>
        <item x="135"/>
        <item x="92"/>
        <item x="162"/>
        <item x="293"/>
        <item x="49"/>
        <item x="19"/>
        <item x="256"/>
        <item x="66"/>
        <item x="187"/>
        <item x="4"/>
        <item x="58"/>
        <item x="188"/>
        <item x="21"/>
        <item x="115"/>
        <item x="30"/>
        <item x="219"/>
        <item x="172"/>
        <item x="121"/>
        <item x="232"/>
        <item x="143"/>
        <item x="10"/>
        <item x="87"/>
        <item x="263"/>
        <item x="111"/>
        <item x="229"/>
        <item x="261"/>
        <item x="160"/>
        <item x="7"/>
        <item x="158"/>
        <item x="0"/>
        <item x="276"/>
        <item x="131"/>
        <item x="46"/>
        <item x="15"/>
        <item x="149"/>
        <item x="74"/>
        <item x="302"/>
        <item x="108"/>
        <item x="267"/>
        <item x="305"/>
        <item x="84"/>
        <item x="32"/>
        <item x="54"/>
        <item x="177"/>
        <item x="134"/>
        <item x="3"/>
        <item x="175"/>
        <item x="254"/>
        <item x="221"/>
        <item x="8"/>
        <item x="137"/>
        <item x="124"/>
        <item x="253"/>
        <item x="103"/>
        <item x="292"/>
        <item x="71"/>
        <item x="204"/>
        <item x="203"/>
        <item x="189"/>
        <item x="98"/>
        <item x="272"/>
        <item x="286"/>
        <item x="202"/>
        <item x="11"/>
        <item x="274"/>
        <item x="307"/>
        <item x="196"/>
        <item x="198"/>
        <item x="31"/>
        <item x="212"/>
        <item x="223"/>
        <item x="304"/>
        <item x="55"/>
        <item x="63"/>
        <item x="51"/>
        <item x="83"/>
        <item x="34"/>
        <item x="185"/>
        <item x="112"/>
        <item x="186"/>
        <item x="200"/>
        <item x="86"/>
        <item x="75"/>
        <item x="217"/>
        <item x="106"/>
        <item x="168"/>
        <item x="166"/>
        <item x="165"/>
        <item x="201"/>
        <item x="283"/>
        <item x="234"/>
        <item x="280"/>
        <item x="28"/>
        <item x="146"/>
        <item x="38"/>
        <item x="13"/>
        <item x="109"/>
        <item x="315"/>
        <item x="116"/>
        <item x="69"/>
        <item x="41"/>
        <item x="156"/>
        <item x="26"/>
        <item x="72"/>
        <item x="154"/>
        <item x="122"/>
        <item x="24"/>
        <item x="220"/>
        <item x="37"/>
        <item x="184"/>
        <item x="174"/>
        <item x="157"/>
        <item x="169"/>
        <item x="228"/>
        <item x="218"/>
        <item x="317"/>
        <item x="6"/>
        <item x="246"/>
        <item x="288"/>
        <item x="233"/>
        <item x="97"/>
        <item x="161"/>
        <item x="145"/>
        <item x="205"/>
        <item x="125"/>
        <item x="173"/>
        <item x="282"/>
        <item x="213"/>
        <item x="251"/>
        <item x="268"/>
        <item x="179"/>
        <item x="197"/>
        <item x="237"/>
        <item x="9"/>
        <item x="45"/>
        <item x="243"/>
        <item x="191"/>
        <item x="123"/>
        <item x="120"/>
        <item x="206"/>
        <item x="269"/>
        <item x="79"/>
        <item x="244"/>
        <item x="43"/>
        <item x="152"/>
        <item x="110"/>
        <item x="236"/>
        <item x="306"/>
        <item x="297"/>
        <item x="287"/>
        <item x="76"/>
        <item x="183"/>
        <item x="208"/>
        <item x="178"/>
        <item x="82"/>
        <item x="62"/>
        <item x="61"/>
        <item x="33"/>
        <item x="240"/>
        <item x="95"/>
        <item x="73"/>
        <item x="159"/>
        <item x="104"/>
        <item x="91"/>
        <item x="118"/>
        <item x="163"/>
        <item x="248"/>
        <item x="211"/>
        <item x="311"/>
        <item x="298"/>
        <item x="258"/>
        <item x="27"/>
        <item x="128"/>
        <item x="245"/>
        <item x="299"/>
        <item x="100"/>
        <item x="140"/>
        <item x="171"/>
        <item x="85"/>
        <item x="316"/>
        <item x="22"/>
        <item x="303"/>
        <item x="52"/>
        <item x="275"/>
        <item x="164"/>
        <item x="170"/>
        <item x="29"/>
        <item x="119"/>
        <item x="39"/>
        <item x="176"/>
        <item x="65"/>
        <item x="89"/>
        <item x="273"/>
        <item x="60"/>
        <item x="1"/>
        <item t="default"/>
      </items>
    </pivotField>
    <pivotField showAll="0"/>
    <pivotField showAll="0"/>
    <pivotField dataField="1" showAll="0"/>
    <pivotField showAll="0"/>
    <pivotField showAll="0"/>
    <pivotField showAll="0">
      <items count="5">
        <item x="3"/>
        <item x="0"/>
        <item x="2"/>
        <item x="1"/>
        <item t="default"/>
      </items>
    </pivotField>
    <pivotField showAll="0"/>
    <pivotField showAll="0"/>
    <pivotField showAll="0"/>
    <pivotField showAll="0">
      <items count="11">
        <item x="7"/>
        <item x="8"/>
        <item x="6"/>
        <item x="0"/>
        <item x="9"/>
        <item x="2"/>
        <item x="1"/>
        <item x="5"/>
        <item x="4"/>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Revenue" fld="9" baseField="0" baseItem="0" numFmtId="165"/>
  </dataFields>
  <formats count="2">
    <format dxfId="23">
      <pivotArea dataOnly="0" labelOnly="1" outline="0" axis="axisValues" fieldPosition="0"/>
    </format>
    <format dxfId="22">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8D06B9-D7A9-4957-9B15-9EB07495B425}"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3:B7" firstHeaderRow="1" firstDataRow="1" firstDataCol="1"/>
  <pivotFields count="23">
    <pivotField showAll="0"/>
    <pivotField showAll="0"/>
    <pivotField showAll="0">
      <items count="6">
        <item x="1"/>
        <item x="2"/>
        <item x="4"/>
        <item x="0"/>
        <item x="3"/>
        <item t="default"/>
      </items>
    </pivotField>
    <pivotField axis="axisRow" showAll="0">
      <items count="4">
        <item x="1"/>
        <item x="2"/>
        <item x="0"/>
        <item t="default"/>
      </items>
    </pivotField>
    <pivotField showAll="0"/>
    <pivotField numFmtId="14" showAll="0"/>
    <pivotField showAll="0">
      <items count="319">
        <item x="262"/>
        <item x="207"/>
        <item x="113"/>
        <item x="300"/>
        <item x="279"/>
        <item x="90"/>
        <item x="312"/>
        <item x="78"/>
        <item x="81"/>
        <item x="59"/>
        <item x="94"/>
        <item x="14"/>
        <item x="239"/>
        <item x="259"/>
        <item x="230"/>
        <item x="153"/>
        <item x="88"/>
        <item x="64"/>
        <item x="36"/>
        <item x="35"/>
        <item x="151"/>
        <item x="67"/>
        <item x="224"/>
        <item x="313"/>
        <item x="190"/>
        <item x="57"/>
        <item x="265"/>
        <item x="105"/>
        <item x="216"/>
        <item x="277"/>
        <item x="182"/>
        <item x="271"/>
        <item x="281"/>
        <item x="50"/>
        <item x="308"/>
        <item x="136"/>
        <item x="314"/>
        <item x="235"/>
        <item x="155"/>
        <item x="150"/>
        <item x="250"/>
        <item x="23"/>
        <item x="2"/>
        <item x="138"/>
        <item x="127"/>
        <item x="301"/>
        <item x="142"/>
        <item x="167"/>
        <item x="53"/>
        <item x="141"/>
        <item x="214"/>
        <item x="284"/>
        <item x="129"/>
        <item x="238"/>
        <item x="139"/>
        <item x="255"/>
        <item x="80"/>
        <item x="96"/>
        <item x="180"/>
        <item x="126"/>
        <item x="192"/>
        <item x="227"/>
        <item x="117"/>
        <item x="5"/>
        <item x="252"/>
        <item x="310"/>
        <item x="289"/>
        <item x="309"/>
        <item x="25"/>
        <item x="68"/>
        <item x="294"/>
        <item x="114"/>
        <item x="18"/>
        <item x="266"/>
        <item x="242"/>
        <item x="225"/>
        <item x="296"/>
        <item x="199"/>
        <item x="56"/>
        <item x="70"/>
        <item x="42"/>
        <item x="247"/>
        <item x="241"/>
        <item x="20"/>
        <item x="144"/>
        <item x="264"/>
        <item x="210"/>
        <item x="47"/>
        <item x="226"/>
        <item x="278"/>
        <item x="193"/>
        <item x="147"/>
        <item x="295"/>
        <item x="260"/>
        <item x="249"/>
        <item x="194"/>
        <item x="257"/>
        <item x="132"/>
        <item x="102"/>
        <item x="77"/>
        <item x="270"/>
        <item x="44"/>
        <item x="48"/>
        <item x="222"/>
        <item x="181"/>
        <item x="285"/>
        <item x="93"/>
        <item x="101"/>
        <item x="231"/>
        <item x="99"/>
        <item x="130"/>
        <item x="290"/>
        <item x="12"/>
        <item x="107"/>
        <item x="291"/>
        <item x="209"/>
        <item x="16"/>
        <item x="195"/>
        <item x="17"/>
        <item x="215"/>
        <item x="148"/>
        <item x="40"/>
        <item x="133"/>
        <item x="135"/>
        <item x="92"/>
        <item x="162"/>
        <item x="293"/>
        <item x="49"/>
        <item x="19"/>
        <item x="256"/>
        <item x="66"/>
        <item x="187"/>
        <item x="4"/>
        <item x="58"/>
        <item x="188"/>
        <item x="21"/>
        <item x="115"/>
        <item x="30"/>
        <item x="219"/>
        <item x="172"/>
        <item x="121"/>
        <item x="232"/>
        <item x="143"/>
        <item x="10"/>
        <item x="87"/>
        <item x="263"/>
        <item x="111"/>
        <item x="229"/>
        <item x="261"/>
        <item x="160"/>
        <item x="7"/>
        <item x="158"/>
        <item x="0"/>
        <item x="276"/>
        <item x="131"/>
        <item x="46"/>
        <item x="15"/>
        <item x="149"/>
        <item x="74"/>
        <item x="302"/>
        <item x="108"/>
        <item x="267"/>
        <item x="305"/>
        <item x="84"/>
        <item x="32"/>
        <item x="54"/>
        <item x="177"/>
        <item x="134"/>
        <item x="3"/>
        <item x="175"/>
        <item x="254"/>
        <item x="221"/>
        <item x="8"/>
        <item x="137"/>
        <item x="124"/>
        <item x="253"/>
        <item x="103"/>
        <item x="292"/>
        <item x="71"/>
        <item x="204"/>
        <item x="203"/>
        <item x="189"/>
        <item x="98"/>
        <item x="272"/>
        <item x="286"/>
        <item x="202"/>
        <item x="11"/>
        <item x="274"/>
        <item x="307"/>
        <item x="196"/>
        <item x="198"/>
        <item x="31"/>
        <item x="212"/>
        <item x="223"/>
        <item x="304"/>
        <item x="55"/>
        <item x="63"/>
        <item x="51"/>
        <item x="83"/>
        <item x="34"/>
        <item x="185"/>
        <item x="112"/>
        <item x="186"/>
        <item x="200"/>
        <item x="86"/>
        <item x="75"/>
        <item x="217"/>
        <item x="106"/>
        <item x="168"/>
        <item x="166"/>
        <item x="165"/>
        <item x="201"/>
        <item x="283"/>
        <item x="234"/>
        <item x="280"/>
        <item x="28"/>
        <item x="146"/>
        <item x="38"/>
        <item x="13"/>
        <item x="109"/>
        <item x="315"/>
        <item x="116"/>
        <item x="69"/>
        <item x="41"/>
        <item x="156"/>
        <item x="26"/>
        <item x="72"/>
        <item x="154"/>
        <item x="122"/>
        <item x="24"/>
        <item x="220"/>
        <item x="37"/>
        <item x="184"/>
        <item x="174"/>
        <item x="157"/>
        <item x="169"/>
        <item x="228"/>
        <item x="218"/>
        <item x="317"/>
        <item x="6"/>
        <item x="246"/>
        <item x="288"/>
        <item x="233"/>
        <item x="97"/>
        <item x="161"/>
        <item x="145"/>
        <item x="205"/>
        <item x="125"/>
        <item x="173"/>
        <item x="282"/>
        <item x="213"/>
        <item x="251"/>
        <item x="268"/>
        <item x="179"/>
        <item x="197"/>
        <item x="237"/>
        <item x="9"/>
        <item x="45"/>
        <item x="243"/>
        <item x="191"/>
        <item x="123"/>
        <item x="120"/>
        <item x="206"/>
        <item x="269"/>
        <item x="79"/>
        <item x="244"/>
        <item x="43"/>
        <item x="152"/>
        <item x="110"/>
        <item x="236"/>
        <item x="306"/>
        <item x="297"/>
        <item x="287"/>
        <item x="76"/>
        <item x="183"/>
        <item x="208"/>
        <item x="178"/>
        <item x="82"/>
        <item x="62"/>
        <item x="61"/>
        <item x="33"/>
        <item x="240"/>
        <item x="95"/>
        <item x="73"/>
        <item x="159"/>
        <item x="104"/>
        <item x="91"/>
        <item x="118"/>
        <item x="163"/>
        <item x="248"/>
        <item x="211"/>
        <item x="311"/>
        <item x="298"/>
        <item x="258"/>
        <item x="27"/>
        <item x="128"/>
        <item x="245"/>
        <item x="299"/>
        <item x="100"/>
        <item x="140"/>
        <item x="171"/>
        <item x="85"/>
        <item x="316"/>
        <item x="22"/>
        <item x="303"/>
        <item x="52"/>
        <item x="275"/>
        <item x="164"/>
        <item x="170"/>
        <item x="29"/>
        <item x="119"/>
        <item x="39"/>
        <item x="176"/>
        <item x="65"/>
        <item x="89"/>
        <item x="273"/>
        <item x="60"/>
        <item x="1"/>
        <item t="default"/>
      </items>
    </pivotField>
    <pivotField showAll="0"/>
    <pivotField showAll="0"/>
    <pivotField dataField="1" showAll="0"/>
    <pivotField showAll="0"/>
    <pivotField showAll="0"/>
    <pivotField showAll="0">
      <items count="5">
        <item x="3"/>
        <item x="0"/>
        <item x="2"/>
        <item x="1"/>
        <item t="default"/>
      </items>
    </pivotField>
    <pivotField showAll="0"/>
    <pivotField showAll="0"/>
    <pivotField showAll="0"/>
    <pivotField showAll="0">
      <items count="11">
        <item x="7"/>
        <item x="8"/>
        <item x="6"/>
        <item x="0"/>
        <item x="9"/>
        <item x="2"/>
        <item x="1"/>
        <item x="5"/>
        <item x="4"/>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Revenue" fld="9" baseField="0" baseItem="0" numFmtId="165"/>
  </dataFields>
  <chartFormats count="1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3" count="1" selected="0">
            <x v="0"/>
          </reference>
        </references>
      </pivotArea>
    </chartFormat>
    <chartFormat chart="16" format="7">
      <pivotArea type="data" outline="0" fieldPosition="0">
        <references count="2">
          <reference field="4294967294" count="1" selected="0">
            <x v="0"/>
          </reference>
          <reference field="3" count="1" selected="0">
            <x v="1"/>
          </reference>
        </references>
      </pivotArea>
    </chartFormat>
    <chartFormat chart="16" format="8">
      <pivotArea type="data" outline="0" fieldPosition="0">
        <references count="2">
          <reference field="4294967294" count="1" selected="0">
            <x v="0"/>
          </reference>
          <reference field="3" count="1" selected="0">
            <x v="2"/>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3" count="1" selected="0">
            <x v="0"/>
          </reference>
        </references>
      </pivotArea>
    </chartFormat>
    <chartFormat chart="20" format="7">
      <pivotArea type="data" outline="0" fieldPosition="0">
        <references count="2">
          <reference field="4294967294" count="1" selected="0">
            <x v="0"/>
          </reference>
          <reference field="3" count="1" selected="0">
            <x v="1"/>
          </reference>
        </references>
      </pivotArea>
    </chartFormat>
    <chartFormat chart="20"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9B88E3-73BB-446C-AE8E-0CB0C8DD6C32}" autoFormatId="16" applyNumberFormats="0" applyBorderFormats="0" applyFontFormats="0" applyPatternFormats="0" applyAlignmentFormats="0" applyWidthHeightFormats="0">
  <queryTableRefresh nextId="23">
    <queryTableFields count="20">
      <queryTableField id="1" name="Property ID" tableColumnId="1"/>
      <queryTableField id="2" name="Property Name" tableColumnId="2"/>
      <queryTableField id="3" name="Location" tableColumnId="3"/>
      <queryTableField id="4" name="Type" tableColumnId="4"/>
      <queryTableField id="5" name="Price" tableColumnId="5"/>
      <queryTableField id="6" name="Date Listed" tableColumnId="6"/>
      <queryTableField id="7" name="Date Sold" tableColumnId="7"/>
      <queryTableField id="8" name="Sale Price" tableColumnId="8"/>
      <queryTableField id="9" name="Sq Ft" tableColumnId="9"/>
      <queryTableField id="21" name="Revenue" tableColumnId="23"/>
      <queryTableField id="10" name="Bedrooms" tableColumnId="10"/>
      <queryTableField id="11" name="Bathrooms" tableColumnId="11"/>
      <queryTableField id="12" name="Building Type" tableColumnId="12"/>
      <queryTableField id="13" name="Year Built" tableColumnId="13"/>
      <queryTableField id="14" name="Floor Level" tableColumnId="14"/>
      <queryTableField id="15" name="Parking Spaces" tableColumnId="15"/>
      <queryTableField id="16" name="Agent Name" tableColumnId="16"/>
      <queryTableField id="17" name="Agent Contact Info" tableColumnId="17"/>
      <queryTableField id="18" name="Property Status" tableColumnId="18"/>
      <queryTableField id="19" name="Property Features"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0973B7F-CE15-446E-A9F6-1AF3FBE05230}" sourceName="Location">
  <pivotTables>
    <pivotTable tabId="4" name="PivotTable1"/>
    <pivotTable tabId="11" name="PivotTable6"/>
    <pivotTable tabId="10" name="PivotTable5"/>
    <pivotTable tabId="7" name="PivotTable2"/>
  </pivotTables>
  <data>
    <tabular pivotCacheId="441464709">
      <items count="5">
        <i x="1" s="1"/>
        <i x="2"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_Type" xr10:uid="{9E9C1AF9-9C0B-4A00-82DB-0DE455F2092E}" sourceName="Building Type">
  <pivotTables>
    <pivotTable tabId="4" name="PivotTable1"/>
    <pivotTable tabId="11" name="PivotTable6"/>
    <pivotTable tabId="10" name="PivotTable5"/>
    <pivotTable tabId="7" name="PivotTable2"/>
  </pivotTables>
  <data>
    <tabular pivotCacheId="441464709">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Name" xr10:uid="{2AE9D542-C5EF-4C85-8C85-F3226298C553}" sourceName="Agent Name">
  <pivotTables>
    <pivotTable tabId="4" name="PivotTable1"/>
    <pivotTable tabId="11" name="PivotTable6"/>
    <pivotTable tabId="10" name="PivotTable5"/>
    <pivotTable tabId="7" name="PivotTable2"/>
  </pivotTables>
  <data>
    <tabular pivotCacheId="441464709">
      <items count="10">
        <i x="7" s="1"/>
        <i x="8" s="1"/>
        <i x="6" s="1"/>
        <i x="0" s="1"/>
        <i x="9" s="1"/>
        <i x="2" s="1"/>
        <i x="1" s="1"/>
        <i x="5"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8C216A35-A2D6-4C56-A4C2-31C489C538A9}" cache="Slicer_Location" caption="Location" columnCount="2" style="SlicerStyleDark2" rowHeight="251883"/>
  <slicer name="Building Type" xr10:uid="{A4D8876D-C7C2-4EAD-A96F-47F24397CBF4}" cache="Slicer_Building_Type" caption="Building Type" style="SlicerStyleDark2" rowHeight="251883"/>
  <slicer name="Agent Name" xr10:uid="{BB0559CF-7E00-408A-B7B2-AD5AF77C15C7}" cache="Slicer_Agent_Name" caption="Agent Name" columnCount="2" style="SlicerStyleDark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EB67FF-266F-47A2-8671-66507F12741E}" name="Sheet1" displayName="Sheet1" ref="A1:T1501" tableType="queryTable" totalsRowShown="0">
  <autoFilter ref="A1:T1501" xr:uid="{28EB67FF-266F-47A2-8671-66507F12741E}"/>
  <tableColumns count="20">
    <tableColumn id="1" xr3:uid="{195264E1-46F6-43F9-899E-1B86748670F9}" uniqueName="1" name="Property ID" queryTableFieldId="1"/>
    <tableColumn id="2" xr3:uid="{16BAD228-43FB-4322-990A-0B215BE68785}" uniqueName="2" name="Property Name" queryTableFieldId="2" dataDxfId="34"/>
    <tableColumn id="3" xr3:uid="{DE94509B-A318-4DFC-9355-ED5C6E0CB99B}" uniqueName="3" name="Location" queryTableFieldId="3" dataDxfId="33"/>
    <tableColumn id="4" xr3:uid="{E390757A-ABCA-43B8-870D-EF7DEE754EBA}" uniqueName="4" name="Type" queryTableFieldId="4" dataDxfId="32"/>
    <tableColumn id="5" xr3:uid="{0BFCFAC2-5874-4CCE-BE6C-49117C22A6EF}" uniqueName="5" name="Price" queryTableFieldId="5"/>
    <tableColumn id="6" xr3:uid="{6C52275A-1D64-465B-96EA-D4D1AD9FF9F4}" uniqueName="6" name="Date Listed" queryTableFieldId="6" dataDxfId="31"/>
    <tableColumn id="7" xr3:uid="{61BA31F4-4EE1-4AD9-BB8F-055C091DF12F}" uniqueName="7" name="Date Sold" queryTableFieldId="7" dataDxfId="30"/>
    <tableColumn id="8" xr3:uid="{6D41AE66-C566-46CC-9F54-D8366FDB1FBA}" uniqueName="8" name="Sale Price" queryTableFieldId="8"/>
    <tableColumn id="9" xr3:uid="{B2027A05-14A9-4CC4-8AA0-F128E58864CB}" uniqueName="9" name="Sq Ft" queryTableFieldId="9"/>
    <tableColumn id="23" xr3:uid="{4A6FD15A-9FC5-42CE-8DE1-97686297BEEF}" uniqueName="23" name="Revenue" queryTableFieldId="21" dataDxfId="29"/>
    <tableColumn id="10" xr3:uid="{6D940913-590F-4D0C-9D84-9DBA5E3368CB}" uniqueName="10" name="Bedrooms" queryTableFieldId="10"/>
    <tableColumn id="11" xr3:uid="{B890EE6A-AB41-41D4-8DD8-7357A39C408C}" uniqueName="11" name="Bathrooms" queryTableFieldId="11"/>
    <tableColumn id="12" xr3:uid="{CF708047-A0CE-4B18-BBE5-9366DADA9600}" uniqueName="12" name="Building Type" queryTableFieldId="12" dataDxfId="28"/>
    <tableColumn id="13" xr3:uid="{EE42F8BA-8162-4C2D-B7AB-BCF9ACED5EAC}" uniqueName="13" name="Year Built" queryTableFieldId="13"/>
    <tableColumn id="14" xr3:uid="{444F66C6-54B9-4790-B054-2FFBE837F196}" uniqueName="14" name="Floor Level" queryTableFieldId="14"/>
    <tableColumn id="15" xr3:uid="{81141DC4-0B0E-4729-B699-DC706ACA67D3}" uniqueName="15" name="Parking Spaces" queryTableFieldId="15"/>
    <tableColumn id="16" xr3:uid="{F29724B3-AFBB-4FBA-ABA8-817AABDCBF60}" uniqueName="16" name="Agent Name" queryTableFieldId="16" dataDxfId="27"/>
    <tableColumn id="17" xr3:uid="{DE321DBE-5AE2-4D33-84BC-1B1B96A13C77}" uniqueName="17" name="Agent Contact Info" queryTableFieldId="17" dataDxfId="26"/>
    <tableColumn id="18" xr3:uid="{6944549B-031B-4098-B911-E4BBD9973CA6}" uniqueName="18" name="Property Status" queryTableFieldId="18" dataDxfId="25"/>
    <tableColumn id="19" xr3:uid="{2C67A039-B4EE-4236-BE7D-136F2EC11C3B}" uniqueName="19" name="Property Features" queryTableFieldId="19" dataDxfId="24"/>
  </tableColumns>
  <tableStyleInfo name="TableStyleMedium7"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Custom 1">
      <a:majorFont>
        <a:latin typeface="Segoe UI Semibold"/>
        <a:ea typeface=""/>
        <a:cs typeface=""/>
      </a:majorFont>
      <a:minorFont>
        <a:latin typeface="Segoe UI Semibold"/>
        <a:ea typeface=""/>
        <a:cs typeface=""/>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05B4-5EDF-4350-A0B9-B56995C0C62A}">
  <sheetPr codeName="Sheet1"/>
  <dimension ref="A1:T1501"/>
  <sheetViews>
    <sheetView topLeftCell="A2" zoomScale="69" workbookViewId="0">
      <selection activeCell="E12" sqref="E12"/>
    </sheetView>
  </sheetViews>
  <sheetFormatPr defaultRowHeight="14.5" x14ac:dyDescent="0.45"/>
  <cols>
    <col min="1" max="1" width="12.3046875" customWidth="1"/>
    <col min="2" max="2" width="15.53515625" customWidth="1"/>
    <col min="3" max="3" width="10.3828125" customWidth="1"/>
    <col min="4" max="4" width="10.765625" customWidth="1"/>
    <col min="5" max="5" width="7.3828125" customWidth="1"/>
    <col min="6" max="6" width="12.53515625" customWidth="1"/>
    <col min="7" max="7" width="11.15234375" customWidth="1"/>
    <col min="8" max="8" width="11.3828125" customWidth="1"/>
    <col min="9" max="9" width="7.3046875" customWidth="1"/>
    <col min="10" max="10" width="11.15234375" style="5" customWidth="1"/>
    <col min="11" max="11" width="11.53515625" customWidth="1"/>
    <col min="12" max="12" width="12.15234375" customWidth="1"/>
    <col min="13" max="13" width="14.3046875" customWidth="1"/>
    <col min="14" max="14" width="11.15234375" customWidth="1"/>
    <col min="15" max="15" width="12.07421875" customWidth="1"/>
    <col min="16" max="16" width="16" customWidth="1"/>
    <col min="17" max="17" width="13.15234375" customWidth="1"/>
    <col min="18" max="18" width="18.61328125" customWidth="1"/>
    <col min="19" max="19" width="16" customWidth="1"/>
    <col min="20" max="20" width="29.84375" customWidth="1"/>
  </cols>
  <sheetData>
    <row r="1" spans="1:20" ht="16.5" x14ac:dyDescent="0.45">
      <c r="A1" t="s">
        <v>0</v>
      </c>
      <c r="B1" t="s">
        <v>1</v>
      </c>
      <c r="C1" t="s">
        <v>2</v>
      </c>
      <c r="D1" t="s">
        <v>3</v>
      </c>
      <c r="E1" t="s">
        <v>4</v>
      </c>
      <c r="F1" t="s">
        <v>5</v>
      </c>
      <c r="G1" t="s">
        <v>6</v>
      </c>
      <c r="H1" t="s">
        <v>7</v>
      </c>
      <c r="I1" t="s">
        <v>8</v>
      </c>
      <c r="J1" s="5" t="s">
        <v>3561</v>
      </c>
      <c r="K1" t="s">
        <v>9</v>
      </c>
      <c r="L1" t="s">
        <v>10</v>
      </c>
      <c r="M1" t="s">
        <v>11</v>
      </c>
      <c r="N1" t="s">
        <v>12</v>
      </c>
      <c r="O1" t="s">
        <v>13</v>
      </c>
      <c r="P1" t="s">
        <v>14</v>
      </c>
      <c r="Q1" t="s">
        <v>15</v>
      </c>
      <c r="R1" t="s">
        <v>16</v>
      </c>
      <c r="S1" t="s">
        <v>17</v>
      </c>
      <c r="T1" t="s">
        <v>18</v>
      </c>
    </row>
    <row r="2" spans="1:20" ht="16.5" x14ac:dyDescent="0.45">
      <c r="A2">
        <v>1001</v>
      </c>
      <c r="B2" t="s">
        <v>19</v>
      </c>
      <c r="C2" t="s">
        <v>20</v>
      </c>
      <c r="D2" t="s">
        <v>21</v>
      </c>
      <c r="E2">
        <v>585544</v>
      </c>
      <c r="F2" s="1">
        <v>45539</v>
      </c>
      <c r="G2" s="1">
        <v>45450</v>
      </c>
      <c r="H2">
        <v>600120</v>
      </c>
      <c r="I2">
        <v>4849</v>
      </c>
      <c r="J2" s="5">
        <v>2909981880</v>
      </c>
      <c r="K2">
        <v>3</v>
      </c>
      <c r="L2">
        <v>5</v>
      </c>
      <c r="M2" t="s">
        <v>22</v>
      </c>
      <c r="N2">
        <v>2020</v>
      </c>
      <c r="P2">
        <v>3</v>
      </c>
      <c r="Q2" t="s">
        <v>23</v>
      </c>
      <c r="R2" t="s">
        <v>24</v>
      </c>
      <c r="S2" t="s">
        <v>25</v>
      </c>
      <c r="T2" t="s">
        <v>26</v>
      </c>
    </row>
    <row r="3" spans="1:20" ht="16.5" x14ac:dyDescent="0.45">
      <c r="A3">
        <v>1002</v>
      </c>
      <c r="B3" t="s">
        <v>27</v>
      </c>
      <c r="C3" t="s">
        <v>28</v>
      </c>
      <c r="D3" t="s">
        <v>29</v>
      </c>
      <c r="E3">
        <v>903593</v>
      </c>
      <c r="F3" s="1">
        <v>45323</v>
      </c>
      <c r="G3" s="1"/>
      <c r="I3">
        <v>4217</v>
      </c>
      <c r="K3">
        <v>5</v>
      </c>
      <c r="L3">
        <v>5</v>
      </c>
      <c r="M3" t="s">
        <v>30</v>
      </c>
      <c r="N3">
        <v>2018</v>
      </c>
      <c r="O3">
        <v>9</v>
      </c>
      <c r="P3">
        <v>1</v>
      </c>
      <c r="Q3" t="s">
        <v>31</v>
      </c>
      <c r="R3" t="s">
        <v>32</v>
      </c>
      <c r="S3" t="s">
        <v>33</v>
      </c>
      <c r="T3" t="s">
        <v>34</v>
      </c>
    </row>
    <row r="4" spans="1:20" ht="16.5" x14ac:dyDescent="0.45">
      <c r="A4">
        <v>1003</v>
      </c>
      <c r="B4" t="s">
        <v>35</v>
      </c>
      <c r="C4" t="s">
        <v>36</v>
      </c>
      <c r="D4" t="s">
        <v>21</v>
      </c>
      <c r="E4">
        <v>974633</v>
      </c>
      <c r="F4" s="1">
        <v>45318</v>
      </c>
      <c r="G4" s="1">
        <v>45327</v>
      </c>
      <c r="H4">
        <v>1020596</v>
      </c>
      <c r="I4">
        <v>2490</v>
      </c>
      <c r="J4" s="5">
        <v>2541284040</v>
      </c>
      <c r="K4">
        <v>6</v>
      </c>
      <c r="L4">
        <v>5</v>
      </c>
      <c r="M4" t="s">
        <v>37</v>
      </c>
      <c r="N4">
        <v>2005</v>
      </c>
      <c r="O4">
        <v>4</v>
      </c>
      <c r="P4">
        <v>4</v>
      </c>
      <c r="Q4" t="s">
        <v>38</v>
      </c>
      <c r="R4" t="s">
        <v>39</v>
      </c>
      <c r="S4" t="s">
        <v>25</v>
      </c>
      <c r="T4" t="s">
        <v>40</v>
      </c>
    </row>
    <row r="5" spans="1:20" ht="16.5" x14ac:dyDescent="0.45">
      <c r="A5">
        <v>1004</v>
      </c>
      <c r="B5" t="s">
        <v>41</v>
      </c>
      <c r="C5" t="s">
        <v>28</v>
      </c>
      <c r="D5" t="s">
        <v>42</v>
      </c>
      <c r="E5">
        <v>566049</v>
      </c>
      <c r="F5" s="1">
        <v>45458</v>
      </c>
      <c r="G5" s="1"/>
      <c r="I5">
        <v>4840</v>
      </c>
      <c r="K5">
        <v>3</v>
      </c>
      <c r="L5">
        <v>2</v>
      </c>
      <c r="M5" t="s">
        <v>37</v>
      </c>
      <c r="N5">
        <v>2008</v>
      </c>
      <c r="O5">
        <v>6</v>
      </c>
      <c r="P5">
        <v>2</v>
      </c>
      <c r="Q5" t="s">
        <v>43</v>
      </c>
      <c r="R5" t="s">
        <v>44</v>
      </c>
      <c r="S5" t="s">
        <v>33</v>
      </c>
      <c r="T5" t="s">
        <v>45</v>
      </c>
    </row>
    <row r="6" spans="1:20" ht="16.5" x14ac:dyDescent="0.45">
      <c r="A6">
        <v>1005</v>
      </c>
      <c r="B6" t="s">
        <v>46</v>
      </c>
      <c r="C6" t="s">
        <v>47</v>
      </c>
      <c r="D6" t="s">
        <v>29</v>
      </c>
      <c r="E6">
        <v>672813</v>
      </c>
      <c r="F6" s="1">
        <v>45344</v>
      </c>
      <c r="G6" s="1">
        <v>45470</v>
      </c>
      <c r="H6">
        <v>706100</v>
      </c>
      <c r="I6">
        <v>3535</v>
      </c>
      <c r="J6" s="5">
        <v>2496063500</v>
      </c>
      <c r="K6">
        <v>6</v>
      </c>
      <c r="L6">
        <v>5</v>
      </c>
      <c r="M6" t="s">
        <v>37</v>
      </c>
      <c r="N6">
        <v>2015</v>
      </c>
      <c r="O6">
        <v>8</v>
      </c>
      <c r="P6">
        <v>3</v>
      </c>
      <c r="Q6" t="s">
        <v>43</v>
      </c>
      <c r="R6" t="s">
        <v>48</v>
      </c>
      <c r="S6" t="s">
        <v>25</v>
      </c>
      <c r="T6" t="s">
        <v>49</v>
      </c>
    </row>
    <row r="7" spans="1:20" ht="16.5" x14ac:dyDescent="0.45">
      <c r="A7">
        <v>1006</v>
      </c>
      <c r="B7" t="s">
        <v>50</v>
      </c>
      <c r="C7" t="s">
        <v>51</v>
      </c>
      <c r="D7" t="s">
        <v>21</v>
      </c>
      <c r="E7">
        <v>713565</v>
      </c>
      <c r="F7" s="1">
        <v>45322</v>
      </c>
      <c r="G7" s="1">
        <v>45429</v>
      </c>
      <c r="H7">
        <v>734345</v>
      </c>
      <c r="I7">
        <v>3542</v>
      </c>
      <c r="J7" s="5">
        <v>2601049990</v>
      </c>
      <c r="K7">
        <v>4</v>
      </c>
      <c r="L7">
        <v>3</v>
      </c>
      <c r="M7" t="s">
        <v>37</v>
      </c>
      <c r="N7">
        <v>2007</v>
      </c>
      <c r="O7">
        <v>6</v>
      </c>
      <c r="P7">
        <v>2</v>
      </c>
      <c r="Q7" t="s">
        <v>31</v>
      </c>
      <c r="R7" t="s">
        <v>52</v>
      </c>
      <c r="S7" t="s">
        <v>25</v>
      </c>
      <c r="T7" t="s">
        <v>53</v>
      </c>
    </row>
    <row r="8" spans="1:20" ht="16.5" x14ac:dyDescent="0.45">
      <c r="A8">
        <v>1007</v>
      </c>
      <c r="B8" t="s">
        <v>54</v>
      </c>
      <c r="C8" t="s">
        <v>51</v>
      </c>
      <c r="D8" t="s">
        <v>42</v>
      </c>
      <c r="E8">
        <v>942067</v>
      </c>
      <c r="F8" s="1">
        <v>45535</v>
      </c>
      <c r="G8" s="1"/>
      <c r="I8">
        <v>2473</v>
      </c>
      <c r="K8">
        <v>4</v>
      </c>
      <c r="L8">
        <v>2</v>
      </c>
      <c r="M8" t="s">
        <v>22</v>
      </c>
      <c r="N8">
        <v>2012</v>
      </c>
      <c r="P8">
        <v>2</v>
      </c>
      <c r="Q8" t="s">
        <v>31</v>
      </c>
      <c r="R8" t="s">
        <v>55</v>
      </c>
      <c r="S8" t="s">
        <v>33</v>
      </c>
      <c r="T8" t="s">
        <v>56</v>
      </c>
    </row>
    <row r="9" spans="1:20" ht="16.5" x14ac:dyDescent="0.45">
      <c r="A9">
        <v>1008</v>
      </c>
      <c r="B9" t="s">
        <v>57</v>
      </c>
      <c r="C9" t="s">
        <v>47</v>
      </c>
      <c r="D9" t="s">
        <v>21</v>
      </c>
      <c r="E9">
        <v>354160</v>
      </c>
      <c r="F9" s="1">
        <v>45339</v>
      </c>
      <c r="G9" s="1">
        <v>45350</v>
      </c>
      <c r="H9">
        <v>375985</v>
      </c>
      <c r="I9">
        <v>1630</v>
      </c>
      <c r="J9" s="5">
        <v>612855550</v>
      </c>
      <c r="K9">
        <v>6</v>
      </c>
      <c r="L9">
        <v>5</v>
      </c>
      <c r="M9" t="s">
        <v>37</v>
      </c>
      <c r="N9">
        <v>2001</v>
      </c>
      <c r="O9">
        <v>8</v>
      </c>
      <c r="P9">
        <v>2</v>
      </c>
      <c r="Q9" t="s">
        <v>58</v>
      </c>
      <c r="R9" t="s">
        <v>59</v>
      </c>
      <c r="S9" t="s">
        <v>25</v>
      </c>
      <c r="T9" t="s">
        <v>60</v>
      </c>
    </row>
    <row r="10" spans="1:20" ht="16.5" x14ac:dyDescent="0.45">
      <c r="A10">
        <v>1009</v>
      </c>
      <c r="B10" t="s">
        <v>61</v>
      </c>
      <c r="C10" t="s">
        <v>20</v>
      </c>
      <c r="D10" t="s">
        <v>42</v>
      </c>
      <c r="E10">
        <v>653564</v>
      </c>
      <c r="F10" s="1">
        <v>45526</v>
      </c>
      <c r="G10" s="1">
        <v>45547</v>
      </c>
      <c r="H10">
        <v>685539</v>
      </c>
      <c r="I10">
        <v>3063</v>
      </c>
      <c r="J10" s="5">
        <v>2099805957</v>
      </c>
      <c r="K10">
        <v>2</v>
      </c>
      <c r="L10">
        <v>2</v>
      </c>
      <c r="M10" t="s">
        <v>62</v>
      </c>
      <c r="N10">
        <v>2005</v>
      </c>
      <c r="O10">
        <v>5</v>
      </c>
      <c r="P10">
        <v>2</v>
      </c>
      <c r="Q10" t="s">
        <v>43</v>
      </c>
      <c r="R10" t="s">
        <v>63</v>
      </c>
      <c r="S10" t="s">
        <v>25</v>
      </c>
      <c r="T10" t="s">
        <v>64</v>
      </c>
    </row>
    <row r="11" spans="1:20" ht="16.5" x14ac:dyDescent="0.45">
      <c r="A11">
        <v>1010</v>
      </c>
      <c r="B11" t="s">
        <v>65</v>
      </c>
      <c r="C11" t="s">
        <v>47</v>
      </c>
      <c r="D11" t="s">
        <v>29</v>
      </c>
      <c r="E11">
        <v>556165</v>
      </c>
      <c r="F11" s="1">
        <v>45413</v>
      </c>
      <c r="G11" s="1"/>
      <c r="I11">
        <v>4833</v>
      </c>
      <c r="K11">
        <v>2</v>
      </c>
      <c r="L11">
        <v>3</v>
      </c>
      <c r="M11" t="s">
        <v>30</v>
      </c>
      <c r="N11">
        <v>2008</v>
      </c>
      <c r="O11">
        <v>9</v>
      </c>
      <c r="P11">
        <v>4</v>
      </c>
      <c r="Q11" t="s">
        <v>58</v>
      </c>
      <c r="R11" t="s">
        <v>66</v>
      </c>
      <c r="S11" t="s">
        <v>33</v>
      </c>
      <c r="T11" t="s">
        <v>67</v>
      </c>
    </row>
    <row r="12" spans="1:20" ht="16.5" x14ac:dyDescent="0.45">
      <c r="A12">
        <v>1011</v>
      </c>
      <c r="B12" t="s">
        <v>68</v>
      </c>
      <c r="C12" t="s">
        <v>51</v>
      </c>
      <c r="D12" t="s">
        <v>42</v>
      </c>
      <c r="E12">
        <v>817687</v>
      </c>
      <c r="F12" s="1">
        <v>45612</v>
      </c>
      <c r="G12" s="1">
        <v>45448</v>
      </c>
      <c r="H12">
        <v>850511</v>
      </c>
      <c r="I12">
        <v>1568</v>
      </c>
      <c r="J12" s="5">
        <v>1333601248</v>
      </c>
      <c r="K12">
        <v>6</v>
      </c>
      <c r="L12">
        <v>5</v>
      </c>
      <c r="M12" t="s">
        <v>62</v>
      </c>
      <c r="N12">
        <v>2017</v>
      </c>
      <c r="O12">
        <v>4</v>
      </c>
      <c r="P12">
        <v>3</v>
      </c>
      <c r="Q12" t="s">
        <v>43</v>
      </c>
      <c r="R12" t="s">
        <v>69</v>
      </c>
      <c r="S12" t="s">
        <v>25</v>
      </c>
      <c r="T12" t="s">
        <v>70</v>
      </c>
    </row>
    <row r="13" spans="1:20" ht="16.5" x14ac:dyDescent="0.45">
      <c r="A13">
        <v>1012</v>
      </c>
      <c r="B13" t="s">
        <v>71</v>
      </c>
      <c r="C13" t="s">
        <v>47</v>
      </c>
      <c r="D13" t="s">
        <v>29</v>
      </c>
      <c r="E13">
        <v>516233</v>
      </c>
      <c r="F13" s="1">
        <v>45302</v>
      </c>
      <c r="G13" s="1"/>
      <c r="I13">
        <v>2845</v>
      </c>
      <c r="K13">
        <v>4</v>
      </c>
      <c r="L13">
        <v>3</v>
      </c>
      <c r="M13" t="s">
        <v>62</v>
      </c>
      <c r="N13">
        <v>2017</v>
      </c>
      <c r="O13">
        <v>8</v>
      </c>
      <c r="P13">
        <v>2</v>
      </c>
      <c r="Q13" t="s">
        <v>23</v>
      </c>
      <c r="R13" t="s">
        <v>72</v>
      </c>
      <c r="S13" t="s">
        <v>33</v>
      </c>
      <c r="T13" t="s">
        <v>73</v>
      </c>
    </row>
    <row r="14" spans="1:20" ht="16.5" x14ac:dyDescent="0.45">
      <c r="A14">
        <v>1013</v>
      </c>
      <c r="B14" t="s">
        <v>74</v>
      </c>
      <c r="C14" t="s">
        <v>28</v>
      </c>
      <c r="D14" t="s">
        <v>42</v>
      </c>
      <c r="E14">
        <v>371492</v>
      </c>
      <c r="F14" s="1">
        <v>45344</v>
      </c>
      <c r="G14" s="1"/>
      <c r="I14">
        <v>1803</v>
      </c>
      <c r="K14">
        <v>2</v>
      </c>
      <c r="L14">
        <v>3</v>
      </c>
      <c r="M14" t="s">
        <v>37</v>
      </c>
      <c r="N14">
        <v>2007</v>
      </c>
      <c r="O14">
        <v>9</v>
      </c>
      <c r="P14">
        <v>4</v>
      </c>
      <c r="Q14" t="s">
        <v>75</v>
      </c>
      <c r="R14" t="s">
        <v>76</v>
      </c>
      <c r="S14" t="s">
        <v>33</v>
      </c>
      <c r="T14" t="s">
        <v>77</v>
      </c>
    </row>
    <row r="15" spans="1:20" ht="16.5" x14ac:dyDescent="0.45">
      <c r="A15">
        <v>1014</v>
      </c>
      <c r="B15" t="s">
        <v>78</v>
      </c>
      <c r="C15" t="s">
        <v>36</v>
      </c>
      <c r="D15" t="s">
        <v>29</v>
      </c>
      <c r="E15">
        <v>358298</v>
      </c>
      <c r="F15" s="1">
        <v>45378</v>
      </c>
      <c r="G15" s="1"/>
      <c r="I15">
        <v>1680</v>
      </c>
      <c r="K15">
        <v>3</v>
      </c>
      <c r="L15">
        <v>3</v>
      </c>
      <c r="M15" t="s">
        <v>22</v>
      </c>
      <c r="N15">
        <v>2000</v>
      </c>
      <c r="P15">
        <v>1</v>
      </c>
      <c r="Q15" t="s">
        <v>75</v>
      </c>
      <c r="R15" t="s">
        <v>79</v>
      </c>
      <c r="S15" t="s">
        <v>33</v>
      </c>
      <c r="T15" t="s">
        <v>80</v>
      </c>
    </row>
    <row r="16" spans="1:20" ht="16.5" x14ac:dyDescent="0.45">
      <c r="A16">
        <v>1015</v>
      </c>
      <c r="B16" t="s">
        <v>81</v>
      </c>
      <c r="C16" t="s">
        <v>51</v>
      </c>
      <c r="D16" t="s">
        <v>21</v>
      </c>
      <c r="E16">
        <v>712723</v>
      </c>
      <c r="F16" s="1">
        <v>45593</v>
      </c>
      <c r="G16" s="1">
        <v>45475</v>
      </c>
      <c r="H16">
        <v>742060</v>
      </c>
      <c r="I16">
        <v>2252</v>
      </c>
      <c r="J16" s="5">
        <v>1671119120</v>
      </c>
      <c r="K16">
        <v>6</v>
      </c>
      <c r="L16">
        <v>5</v>
      </c>
      <c r="M16" t="s">
        <v>30</v>
      </c>
      <c r="N16">
        <v>2001</v>
      </c>
      <c r="O16">
        <v>3</v>
      </c>
      <c r="P16">
        <v>2</v>
      </c>
      <c r="Q16" t="s">
        <v>43</v>
      </c>
      <c r="R16" t="s">
        <v>82</v>
      </c>
      <c r="S16" t="s">
        <v>25</v>
      </c>
      <c r="T16" t="s">
        <v>70</v>
      </c>
    </row>
    <row r="17" spans="1:20" ht="16.5" x14ac:dyDescent="0.45">
      <c r="A17">
        <v>1016</v>
      </c>
      <c r="B17" t="s">
        <v>83</v>
      </c>
      <c r="C17" t="s">
        <v>20</v>
      </c>
      <c r="D17" t="s">
        <v>42</v>
      </c>
      <c r="E17">
        <v>564591</v>
      </c>
      <c r="F17" s="1">
        <v>45536</v>
      </c>
      <c r="G17" s="1"/>
      <c r="I17">
        <v>2797</v>
      </c>
      <c r="K17">
        <v>3</v>
      </c>
      <c r="L17">
        <v>2</v>
      </c>
      <c r="M17" t="s">
        <v>22</v>
      </c>
      <c r="N17">
        <v>2015</v>
      </c>
      <c r="P17">
        <v>4</v>
      </c>
      <c r="Q17" t="s">
        <v>58</v>
      </c>
      <c r="R17" t="s">
        <v>84</v>
      </c>
      <c r="S17" t="s">
        <v>33</v>
      </c>
      <c r="T17" t="s">
        <v>40</v>
      </c>
    </row>
    <row r="18" spans="1:20" ht="16.5" x14ac:dyDescent="0.45">
      <c r="A18">
        <v>1017</v>
      </c>
      <c r="B18" t="s">
        <v>85</v>
      </c>
      <c r="C18" t="s">
        <v>47</v>
      </c>
      <c r="D18" t="s">
        <v>21</v>
      </c>
      <c r="E18">
        <v>313147</v>
      </c>
      <c r="F18" s="1">
        <v>45542</v>
      </c>
      <c r="G18" s="1">
        <v>45569</v>
      </c>
      <c r="H18">
        <v>338801</v>
      </c>
      <c r="I18">
        <v>2615</v>
      </c>
      <c r="J18" s="5">
        <v>885964615</v>
      </c>
      <c r="K18">
        <v>4</v>
      </c>
      <c r="L18">
        <v>5</v>
      </c>
      <c r="M18" t="s">
        <v>22</v>
      </c>
      <c r="N18">
        <v>2020</v>
      </c>
      <c r="P18">
        <v>3</v>
      </c>
      <c r="Q18" t="s">
        <v>86</v>
      </c>
      <c r="R18" t="s">
        <v>87</v>
      </c>
      <c r="S18" t="s">
        <v>25</v>
      </c>
      <c r="T18" t="s">
        <v>88</v>
      </c>
    </row>
    <row r="19" spans="1:20" ht="16.5" x14ac:dyDescent="0.45">
      <c r="A19">
        <v>1018</v>
      </c>
      <c r="B19" t="s">
        <v>89</v>
      </c>
      <c r="C19" t="s">
        <v>36</v>
      </c>
      <c r="D19" t="s">
        <v>21</v>
      </c>
      <c r="E19">
        <v>747303</v>
      </c>
      <c r="F19" s="1">
        <v>45449</v>
      </c>
      <c r="G19" s="1"/>
      <c r="I19">
        <v>3449</v>
      </c>
      <c r="K19">
        <v>6</v>
      </c>
      <c r="L19">
        <v>2</v>
      </c>
      <c r="M19" t="s">
        <v>62</v>
      </c>
      <c r="N19">
        <v>2005</v>
      </c>
      <c r="O19">
        <v>6</v>
      </c>
      <c r="P19">
        <v>3</v>
      </c>
      <c r="Q19" t="s">
        <v>43</v>
      </c>
      <c r="R19" t="s">
        <v>90</v>
      </c>
      <c r="S19" t="s">
        <v>33</v>
      </c>
      <c r="T19" t="s">
        <v>91</v>
      </c>
    </row>
    <row r="20" spans="1:20" ht="16.5" x14ac:dyDescent="0.45">
      <c r="A20">
        <v>1019</v>
      </c>
      <c r="B20" t="s">
        <v>92</v>
      </c>
      <c r="C20" t="s">
        <v>47</v>
      </c>
      <c r="D20" t="s">
        <v>21</v>
      </c>
      <c r="E20">
        <v>544031</v>
      </c>
      <c r="F20" s="1">
        <v>45618</v>
      </c>
      <c r="G20" s="1"/>
      <c r="I20">
        <v>2678</v>
      </c>
      <c r="K20">
        <v>2</v>
      </c>
      <c r="L20">
        <v>2</v>
      </c>
      <c r="M20" t="s">
        <v>22</v>
      </c>
      <c r="N20">
        <v>2001</v>
      </c>
      <c r="P20">
        <v>1</v>
      </c>
      <c r="Q20" t="s">
        <v>93</v>
      </c>
      <c r="R20" t="s">
        <v>94</v>
      </c>
      <c r="S20" t="s">
        <v>33</v>
      </c>
      <c r="T20" t="s">
        <v>40</v>
      </c>
    </row>
    <row r="21" spans="1:20" ht="16.5" x14ac:dyDescent="0.45">
      <c r="A21">
        <v>1020</v>
      </c>
      <c r="B21" t="s">
        <v>95</v>
      </c>
      <c r="C21" t="s">
        <v>47</v>
      </c>
      <c r="D21" t="s">
        <v>21</v>
      </c>
      <c r="E21">
        <v>526245</v>
      </c>
      <c r="F21" s="1">
        <v>45465</v>
      </c>
      <c r="G21" s="1">
        <v>45441</v>
      </c>
      <c r="H21">
        <v>539489</v>
      </c>
      <c r="I21">
        <v>1177</v>
      </c>
      <c r="J21" s="5">
        <v>634978553</v>
      </c>
      <c r="K21">
        <v>5</v>
      </c>
      <c r="L21">
        <v>2</v>
      </c>
      <c r="M21" t="s">
        <v>62</v>
      </c>
      <c r="N21">
        <v>2001</v>
      </c>
      <c r="O21">
        <v>5</v>
      </c>
      <c r="P21">
        <v>1</v>
      </c>
      <c r="Q21" t="s">
        <v>38</v>
      </c>
      <c r="R21" t="s">
        <v>96</v>
      </c>
      <c r="S21" t="s">
        <v>25</v>
      </c>
      <c r="T21" t="s">
        <v>97</v>
      </c>
    </row>
    <row r="22" spans="1:20" ht="16.5" x14ac:dyDescent="0.45">
      <c r="A22">
        <v>1021</v>
      </c>
      <c r="B22" t="s">
        <v>98</v>
      </c>
      <c r="C22" t="s">
        <v>51</v>
      </c>
      <c r="D22" t="s">
        <v>29</v>
      </c>
      <c r="E22">
        <v>637007</v>
      </c>
      <c r="F22" s="1">
        <v>45568</v>
      </c>
      <c r="G22" s="1"/>
      <c r="I22">
        <v>1854</v>
      </c>
      <c r="K22">
        <v>3</v>
      </c>
      <c r="L22">
        <v>4</v>
      </c>
      <c r="M22" t="s">
        <v>30</v>
      </c>
      <c r="N22">
        <v>2006</v>
      </c>
      <c r="O22">
        <v>5</v>
      </c>
      <c r="P22">
        <v>2</v>
      </c>
      <c r="Q22" t="s">
        <v>86</v>
      </c>
      <c r="R22" t="s">
        <v>99</v>
      </c>
      <c r="S22" t="s">
        <v>33</v>
      </c>
      <c r="T22" t="s">
        <v>100</v>
      </c>
    </row>
    <row r="23" spans="1:20" ht="16.5" x14ac:dyDescent="0.45">
      <c r="A23">
        <v>1022</v>
      </c>
      <c r="B23" t="s">
        <v>101</v>
      </c>
      <c r="C23" t="s">
        <v>28</v>
      </c>
      <c r="D23" t="s">
        <v>21</v>
      </c>
      <c r="E23">
        <v>776161</v>
      </c>
      <c r="F23" s="1">
        <v>45533</v>
      </c>
      <c r="G23" s="1"/>
      <c r="I23">
        <v>2353</v>
      </c>
      <c r="K23">
        <v>3</v>
      </c>
      <c r="L23">
        <v>5</v>
      </c>
      <c r="M23" t="s">
        <v>22</v>
      </c>
      <c r="N23">
        <v>2002</v>
      </c>
      <c r="P23">
        <v>4</v>
      </c>
      <c r="Q23" t="s">
        <v>93</v>
      </c>
      <c r="R23" t="s">
        <v>102</v>
      </c>
      <c r="S23" t="s">
        <v>33</v>
      </c>
      <c r="T23" t="s">
        <v>70</v>
      </c>
    </row>
    <row r="24" spans="1:20" ht="16.5" x14ac:dyDescent="0.45">
      <c r="A24">
        <v>1023</v>
      </c>
      <c r="B24" t="s">
        <v>103</v>
      </c>
      <c r="C24" t="s">
        <v>20</v>
      </c>
      <c r="D24" t="s">
        <v>21</v>
      </c>
      <c r="E24">
        <v>766360</v>
      </c>
      <c r="F24" s="1">
        <v>45395</v>
      </c>
      <c r="G24" s="1">
        <v>45490</v>
      </c>
      <c r="H24">
        <v>779806</v>
      </c>
      <c r="I24">
        <v>4461</v>
      </c>
      <c r="J24" s="5">
        <v>3478714566</v>
      </c>
      <c r="K24">
        <v>2</v>
      </c>
      <c r="L24">
        <v>4</v>
      </c>
      <c r="M24" t="s">
        <v>37</v>
      </c>
      <c r="N24">
        <v>2014</v>
      </c>
      <c r="O24">
        <v>10</v>
      </c>
      <c r="P24">
        <v>4</v>
      </c>
      <c r="Q24" t="s">
        <v>93</v>
      </c>
      <c r="R24" t="s">
        <v>104</v>
      </c>
      <c r="S24" t="s">
        <v>25</v>
      </c>
      <c r="T24" t="s">
        <v>91</v>
      </c>
    </row>
    <row r="25" spans="1:20" ht="16.5" x14ac:dyDescent="0.45">
      <c r="A25">
        <v>1024</v>
      </c>
      <c r="B25" t="s">
        <v>105</v>
      </c>
      <c r="C25" t="s">
        <v>36</v>
      </c>
      <c r="D25" t="s">
        <v>21</v>
      </c>
      <c r="E25">
        <v>335304</v>
      </c>
      <c r="F25" s="1">
        <v>45558</v>
      </c>
      <c r="G25" s="1">
        <v>45407</v>
      </c>
      <c r="H25">
        <v>371045</v>
      </c>
      <c r="I25">
        <v>1004</v>
      </c>
      <c r="J25" s="5">
        <v>372529180</v>
      </c>
      <c r="K25">
        <v>4</v>
      </c>
      <c r="L25">
        <v>2</v>
      </c>
      <c r="M25" t="s">
        <v>37</v>
      </c>
      <c r="N25">
        <v>2020</v>
      </c>
      <c r="O25">
        <v>7</v>
      </c>
      <c r="P25">
        <v>1</v>
      </c>
      <c r="Q25" t="s">
        <v>43</v>
      </c>
      <c r="R25" t="s">
        <v>106</v>
      </c>
      <c r="S25" t="s">
        <v>25</v>
      </c>
      <c r="T25" t="s">
        <v>107</v>
      </c>
    </row>
    <row r="26" spans="1:20" ht="16.5" x14ac:dyDescent="0.45">
      <c r="A26">
        <v>1025</v>
      </c>
      <c r="B26" t="s">
        <v>108</v>
      </c>
      <c r="C26" t="s">
        <v>36</v>
      </c>
      <c r="D26" t="s">
        <v>42</v>
      </c>
      <c r="E26">
        <v>871320</v>
      </c>
      <c r="F26" s="1">
        <v>45632</v>
      </c>
      <c r="G26" s="1"/>
      <c r="I26">
        <v>3778</v>
      </c>
      <c r="K26">
        <v>4</v>
      </c>
      <c r="L26">
        <v>4</v>
      </c>
      <c r="M26" t="s">
        <v>30</v>
      </c>
      <c r="N26">
        <v>2005</v>
      </c>
      <c r="O26">
        <v>5</v>
      </c>
      <c r="P26">
        <v>1</v>
      </c>
      <c r="Q26" t="s">
        <v>75</v>
      </c>
      <c r="R26" t="s">
        <v>109</v>
      </c>
      <c r="S26" t="s">
        <v>33</v>
      </c>
      <c r="T26" t="s">
        <v>110</v>
      </c>
    </row>
    <row r="27" spans="1:20" ht="16.5" x14ac:dyDescent="0.45">
      <c r="A27">
        <v>1026</v>
      </c>
      <c r="B27" t="s">
        <v>111</v>
      </c>
      <c r="C27" t="s">
        <v>51</v>
      </c>
      <c r="D27" t="s">
        <v>29</v>
      </c>
      <c r="E27">
        <v>704935</v>
      </c>
      <c r="F27" s="1">
        <v>45397</v>
      </c>
      <c r="G27" s="1">
        <v>45523</v>
      </c>
      <c r="H27">
        <v>726924</v>
      </c>
      <c r="I27">
        <v>3785</v>
      </c>
      <c r="J27" s="5">
        <v>2751407340</v>
      </c>
      <c r="K27">
        <v>4</v>
      </c>
      <c r="L27">
        <v>4</v>
      </c>
      <c r="M27" t="s">
        <v>30</v>
      </c>
      <c r="N27">
        <v>2014</v>
      </c>
      <c r="O27">
        <v>8</v>
      </c>
      <c r="P27">
        <v>3</v>
      </c>
      <c r="Q27" t="s">
        <v>23</v>
      </c>
      <c r="R27" t="s">
        <v>112</v>
      </c>
      <c r="S27" t="s">
        <v>25</v>
      </c>
      <c r="T27" t="s">
        <v>113</v>
      </c>
    </row>
    <row r="28" spans="1:20" ht="16.5" x14ac:dyDescent="0.45">
      <c r="A28">
        <v>1027</v>
      </c>
      <c r="B28" t="s">
        <v>114</v>
      </c>
      <c r="C28" t="s">
        <v>28</v>
      </c>
      <c r="D28" t="s">
        <v>42</v>
      </c>
      <c r="E28">
        <v>301691</v>
      </c>
      <c r="F28" s="1">
        <v>45375</v>
      </c>
      <c r="G28" s="1">
        <v>45293</v>
      </c>
      <c r="H28">
        <v>342911</v>
      </c>
      <c r="I28">
        <v>2015</v>
      </c>
      <c r="J28" s="5">
        <v>690965665</v>
      </c>
      <c r="K28">
        <v>3</v>
      </c>
      <c r="L28">
        <v>5</v>
      </c>
      <c r="M28" t="s">
        <v>37</v>
      </c>
      <c r="N28">
        <v>2011</v>
      </c>
      <c r="O28">
        <v>3</v>
      </c>
      <c r="P28">
        <v>4</v>
      </c>
      <c r="Q28" t="s">
        <v>58</v>
      </c>
      <c r="R28" t="s">
        <v>115</v>
      </c>
      <c r="S28" t="s">
        <v>25</v>
      </c>
      <c r="T28" t="s">
        <v>116</v>
      </c>
    </row>
    <row r="29" spans="1:20" ht="16.5" x14ac:dyDescent="0.45">
      <c r="A29">
        <v>1028</v>
      </c>
      <c r="B29" t="s">
        <v>117</v>
      </c>
      <c r="C29" t="s">
        <v>28</v>
      </c>
      <c r="D29" t="s">
        <v>42</v>
      </c>
      <c r="E29">
        <v>924767</v>
      </c>
      <c r="F29" s="1">
        <v>45370</v>
      </c>
      <c r="G29" s="1"/>
      <c r="I29">
        <v>4224</v>
      </c>
      <c r="K29">
        <v>4</v>
      </c>
      <c r="L29">
        <v>3</v>
      </c>
      <c r="M29" t="s">
        <v>37</v>
      </c>
      <c r="N29">
        <v>2009</v>
      </c>
      <c r="O29">
        <v>2</v>
      </c>
      <c r="P29">
        <v>2</v>
      </c>
      <c r="Q29" t="s">
        <v>38</v>
      </c>
      <c r="R29" t="s">
        <v>118</v>
      </c>
      <c r="S29" t="s">
        <v>33</v>
      </c>
      <c r="T29" t="s">
        <v>119</v>
      </c>
    </row>
    <row r="30" spans="1:20" ht="16.5" x14ac:dyDescent="0.45">
      <c r="A30">
        <v>1029</v>
      </c>
      <c r="B30" t="s">
        <v>120</v>
      </c>
      <c r="C30" t="s">
        <v>51</v>
      </c>
      <c r="D30" t="s">
        <v>29</v>
      </c>
      <c r="E30">
        <v>577544</v>
      </c>
      <c r="F30" s="1">
        <v>45517</v>
      </c>
      <c r="G30" s="1">
        <v>45456</v>
      </c>
      <c r="H30">
        <v>622669</v>
      </c>
      <c r="I30">
        <v>3059</v>
      </c>
      <c r="J30" s="5">
        <v>1904744471</v>
      </c>
      <c r="K30">
        <v>2</v>
      </c>
      <c r="L30">
        <v>5</v>
      </c>
      <c r="M30" t="s">
        <v>30</v>
      </c>
      <c r="N30">
        <v>2020</v>
      </c>
      <c r="O30">
        <v>9</v>
      </c>
      <c r="P30">
        <v>2</v>
      </c>
      <c r="Q30" t="s">
        <v>31</v>
      </c>
      <c r="R30" t="s">
        <v>121</v>
      </c>
      <c r="S30" t="s">
        <v>25</v>
      </c>
      <c r="T30" t="s">
        <v>122</v>
      </c>
    </row>
    <row r="31" spans="1:20" ht="16.5" x14ac:dyDescent="0.45">
      <c r="A31">
        <v>1030</v>
      </c>
      <c r="B31" t="s">
        <v>123</v>
      </c>
      <c r="C31" t="s">
        <v>20</v>
      </c>
      <c r="D31" t="s">
        <v>29</v>
      </c>
      <c r="E31">
        <v>404952</v>
      </c>
      <c r="F31" s="1">
        <v>45296</v>
      </c>
      <c r="G31" s="1">
        <v>45411</v>
      </c>
      <c r="H31">
        <v>448454</v>
      </c>
      <c r="I31">
        <v>1437</v>
      </c>
      <c r="J31" s="5">
        <v>644428398</v>
      </c>
      <c r="K31">
        <v>4</v>
      </c>
      <c r="L31">
        <v>2</v>
      </c>
      <c r="M31" t="s">
        <v>30</v>
      </c>
      <c r="N31">
        <v>2016</v>
      </c>
      <c r="O31">
        <v>7</v>
      </c>
      <c r="P31">
        <v>1</v>
      </c>
      <c r="Q31" t="s">
        <v>58</v>
      </c>
      <c r="R31" t="s">
        <v>124</v>
      </c>
      <c r="S31" t="s">
        <v>25</v>
      </c>
      <c r="T31" t="s">
        <v>125</v>
      </c>
    </row>
    <row r="32" spans="1:20" ht="16.5" x14ac:dyDescent="0.45">
      <c r="A32">
        <v>1031</v>
      </c>
      <c r="B32" t="s">
        <v>126</v>
      </c>
      <c r="C32" t="s">
        <v>20</v>
      </c>
      <c r="D32" t="s">
        <v>21</v>
      </c>
      <c r="E32">
        <v>896764</v>
      </c>
      <c r="F32" s="1">
        <v>45621</v>
      </c>
      <c r="G32" s="1">
        <v>45413</v>
      </c>
      <c r="H32">
        <v>938209</v>
      </c>
      <c r="I32">
        <v>3477</v>
      </c>
      <c r="J32" s="5">
        <v>3262152693</v>
      </c>
      <c r="K32">
        <v>4</v>
      </c>
      <c r="L32">
        <v>3</v>
      </c>
      <c r="M32" t="s">
        <v>30</v>
      </c>
      <c r="N32">
        <v>2023</v>
      </c>
      <c r="O32">
        <v>10</v>
      </c>
      <c r="P32">
        <v>1</v>
      </c>
      <c r="Q32" t="s">
        <v>43</v>
      </c>
      <c r="R32" t="s">
        <v>127</v>
      </c>
      <c r="S32" t="s">
        <v>25</v>
      </c>
      <c r="T32" t="s">
        <v>128</v>
      </c>
    </row>
    <row r="33" spans="1:20" ht="16.5" x14ac:dyDescent="0.45">
      <c r="A33">
        <v>1032</v>
      </c>
      <c r="B33" t="s">
        <v>129</v>
      </c>
      <c r="C33" t="s">
        <v>36</v>
      </c>
      <c r="D33" t="s">
        <v>29</v>
      </c>
      <c r="E33">
        <v>629419</v>
      </c>
      <c r="F33" s="1">
        <v>45489</v>
      </c>
      <c r="G33" s="1"/>
      <c r="I33">
        <v>1272</v>
      </c>
      <c r="K33">
        <v>3</v>
      </c>
      <c r="L33">
        <v>3</v>
      </c>
      <c r="M33" t="s">
        <v>22</v>
      </c>
      <c r="N33">
        <v>2009</v>
      </c>
      <c r="P33">
        <v>1</v>
      </c>
      <c r="Q33" t="s">
        <v>86</v>
      </c>
      <c r="R33" t="s">
        <v>130</v>
      </c>
      <c r="S33" t="s">
        <v>33</v>
      </c>
      <c r="T33" t="s">
        <v>40</v>
      </c>
    </row>
    <row r="34" spans="1:20" ht="16.5" x14ac:dyDescent="0.45">
      <c r="A34">
        <v>1033</v>
      </c>
      <c r="B34" t="s">
        <v>131</v>
      </c>
      <c r="C34" t="s">
        <v>51</v>
      </c>
      <c r="D34" t="s">
        <v>29</v>
      </c>
      <c r="E34">
        <v>724241</v>
      </c>
      <c r="F34" s="1">
        <v>45543</v>
      </c>
      <c r="G34" s="1">
        <v>45360</v>
      </c>
      <c r="H34">
        <v>744744</v>
      </c>
      <c r="I34">
        <v>3739</v>
      </c>
      <c r="J34" s="5">
        <v>2784597816</v>
      </c>
      <c r="K34">
        <v>3</v>
      </c>
      <c r="L34">
        <v>5</v>
      </c>
      <c r="M34" t="s">
        <v>30</v>
      </c>
      <c r="N34">
        <v>2015</v>
      </c>
      <c r="O34">
        <v>1</v>
      </c>
      <c r="P34">
        <v>1</v>
      </c>
      <c r="Q34" t="s">
        <v>132</v>
      </c>
      <c r="R34" t="s">
        <v>133</v>
      </c>
      <c r="S34" t="s">
        <v>25</v>
      </c>
      <c r="T34" t="s">
        <v>134</v>
      </c>
    </row>
    <row r="35" spans="1:20" ht="16.5" x14ac:dyDescent="0.45">
      <c r="A35">
        <v>1034</v>
      </c>
      <c r="B35" t="s">
        <v>135</v>
      </c>
      <c r="C35" t="s">
        <v>20</v>
      </c>
      <c r="D35" t="s">
        <v>42</v>
      </c>
      <c r="E35">
        <v>574249</v>
      </c>
      <c r="F35" s="1">
        <v>45467</v>
      </c>
      <c r="G35" s="1"/>
      <c r="I35">
        <v>1993</v>
      </c>
      <c r="K35">
        <v>5</v>
      </c>
      <c r="L35">
        <v>2</v>
      </c>
      <c r="M35" t="s">
        <v>22</v>
      </c>
      <c r="N35">
        <v>2006</v>
      </c>
      <c r="P35">
        <v>1</v>
      </c>
      <c r="Q35" t="s">
        <v>38</v>
      </c>
      <c r="R35" t="s">
        <v>136</v>
      </c>
      <c r="S35" t="s">
        <v>33</v>
      </c>
      <c r="T35" t="s">
        <v>137</v>
      </c>
    </row>
    <row r="36" spans="1:20" ht="16.5" x14ac:dyDescent="0.45">
      <c r="A36">
        <v>1035</v>
      </c>
      <c r="B36" t="s">
        <v>138</v>
      </c>
      <c r="C36" t="s">
        <v>36</v>
      </c>
      <c r="D36" t="s">
        <v>21</v>
      </c>
      <c r="E36">
        <v>552866</v>
      </c>
      <c r="F36" s="1">
        <v>45319</v>
      </c>
      <c r="G36" s="1">
        <v>45424</v>
      </c>
      <c r="H36">
        <v>575230</v>
      </c>
      <c r="I36">
        <v>1232</v>
      </c>
      <c r="J36" s="5">
        <v>708683360</v>
      </c>
      <c r="K36">
        <v>2</v>
      </c>
      <c r="L36">
        <v>3</v>
      </c>
      <c r="M36" t="s">
        <v>37</v>
      </c>
      <c r="N36">
        <v>2004</v>
      </c>
      <c r="O36">
        <v>6</v>
      </c>
      <c r="P36">
        <v>3</v>
      </c>
      <c r="Q36" t="s">
        <v>38</v>
      </c>
      <c r="R36" t="s">
        <v>139</v>
      </c>
      <c r="S36" t="s">
        <v>25</v>
      </c>
      <c r="T36" t="s">
        <v>128</v>
      </c>
    </row>
    <row r="37" spans="1:20" ht="16.5" x14ac:dyDescent="0.45">
      <c r="A37">
        <v>1036</v>
      </c>
      <c r="B37" t="s">
        <v>140</v>
      </c>
      <c r="C37" t="s">
        <v>47</v>
      </c>
      <c r="D37" t="s">
        <v>29</v>
      </c>
      <c r="E37">
        <v>680850</v>
      </c>
      <c r="F37" s="1">
        <v>45478</v>
      </c>
      <c r="G37" s="1">
        <v>45373</v>
      </c>
      <c r="H37">
        <v>702288</v>
      </c>
      <c r="I37">
        <v>4002</v>
      </c>
      <c r="J37" s="5">
        <v>2810556576</v>
      </c>
      <c r="K37">
        <v>3</v>
      </c>
      <c r="L37">
        <v>3</v>
      </c>
      <c r="M37" t="s">
        <v>37</v>
      </c>
      <c r="N37">
        <v>2015</v>
      </c>
      <c r="O37">
        <v>6</v>
      </c>
      <c r="P37">
        <v>3</v>
      </c>
      <c r="Q37" t="s">
        <v>132</v>
      </c>
      <c r="R37" t="s">
        <v>141</v>
      </c>
      <c r="S37" t="s">
        <v>25</v>
      </c>
      <c r="T37" t="s">
        <v>142</v>
      </c>
    </row>
    <row r="38" spans="1:20" ht="16.5" x14ac:dyDescent="0.45">
      <c r="A38">
        <v>1037</v>
      </c>
      <c r="B38" t="s">
        <v>143</v>
      </c>
      <c r="C38" t="s">
        <v>20</v>
      </c>
      <c r="D38" t="s">
        <v>29</v>
      </c>
      <c r="E38">
        <v>825586</v>
      </c>
      <c r="F38" s="1">
        <v>45503</v>
      </c>
      <c r="G38" s="1">
        <v>45433</v>
      </c>
      <c r="H38">
        <v>874890</v>
      </c>
      <c r="I38">
        <v>1205</v>
      </c>
      <c r="J38" s="5">
        <v>1054242450</v>
      </c>
      <c r="K38">
        <v>6</v>
      </c>
      <c r="L38">
        <v>5</v>
      </c>
      <c r="M38" t="s">
        <v>22</v>
      </c>
      <c r="N38">
        <v>2001</v>
      </c>
      <c r="P38">
        <v>3</v>
      </c>
      <c r="Q38" t="s">
        <v>86</v>
      </c>
      <c r="R38" t="s">
        <v>144</v>
      </c>
      <c r="S38" t="s">
        <v>25</v>
      </c>
      <c r="T38" t="s">
        <v>145</v>
      </c>
    </row>
    <row r="39" spans="1:20" ht="16.5" x14ac:dyDescent="0.45">
      <c r="A39">
        <v>1038</v>
      </c>
      <c r="B39" t="s">
        <v>146</v>
      </c>
      <c r="C39" t="s">
        <v>47</v>
      </c>
      <c r="D39" t="s">
        <v>42</v>
      </c>
      <c r="E39">
        <v>305473</v>
      </c>
      <c r="F39" s="1">
        <v>45494</v>
      </c>
      <c r="G39" s="1"/>
      <c r="I39">
        <v>2096</v>
      </c>
      <c r="K39">
        <v>4</v>
      </c>
      <c r="L39">
        <v>4</v>
      </c>
      <c r="M39" t="s">
        <v>62</v>
      </c>
      <c r="N39">
        <v>2003</v>
      </c>
      <c r="O39">
        <v>9</v>
      </c>
      <c r="P39">
        <v>3</v>
      </c>
      <c r="Q39" t="s">
        <v>93</v>
      </c>
      <c r="R39" t="s">
        <v>147</v>
      </c>
      <c r="S39" t="s">
        <v>33</v>
      </c>
      <c r="T39" t="s">
        <v>40</v>
      </c>
    </row>
    <row r="40" spans="1:20" ht="16.5" x14ac:dyDescent="0.45">
      <c r="A40">
        <v>1039</v>
      </c>
      <c r="B40" t="s">
        <v>148</v>
      </c>
      <c r="C40" t="s">
        <v>20</v>
      </c>
      <c r="D40" t="s">
        <v>21</v>
      </c>
      <c r="E40">
        <v>790220</v>
      </c>
      <c r="F40" s="1">
        <v>45428</v>
      </c>
      <c r="G40" s="1">
        <v>45627</v>
      </c>
      <c r="H40">
        <v>836718</v>
      </c>
      <c r="I40">
        <v>3268</v>
      </c>
      <c r="J40" s="5">
        <v>2734394424</v>
      </c>
      <c r="K40">
        <v>2</v>
      </c>
      <c r="L40">
        <v>4</v>
      </c>
      <c r="M40" t="s">
        <v>37</v>
      </c>
      <c r="N40">
        <v>2017</v>
      </c>
      <c r="O40">
        <v>7</v>
      </c>
      <c r="P40">
        <v>3</v>
      </c>
      <c r="Q40" t="s">
        <v>93</v>
      </c>
      <c r="R40" t="s">
        <v>149</v>
      </c>
      <c r="S40" t="s">
        <v>25</v>
      </c>
      <c r="T40" t="s">
        <v>128</v>
      </c>
    </row>
    <row r="41" spans="1:20" ht="16.5" x14ac:dyDescent="0.45">
      <c r="A41">
        <v>1040</v>
      </c>
      <c r="B41" t="s">
        <v>150</v>
      </c>
      <c r="C41" t="s">
        <v>28</v>
      </c>
      <c r="D41" t="s">
        <v>21</v>
      </c>
      <c r="E41">
        <v>458395</v>
      </c>
      <c r="F41" s="1">
        <v>45378</v>
      </c>
      <c r="G41" s="1"/>
      <c r="I41">
        <v>2406</v>
      </c>
      <c r="K41">
        <v>5</v>
      </c>
      <c r="L41">
        <v>4</v>
      </c>
      <c r="M41" t="s">
        <v>37</v>
      </c>
      <c r="N41">
        <v>2018</v>
      </c>
      <c r="O41">
        <v>7</v>
      </c>
      <c r="P41">
        <v>4</v>
      </c>
      <c r="Q41" t="s">
        <v>43</v>
      </c>
      <c r="R41" t="s">
        <v>151</v>
      </c>
      <c r="S41" t="s">
        <v>33</v>
      </c>
      <c r="T41" t="s">
        <v>152</v>
      </c>
    </row>
    <row r="42" spans="1:20" ht="16.5" x14ac:dyDescent="0.45">
      <c r="A42">
        <v>1041</v>
      </c>
      <c r="B42" t="s">
        <v>153</v>
      </c>
      <c r="C42" t="s">
        <v>47</v>
      </c>
      <c r="D42" t="s">
        <v>42</v>
      </c>
      <c r="E42">
        <v>602623</v>
      </c>
      <c r="F42" s="1">
        <v>45539</v>
      </c>
      <c r="G42" s="1"/>
      <c r="I42">
        <v>2464</v>
      </c>
      <c r="K42">
        <v>6</v>
      </c>
      <c r="L42">
        <v>3</v>
      </c>
      <c r="M42" t="s">
        <v>30</v>
      </c>
      <c r="N42">
        <v>2000</v>
      </c>
      <c r="O42">
        <v>4</v>
      </c>
      <c r="P42">
        <v>2</v>
      </c>
      <c r="Q42" t="s">
        <v>86</v>
      </c>
      <c r="R42" t="s">
        <v>154</v>
      </c>
      <c r="S42" t="s">
        <v>33</v>
      </c>
      <c r="T42" t="s">
        <v>155</v>
      </c>
    </row>
    <row r="43" spans="1:20" ht="16.5" x14ac:dyDescent="0.45">
      <c r="A43">
        <v>1042</v>
      </c>
      <c r="B43" t="s">
        <v>156</v>
      </c>
      <c r="C43" t="s">
        <v>47</v>
      </c>
      <c r="D43" t="s">
        <v>42</v>
      </c>
      <c r="E43">
        <v>808632</v>
      </c>
      <c r="F43" s="1">
        <v>45417</v>
      </c>
      <c r="G43" s="1"/>
      <c r="I43">
        <v>1275</v>
      </c>
      <c r="K43">
        <v>3</v>
      </c>
      <c r="L43">
        <v>2</v>
      </c>
      <c r="M43" t="s">
        <v>62</v>
      </c>
      <c r="N43">
        <v>2012</v>
      </c>
      <c r="O43">
        <v>2</v>
      </c>
      <c r="P43">
        <v>2</v>
      </c>
      <c r="Q43" t="s">
        <v>93</v>
      </c>
      <c r="R43" t="s">
        <v>157</v>
      </c>
      <c r="S43" t="s">
        <v>33</v>
      </c>
      <c r="T43" t="s">
        <v>158</v>
      </c>
    </row>
    <row r="44" spans="1:20" ht="16.5" x14ac:dyDescent="0.45">
      <c r="A44">
        <v>1043</v>
      </c>
      <c r="B44" t="s">
        <v>159</v>
      </c>
      <c r="C44" t="s">
        <v>36</v>
      </c>
      <c r="D44" t="s">
        <v>42</v>
      </c>
      <c r="E44">
        <v>946776</v>
      </c>
      <c r="F44" s="1">
        <v>45605</v>
      </c>
      <c r="G44" s="1"/>
      <c r="I44">
        <v>3867</v>
      </c>
      <c r="K44">
        <v>2</v>
      </c>
      <c r="L44">
        <v>2</v>
      </c>
      <c r="M44" t="s">
        <v>62</v>
      </c>
      <c r="N44">
        <v>2002</v>
      </c>
      <c r="O44">
        <v>2</v>
      </c>
      <c r="P44">
        <v>4</v>
      </c>
      <c r="Q44" t="s">
        <v>58</v>
      </c>
      <c r="R44" t="s">
        <v>160</v>
      </c>
      <c r="S44" t="s">
        <v>33</v>
      </c>
      <c r="T44" t="s">
        <v>70</v>
      </c>
    </row>
    <row r="45" spans="1:20" ht="16.5" x14ac:dyDescent="0.45">
      <c r="A45">
        <v>1044</v>
      </c>
      <c r="B45" t="s">
        <v>161</v>
      </c>
      <c r="C45" t="s">
        <v>47</v>
      </c>
      <c r="D45" t="s">
        <v>29</v>
      </c>
      <c r="E45">
        <v>498847</v>
      </c>
      <c r="F45" s="1">
        <v>45349</v>
      </c>
      <c r="G45" s="1">
        <v>45326</v>
      </c>
      <c r="H45">
        <v>517283</v>
      </c>
      <c r="I45">
        <v>2397</v>
      </c>
      <c r="J45" s="5">
        <v>1239927351</v>
      </c>
      <c r="K45">
        <v>5</v>
      </c>
      <c r="L45">
        <v>5</v>
      </c>
      <c r="M45" t="s">
        <v>30</v>
      </c>
      <c r="N45">
        <v>2005</v>
      </c>
      <c r="O45">
        <v>9</v>
      </c>
      <c r="P45">
        <v>4</v>
      </c>
      <c r="Q45" t="s">
        <v>162</v>
      </c>
      <c r="R45" t="s">
        <v>163</v>
      </c>
      <c r="S45" t="s">
        <v>25</v>
      </c>
      <c r="T45" t="s">
        <v>164</v>
      </c>
    </row>
    <row r="46" spans="1:20" ht="16.5" x14ac:dyDescent="0.45">
      <c r="A46">
        <v>1045</v>
      </c>
      <c r="B46" t="s">
        <v>165</v>
      </c>
      <c r="C46" t="s">
        <v>28</v>
      </c>
      <c r="D46" t="s">
        <v>29</v>
      </c>
      <c r="E46">
        <v>927649</v>
      </c>
      <c r="F46" s="1">
        <v>45313</v>
      </c>
      <c r="G46" s="1">
        <v>45536</v>
      </c>
      <c r="H46">
        <v>945604</v>
      </c>
      <c r="I46">
        <v>4308</v>
      </c>
      <c r="J46" s="5">
        <v>4073662032</v>
      </c>
      <c r="K46">
        <v>4</v>
      </c>
      <c r="L46">
        <v>4</v>
      </c>
      <c r="M46" t="s">
        <v>37</v>
      </c>
      <c r="N46">
        <v>2018</v>
      </c>
      <c r="O46">
        <v>5</v>
      </c>
      <c r="P46">
        <v>4</v>
      </c>
      <c r="Q46" t="s">
        <v>38</v>
      </c>
      <c r="R46" t="s">
        <v>163</v>
      </c>
      <c r="S46" t="s">
        <v>25</v>
      </c>
      <c r="T46" t="s">
        <v>166</v>
      </c>
    </row>
    <row r="47" spans="1:20" ht="16.5" x14ac:dyDescent="0.45">
      <c r="A47">
        <v>1046</v>
      </c>
      <c r="B47" t="s">
        <v>167</v>
      </c>
      <c r="C47" t="s">
        <v>20</v>
      </c>
      <c r="D47" t="s">
        <v>42</v>
      </c>
      <c r="E47">
        <v>459259</v>
      </c>
      <c r="F47" s="1">
        <v>45394</v>
      </c>
      <c r="G47" s="1">
        <v>45356</v>
      </c>
      <c r="H47">
        <v>472073</v>
      </c>
      <c r="I47">
        <v>4960</v>
      </c>
      <c r="J47" s="5">
        <v>2341482080</v>
      </c>
      <c r="K47">
        <v>5</v>
      </c>
      <c r="L47">
        <v>3</v>
      </c>
      <c r="M47" t="s">
        <v>22</v>
      </c>
      <c r="N47">
        <v>2017</v>
      </c>
      <c r="P47">
        <v>1</v>
      </c>
      <c r="Q47" t="s">
        <v>43</v>
      </c>
      <c r="R47" t="s">
        <v>168</v>
      </c>
      <c r="S47" t="s">
        <v>25</v>
      </c>
      <c r="T47" t="s">
        <v>169</v>
      </c>
    </row>
    <row r="48" spans="1:20" ht="16.5" x14ac:dyDescent="0.45">
      <c r="A48">
        <v>1047</v>
      </c>
      <c r="B48" t="s">
        <v>170</v>
      </c>
      <c r="C48" t="s">
        <v>36</v>
      </c>
      <c r="D48" t="s">
        <v>42</v>
      </c>
      <c r="E48">
        <v>823416</v>
      </c>
      <c r="F48" s="1">
        <v>45292</v>
      </c>
      <c r="G48" s="1">
        <v>45531</v>
      </c>
      <c r="H48">
        <v>872436</v>
      </c>
      <c r="I48">
        <v>1015</v>
      </c>
      <c r="J48" s="5">
        <v>885522540</v>
      </c>
      <c r="K48">
        <v>4</v>
      </c>
      <c r="L48">
        <v>3</v>
      </c>
      <c r="M48" t="s">
        <v>22</v>
      </c>
      <c r="N48">
        <v>2008</v>
      </c>
      <c r="P48">
        <v>2</v>
      </c>
      <c r="Q48" t="s">
        <v>132</v>
      </c>
      <c r="R48" t="s">
        <v>171</v>
      </c>
      <c r="S48" t="s">
        <v>25</v>
      </c>
      <c r="T48" t="s">
        <v>172</v>
      </c>
    </row>
    <row r="49" spans="1:20" ht="16.5" x14ac:dyDescent="0.45">
      <c r="A49">
        <v>1048</v>
      </c>
      <c r="B49" t="s">
        <v>173</v>
      </c>
      <c r="C49" t="s">
        <v>28</v>
      </c>
      <c r="D49" t="s">
        <v>42</v>
      </c>
      <c r="E49">
        <v>757601</v>
      </c>
      <c r="F49" s="1">
        <v>45444</v>
      </c>
      <c r="G49" s="1"/>
      <c r="I49">
        <v>1948</v>
      </c>
      <c r="K49">
        <v>3</v>
      </c>
      <c r="L49">
        <v>4</v>
      </c>
      <c r="M49" t="s">
        <v>62</v>
      </c>
      <c r="N49">
        <v>2008</v>
      </c>
      <c r="O49">
        <v>5</v>
      </c>
      <c r="P49">
        <v>3</v>
      </c>
      <c r="Q49" t="s">
        <v>23</v>
      </c>
      <c r="R49" t="s">
        <v>174</v>
      </c>
      <c r="S49" t="s">
        <v>33</v>
      </c>
      <c r="T49" t="s">
        <v>137</v>
      </c>
    </row>
    <row r="50" spans="1:20" ht="16.5" x14ac:dyDescent="0.45">
      <c r="A50">
        <v>1049</v>
      </c>
      <c r="B50" t="s">
        <v>175</v>
      </c>
      <c r="C50" t="s">
        <v>20</v>
      </c>
      <c r="D50" t="s">
        <v>29</v>
      </c>
      <c r="E50">
        <v>552138</v>
      </c>
      <c r="F50" s="1">
        <v>45295</v>
      </c>
      <c r="G50" s="1"/>
      <c r="I50">
        <v>1155</v>
      </c>
      <c r="K50">
        <v>3</v>
      </c>
      <c r="L50">
        <v>3</v>
      </c>
      <c r="M50" t="s">
        <v>30</v>
      </c>
      <c r="N50">
        <v>2008</v>
      </c>
      <c r="O50">
        <v>9</v>
      </c>
      <c r="P50">
        <v>1</v>
      </c>
      <c r="Q50" t="s">
        <v>23</v>
      </c>
      <c r="R50" t="s">
        <v>176</v>
      </c>
      <c r="S50" t="s">
        <v>33</v>
      </c>
      <c r="T50" t="s">
        <v>177</v>
      </c>
    </row>
    <row r="51" spans="1:20" ht="16.5" x14ac:dyDescent="0.45">
      <c r="A51">
        <v>1050</v>
      </c>
      <c r="B51" t="s">
        <v>178</v>
      </c>
      <c r="C51" t="s">
        <v>36</v>
      </c>
      <c r="D51" t="s">
        <v>42</v>
      </c>
      <c r="E51">
        <v>942378</v>
      </c>
      <c r="F51" s="1">
        <v>45563</v>
      </c>
      <c r="G51" s="1"/>
      <c r="I51">
        <v>1162</v>
      </c>
      <c r="K51">
        <v>3</v>
      </c>
      <c r="L51">
        <v>4</v>
      </c>
      <c r="M51" t="s">
        <v>22</v>
      </c>
      <c r="N51">
        <v>2002</v>
      </c>
      <c r="P51">
        <v>1</v>
      </c>
      <c r="Q51" t="s">
        <v>23</v>
      </c>
      <c r="R51" t="s">
        <v>179</v>
      </c>
      <c r="S51" t="s">
        <v>33</v>
      </c>
      <c r="T51" t="s">
        <v>180</v>
      </c>
    </row>
    <row r="52" spans="1:20" ht="16.5" x14ac:dyDescent="0.45">
      <c r="A52">
        <v>1051</v>
      </c>
      <c r="B52" t="s">
        <v>181</v>
      </c>
      <c r="C52" t="s">
        <v>20</v>
      </c>
      <c r="D52" t="s">
        <v>21</v>
      </c>
      <c r="E52">
        <v>689096</v>
      </c>
      <c r="F52" s="1">
        <v>45327</v>
      </c>
      <c r="G52" s="1"/>
      <c r="I52">
        <v>4297</v>
      </c>
      <c r="K52">
        <v>2</v>
      </c>
      <c r="L52">
        <v>3</v>
      </c>
      <c r="M52" t="s">
        <v>62</v>
      </c>
      <c r="N52">
        <v>2022</v>
      </c>
      <c r="O52">
        <v>4</v>
      </c>
      <c r="P52">
        <v>2</v>
      </c>
      <c r="Q52" t="s">
        <v>38</v>
      </c>
      <c r="R52" t="s">
        <v>182</v>
      </c>
      <c r="S52" t="s">
        <v>33</v>
      </c>
      <c r="T52" t="s">
        <v>183</v>
      </c>
    </row>
    <row r="53" spans="1:20" ht="16.5" x14ac:dyDescent="0.45">
      <c r="A53">
        <v>1052</v>
      </c>
      <c r="B53" t="s">
        <v>184</v>
      </c>
      <c r="C53" t="s">
        <v>51</v>
      </c>
      <c r="D53" t="s">
        <v>21</v>
      </c>
      <c r="E53">
        <v>364074</v>
      </c>
      <c r="F53" s="1">
        <v>45464</v>
      </c>
      <c r="G53" s="1"/>
      <c r="I53">
        <v>1437</v>
      </c>
      <c r="K53">
        <v>5</v>
      </c>
      <c r="L53">
        <v>5</v>
      </c>
      <c r="M53" t="s">
        <v>22</v>
      </c>
      <c r="N53">
        <v>2008</v>
      </c>
      <c r="P53">
        <v>1</v>
      </c>
      <c r="Q53" t="s">
        <v>75</v>
      </c>
      <c r="R53" t="s">
        <v>185</v>
      </c>
      <c r="S53" t="s">
        <v>33</v>
      </c>
      <c r="T53" t="s">
        <v>186</v>
      </c>
    </row>
    <row r="54" spans="1:20" ht="16.5" x14ac:dyDescent="0.45">
      <c r="A54">
        <v>1053</v>
      </c>
      <c r="B54" t="s">
        <v>187</v>
      </c>
      <c r="C54" t="s">
        <v>28</v>
      </c>
      <c r="D54" t="s">
        <v>29</v>
      </c>
      <c r="E54">
        <v>448458</v>
      </c>
      <c r="F54" s="1">
        <v>45297</v>
      </c>
      <c r="G54" s="1">
        <v>45617</v>
      </c>
      <c r="H54">
        <v>460358</v>
      </c>
      <c r="I54">
        <v>4694</v>
      </c>
      <c r="J54" s="5">
        <v>2160920452</v>
      </c>
      <c r="K54">
        <v>5</v>
      </c>
      <c r="L54">
        <v>4</v>
      </c>
      <c r="M54" t="s">
        <v>37</v>
      </c>
      <c r="N54">
        <v>2016</v>
      </c>
      <c r="O54">
        <v>7</v>
      </c>
      <c r="P54">
        <v>3</v>
      </c>
      <c r="Q54" t="s">
        <v>75</v>
      </c>
      <c r="R54" t="s">
        <v>188</v>
      </c>
      <c r="S54" t="s">
        <v>25</v>
      </c>
      <c r="T54" t="s">
        <v>137</v>
      </c>
    </row>
    <row r="55" spans="1:20" ht="16.5" x14ac:dyDescent="0.45">
      <c r="A55">
        <v>1054</v>
      </c>
      <c r="B55" t="s">
        <v>189</v>
      </c>
      <c r="C55" t="s">
        <v>20</v>
      </c>
      <c r="D55" t="s">
        <v>42</v>
      </c>
      <c r="E55">
        <v>594315</v>
      </c>
      <c r="F55" s="1">
        <v>45599</v>
      </c>
      <c r="G55" s="1"/>
      <c r="I55">
        <v>4588</v>
      </c>
      <c r="K55">
        <v>4</v>
      </c>
      <c r="L55">
        <v>5</v>
      </c>
      <c r="M55" t="s">
        <v>22</v>
      </c>
      <c r="N55">
        <v>2004</v>
      </c>
      <c r="P55">
        <v>3</v>
      </c>
      <c r="Q55" t="s">
        <v>93</v>
      </c>
      <c r="R55" t="s">
        <v>190</v>
      </c>
      <c r="S55" t="s">
        <v>33</v>
      </c>
      <c r="T55" t="s">
        <v>191</v>
      </c>
    </row>
    <row r="56" spans="1:20" ht="16.5" x14ac:dyDescent="0.45">
      <c r="A56">
        <v>1055</v>
      </c>
      <c r="B56" t="s">
        <v>192</v>
      </c>
      <c r="C56" t="s">
        <v>28</v>
      </c>
      <c r="D56" t="s">
        <v>29</v>
      </c>
      <c r="E56">
        <v>354502</v>
      </c>
      <c r="F56" s="1">
        <v>45563</v>
      </c>
      <c r="G56" s="1">
        <v>45519</v>
      </c>
      <c r="H56">
        <v>376565</v>
      </c>
      <c r="I56">
        <v>3681</v>
      </c>
      <c r="J56" s="5">
        <v>1386135765</v>
      </c>
      <c r="K56">
        <v>3</v>
      </c>
      <c r="L56">
        <v>3</v>
      </c>
      <c r="M56" t="s">
        <v>37</v>
      </c>
      <c r="N56">
        <v>2002</v>
      </c>
      <c r="O56">
        <v>7</v>
      </c>
      <c r="P56">
        <v>4</v>
      </c>
      <c r="Q56" t="s">
        <v>75</v>
      </c>
      <c r="R56" t="s">
        <v>193</v>
      </c>
      <c r="S56" t="s">
        <v>25</v>
      </c>
      <c r="T56" t="s">
        <v>194</v>
      </c>
    </row>
    <row r="57" spans="1:20" ht="16.5" x14ac:dyDescent="0.45">
      <c r="A57">
        <v>1056</v>
      </c>
      <c r="B57" t="s">
        <v>195</v>
      </c>
      <c r="C57" t="s">
        <v>47</v>
      </c>
      <c r="D57" t="s">
        <v>21</v>
      </c>
      <c r="E57">
        <v>404671</v>
      </c>
      <c r="F57" s="1">
        <v>45624</v>
      </c>
      <c r="G57" s="1"/>
      <c r="I57">
        <v>2305</v>
      </c>
      <c r="K57">
        <v>3</v>
      </c>
      <c r="L57">
        <v>2</v>
      </c>
      <c r="M57" t="s">
        <v>30</v>
      </c>
      <c r="N57">
        <v>2003</v>
      </c>
      <c r="O57">
        <v>4</v>
      </c>
      <c r="P57">
        <v>1</v>
      </c>
      <c r="Q57" t="s">
        <v>162</v>
      </c>
      <c r="R57" t="s">
        <v>196</v>
      </c>
      <c r="S57" t="s">
        <v>33</v>
      </c>
      <c r="T57" t="s">
        <v>180</v>
      </c>
    </row>
    <row r="58" spans="1:20" ht="16.5" x14ac:dyDescent="0.45">
      <c r="A58">
        <v>1057</v>
      </c>
      <c r="B58" t="s">
        <v>197</v>
      </c>
      <c r="C58" t="s">
        <v>28</v>
      </c>
      <c r="D58" t="s">
        <v>29</v>
      </c>
      <c r="E58">
        <v>915042</v>
      </c>
      <c r="F58" s="1">
        <v>45566</v>
      </c>
      <c r="G58" s="1"/>
      <c r="I58">
        <v>3523</v>
      </c>
      <c r="K58">
        <v>2</v>
      </c>
      <c r="L58">
        <v>2</v>
      </c>
      <c r="M58" t="s">
        <v>37</v>
      </c>
      <c r="N58">
        <v>2015</v>
      </c>
      <c r="O58">
        <v>7</v>
      </c>
      <c r="P58">
        <v>2</v>
      </c>
      <c r="Q58" t="s">
        <v>93</v>
      </c>
      <c r="R58" t="s">
        <v>198</v>
      </c>
      <c r="S58" t="s">
        <v>33</v>
      </c>
      <c r="T58" t="s">
        <v>77</v>
      </c>
    </row>
    <row r="59" spans="1:20" ht="16.5" x14ac:dyDescent="0.45">
      <c r="A59">
        <v>1058</v>
      </c>
      <c r="B59" t="s">
        <v>199</v>
      </c>
      <c r="C59" t="s">
        <v>36</v>
      </c>
      <c r="D59" t="s">
        <v>29</v>
      </c>
      <c r="E59">
        <v>599153</v>
      </c>
      <c r="F59" s="1">
        <v>45410</v>
      </c>
      <c r="G59" s="1">
        <v>45634</v>
      </c>
      <c r="H59">
        <v>640660</v>
      </c>
      <c r="I59">
        <v>1120</v>
      </c>
      <c r="J59" s="5">
        <v>717539200</v>
      </c>
      <c r="K59">
        <v>6</v>
      </c>
      <c r="L59">
        <v>5</v>
      </c>
      <c r="M59" t="s">
        <v>62</v>
      </c>
      <c r="N59">
        <v>2007</v>
      </c>
      <c r="O59">
        <v>9</v>
      </c>
      <c r="P59">
        <v>3</v>
      </c>
      <c r="Q59" t="s">
        <v>93</v>
      </c>
      <c r="R59" t="s">
        <v>200</v>
      </c>
      <c r="S59" t="s">
        <v>25</v>
      </c>
      <c r="T59" t="s">
        <v>201</v>
      </c>
    </row>
    <row r="60" spans="1:20" ht="16.5" x14ac:dyDescent="0.45">
      <c r="A60">
        <v>1059</v>
      </c>
      <c r="B60" t="s">
        <v>202</v>
      </c>
      <c r="C60" t="s">
        <v>20</v>
      </c>
      <c r="D60" t="s">
        <v>29</v>
      </c>
      <c r="E60">
        <v>942222</v>
      </c>
      <c r="F60" s="1">
        <v>45317</v>
      </c>
      <c r="G60" s="1"/>
      <c r="I60">
        <v>2017</v>
      </c>
      <c r="K60">
        <v>6</v>
      </c>
      <c r="L60">
        <v>5</v>
      </c>
      <c r="M60" t="s">
        <v>30</v>
      </c>
      <c r="N60">
        <v>2016</v>
      </c>
      <c r="O60">
        <v>6</v>
      </c>
      <c r="P60">
        <v>3</v>
      </c>
      <c r="Q60" t="s">
        <v>23</v>
      </c>
      <c r="R60" t="s">
        <v>203</v>
      </c>
      <c r="S60" t="s">
        <v>33</v>
      </c>
      <c r="T60" t="s">
        <v>70</v>
      </c>
    </row>
    <row r="61" spans="1:20" ht="16.5" x14ac:dyDescent="0.45">
      <c r="A61">
        <v>1060</v>
      </c>
      <c r="B61" t="s">
        <v>204</v>
      </c>
      <c r="C61" t="s">
        <v>47</v>
      </c>
      <c r="D61" t="s">
        <v>21</v>
      </c>
      <c r="E61">
        <v>566746</v>
      </c>
      <c r="F61" s="1">
        <v>45561</v>
      </c>
      <c r="G61" s="1"/>
      <c r="I61">
        <v>1398</v>
      </c>
      <c r="K61">
        <v>6</v>
      </c>
      <c r="L61">
        <v>4</v>
      </c>
      <c r="M61" t="s">
        <v>30</v>
      </c>
      <c r="N61">
        <v>2020</v>
      </c>
      <c r="O61">
        <v>6</v>
      </c>
      <c r="P61">
        <v>3</v>
      </c>
      <c r="Q61" t="s">
        <v>93</v>
      </c>
      <c r="R61" t="s">
        <v>205</v>
      </c>
      <c r="S61" t="s">
        <v>33</v>
      </c>
      <c r="T61" t="s">
        <v>70</v>
      </c>
    </row>
    <row r="62" spans="1:20" ht="16.5" x14ac:dyDescent="0.45">
      <c r="A62">
        <v>1061</v>
      </c>
      <c r="B62" t="s">
        <v>206</v>
      </c>
      <c r="C62" t="s">
        <v>47</v>
      </c>
      <c r="D62" t="s">
        <v>21</v>
      </c>
      <c r="E62">
        <v>419353</v>
      </c>
      <c r="F62" s="1">
        <v>45325</v>
      </c>
      <c r="G62" s="1"/>
      <c r="I62">
        <v>3973</v>
      </c>
      <c r="K62">
        <v>5</v>
      </c>
      <c r="L62">
        <v>3</v>
      </c>
      <c r="M62" t="s">
        <v>22</v>
      </c>
      <c r="N62">
        <v>2004</v>
      </c>
      <c r="P62">
        <v>3</v>
      </c>
      <c r="Q62" t="s">
        <v>75</v>
      </c>
      <c r="R62" t="s">
        <v>207</v>
      </c>
      <c r="S62" t="s">
        <v>33</v>
      </c>
      <c r="T62" t="s">
        <v>208</v>
      </c>
    </row>
    <row r="63" spans="1:20" ht="16.5" x14ac:dyDescent="0.45">
      <c r="A63">
        <v>1062</v>
      </c>
      <c r="B63" t="s">
        <v>209</v>
      </c>
      <c r="C63" t="s">
        <v>36</v>
      </c>
      <c r="D63" t="s">
        <v>21</v>
      </c>
      <c r="E63">
        <v>981898</v>
      </c>
      <c r="F63" s="1">
        <v>45325</v>
      </c>
      <c r="G63" s="1">
        <v>45435</v>
      </c>
      <c r="H63">
        <v>1017231</v>
      </c>
      <c r="I63">
        <v>1687</v>
      </c>
      <c r="J63" s="5">
        <v>1716068697</v>
      </c>
      <c r="K63">
        <v>2</v>
      </c>
      <c r="L63">
        <v>3</v>
      </c>
      <c r="M63" t="s">
        <v>22</v>
      </c>
      <c r="N63">
        <v>2015</v>
      </c>
      <c r="P63">
        <v>2</v>
      </c>
      <c r="Q63" t="s">
        <v>58</v>
      </c>
      <c r="R63" t="s">
        <v>210</v>
      </c>
      <c r="S63" t="s">
        <v>25</v>
      </c>
      <c r="T63" t="s">
        <v>77</v>
      </c>
    </row>
    <row r="64" spans="1:20" ht="16.5" x14ac:dyDescent="0.45">
      <c r="A64">
        <v>1063</v>
      </c>
      <c r="B64" t="s">
        <v>211</v>
      </c>
      <c r="C64" t="s">
        <v>51</v>
      </c>
      <c r="D64" t="s">
        <v>42</v>
      </c>
      <c r="E64">
        <v>590415</v>
      </c>
      <c r="F64" s="1">
        <v>45417</v>
      </c>
      <c r="G64" s="1">
        <v>45495</v>
      </c>
      <c r="H64">
        <v>633789</v>
      </c>
      <c r="I64">
        <v>1894</v>
      </c>
      <c r="J64" s="5">
        <v>1200396366</v>
      </c>
      <c r="K64">
        <v>4</v>
      </c>
      <c r="L64">
        <v>2</v>
      </c>
      <c r="M64" t="s">
        <v>30</v>
      </c>
      <c r="N64">
        <v>2005</v>
      </c>
      <c r="O64">
        <v>7</v>
      </c>
      <c r="P64">
        <v>3</v>
      </c>
      <c r="Q64" t="s">
        <v>38</v>
      </c>
      <c r="R64" t="s">
        <v>212</v>
      </c>
      <c r="S64" t="s">
        <v>25</v>
      </c>
      <c r="T64" t="s">
        <v>213</v>
      </c>
    </row>
    <row r="65" spans="1:20" ht="16.5" x14ac:dyDescent="0.45">
      <c r="A65">
        <v>1064</v>
      </c>
      <c r="B65" t="s">
        <v>214</v>
      </c>
      <c r="C65" t="s">
        <v>47</v>
      </c>
      <c r="D65" t="s">
        <v>29</v>
      </c>
      <c r="E65">
        <v>829559</v>
      </c>
      <c r="F65" s="1">
        <v>45458</v>
      </c>
      <c r="G65" s="1"/>
      <c r="I65">
        <v>3692</v>
      </c>
      <c r="K65">
        <v>5</v>
      </c>
      <c r="L65">
        <v>5</v>
      </c>
      <c r="M65" t="s">
        <v>37</v>
      </c>
      <c r="N65">
        <v>2008</v>
      </c>
      <c r="O65">
        <v>4</v>
      </c>
      <c r="P65">
        <v>2</v>
      </c>
      <c r="Q65" t="s">
        <v>162</v>
      </c>
      <c r="R65" t="s">
        <v>215</v>
      </c>
      <c r="S65" t="s">
        <v>33</v>
      </c>
      <c r="T65" t="s">
        <v>216</v>
      </c>
    </row>
    <row r="66" spans="1:20" ht="16.5" x14ac:dyDescent="0.45">
      <c r="A66">
        <v>1065</v>
      </c>
      <c r="B66" t="s">
        <v>217</v>
      </c>
      <c r="C66" t="s">
        <v>47</v>
      </c>
      <c r="D66" t="s">
        <v>42</v>
      </c>
      <c r="E66">
        <v>381283</v>
      </c>
      <c r="F66" s="1">
        <v>45623</v>
      </c>
      <c r="G66" s="1"/>
      <c r="I66">
        <v>1819</v>
      </c>
      <c r="K66">
        <v>2</v>
      </c>
      <c r="L66">
        <v>3</v>
      </c>
      <c r="M66" t="s">
        <v>22</v>
      </c>
      <c r="N66">
        <v>2000</v>
      </c>
      <c r="P66">
        <v>1</v>
      </c>
      <c r="Q66" t="s">
        <v>43</v>
      </c>
      <c r="R66" t="s">
        <v>218</v>
      </c>
      <c r="S66" t="s">
        <v>33</v>
      </c>
      <c r="T66" t="s">
        <v>219</v>
      </c>
    </row>
    <row r="67" spans="1:20" ht="16.5" x14ac:dyDescent="0.45">
      <c r="A67">
        <v>1066</v>
      </c>
      <c r="B67" t="s">
        <v>220</v>
      </c>
      <c r="C67" t="s">
        <v>47</v>
      </c>
      <c r="D67" t="s">
        <v>29</v>
      </c>
      <c r="E67">
        <v>664053</v>
      </c>
      <c r="F67" s="1">
        <v>45516</v>
      </c>
      <c r="G67" s="1"/>
      <c r="I67">
        <v>3681</v>
      </c>
      <c r="K67">
        <v>3</v>
      </c>
      <c r="L67">
        <v>5</v>
      </c>
      <c r="M67" t="s">
        <v>37</v>
      </c>
      <c r="N67">
        <v>2011</v>
      </c>
      <c r="O67">
        <v>7</v>
      </c>
      <c r="P67">
        <v>1</v>
      </c>
      <c r="Q67" t="s">
        <v>162</v>
      </c>
      <c r="R67" t="s">
        <v>221</v>
      </c>
      <c r="S67" t="s">
        <v>33</v>
      </c>
      <c r="T67" t="s">
        <v>222</v>
      </c>
    </row>
    <row r="68" spans="1:20" ht="16.5" x14ac:dyDescent="0.45">
      <c r="A68">
        <v>1067</v>
      </c>
      <c r="B68" t="s">
        <v>223</v>
      </c>
      <c r="C68" t="s">
        <v>20</v>
      </c>
      <c r="D68" t="s">
        <v>42</v>
      </c>
      <c r="E68">
        <v>756203</v>
      </c>
      <c r="F68" s="1">
        <v>45419</v>
      </c>
      <c r="G68" s="1"/>
      <c r="I68">
        <v>4889</v>
      </c>
      <c r="K68">
        <v>4</v>
      </c>
      <c r="L68">
        <v>3</v>
      </c>
      <c r="M68" t="s">
        <v>62</v>
      </c>
      <c r="N68">
        <v>2008</v>
      </c>
      <c r="O68">
        <v>7</v>
      </c>
      <c r="P68">
        <v>1</v>
      </c>
      <c r="Q68" t="s">
        <v>23</v>
      </c>
      <c r="R68" t="s">
        <v>224</v>
      </c>
      <c r="S68" t="s">
        <v>33</v>
      </c>
      <c r="T68" t="s">
        <v>77</v>
      </c>
    </row>
    <row r="69" spans="1:20" ht="16.5" x14ac:dyDescent="0.45">
      <c r="A69">
        <v>1068</v>
      </c>
      <c r="B69" t="s">
        <v>225</v>
      </c>
      <c r="C69" t="s">
        <v>28</v>
      </c>
      <c r="D69" t="s">
        <v>42</v>
      </c>
      <c r="E69">
        <v>958984</v>
      </c>
      <c r="F69" s="1">
        <v>45479</v>
      </c>
      <c r="G69" s="1"/>
      <c r="I69">
        <v>1374</v>
      </c>
      <c r="K69">
        <v>6</v>
      </c>
      <c r="L69">
        <v>4</v>
      </c>
      <c r="M69" t="s">
        <v>30</v>
      </c>
      <c r="N69">
        <v>2001</v>
      </c>
      <c r="O69">
        <v>3</v>
      </c>
      <c r="P69">
        <v>3</v>
      </c>
      <c r="Q69" t="s">
        <v>43</v>
      </c>
      <c r="R69" t="s">
        <v>226</v>
      </c>
      <c r="S69" t="s">
        <v>33</v>
      </c>
      <c r="T69" t="s">
        <v>227</v>
      </c>
    </row>
    <row r="70" spans="1:20" ht="16.5" x14ac:dyDescent="0.45">
      <c r="A70">
        <v>1069</v>
      </c>
      <c r="B70" t="s">
        <v>228</v>
      </c>
      <c r="C70" t="s">
        <v>36</v>
      </c>
      <c r="D70" t="s">
        <v>42</v>
      </c>
      <c r="E70">
        <v>844015</v>
      </c>
      <c r="F70" s="1">
        <v>45336</v>
      </c>
      <c r="G70" s="1">
        <v>45466</v>
      </c>
      <c r="H70">
        <v>864306</v>
      </c>
      <c r="I70">
        <v>2249</v>
      </c>
      <c r="J70" s="5">
        <v>1943824194</v>
      </c>
      <c r="K70">
        <v>2</v>
      </c>
      <c r="L70">
        <v>3</v>
      </c>
      <c r="M70" t="s">
        <v>37</v>
      </c>
      <c r="N70">
        <v>2022</v>
      </c>
      <c r="O70">
        <v>2</v>
      </c>
      <c r="P70">
        <v>4</v>
      </c>
      <c r="Q70" t="s">
        <v>38</v>
      </c>
      <c r="R70" t="s">
        <v>229</v>
      </c>
      <c r="S70" t="s">
        <v>25</v>
      </c>
      <c r="T70" t="s">
        <v>230</v>
      </c>
    </row>
    <row r="71" spans="1:20" ht="16.5" x14ac:dyDescent="0.45">
      <c r="A71">
        <v>1070</v>
      </c>
      <c r="B71" t="s">
        <v>231</v>
      </c>
      <c r="C71" t="s">
        <v>20</v>
      </c>
      <c r="D71" t="s">
        <v>29</v>
      </c>
      <c r="E71">
        <v>421420</v>
      </c>
      <c r="F71" s="1">
        <v>45458</v>
      </c>
      <c r="G71" s="1">
        <v>45601</v>
      </c>
      <c r="H71">
        <v>447700</v>
      </c>
      <c r="I71">
        <v>2207</v>
      </c>
      <c r="J71" s="5">
        <v>988073900</v>
      </c>
      <c r="K71">
        <v>5</v>
      </c>
      <c r="L71">
        <v>2</v>
      </c>
      <c r="M71" t="s">
        <v>30</v>
      </c>
      <c r="N71">
        <v>2018</v>
      </c>
      <c r="O71">
        <v>2</v>
      </c>
      <c r="P71">
        <v>1</v>
      </c>
      <c r="Q71" t="s">
        <v>43</v>
      </c>
      <c r="R71" t="s">
        <v>232</v>
      </c>
      <c r="S71" t="s">
        <v>25</v>
      </c>
      <c r="T71" t="s">
        <v>233</v>
      </c>
    </row>
    <row r="72" spans="1:20" ht="16.5" x14ac:dyDescent="0.45">
      <c r="A72">
        <v>1071</v>
      </c>
      <c r="B72" t="s">
        <v>234</v>
      </c>
      <c r="C72" t="s">
        <v>20</v>
      </c>
      <c r="D72" t="s">
        <v>21</v>
      </c>
      <c r="E72">
        <v>308316</v>
      </c>
      <c r="F72" s="1">
        <v>45444</v>
      </c>
      <c r="G72" s="1"/>
      <c r="I72">
        <v>2725</v>
      </c>
      <c r="K72">
        <v>5</v>
      </c>
      <c r="L72">
        <v>2</v>
      </c>
      <c r="M72" t="s">
        <v>37</v>
      </c>
      <c r="N72">
        <v>2021</v>
      </c>
      <c r="O72">
        <v>5</v>
      </c>
      <c r="P72">
        <v>4</v>
      </c>
      <c r="Q72" t="s">
        <v>75</v>
      </c>
      <c r="R72" t="s">
        <v>235</v>
      </c>
      <c r="S72" t="s">
        <v>33</v>
      </c>
      <c r="T72" t="s">
        <v>236</v>
      </c>
    </row>
    <row r="73" spans="1:20" ht="16.5" x14ac:dyDescent="0.45">
      <c r="A73">
        <v>1072</v>
      </c>
      <c r="B73" t="s">
        <v>237</v>
      </c>
      <c r="C73" t="s">
        <v>47</v>
      </c>
      <c r="D73" t="s">
        <v>21</v>
      </c>
      <c r="E73">
        <v>481134</v>
      </c>
      <c r="F73" s="1">
        <v>45459</v>
      </c>
      <c r="G73" s="1"/>
      <c r="I73">
        <v>3438</v>
      </c>
      <c r="K73">
        <v>4</v>
      </c>
      <c r="L73">
        <v>4</v>
      </c>
      <c r="M73" t="s">
        <v>22</v>
      </c>
      <c r="N73">
        <v>2002</v>
      </c>
      <c r="P73">
        <v>3</v>
      </c>
      <c r="Q73" t="s">
        <v>23</v>
      </c>
      <c r="R73" t="s">
        <v>238</v>
      </c>
      <c r="S73" t="s">
        <v>33</v>
      </c>
      <c r="T73" t="s">
        <v>158</v>
      </c>
    </row>
    <row r="74" spans="1:20" ht="16.5" x14ac:dyDescent="0.45">
      <c r="A74">
        <v>1073</v>
      </c>
      <c r="B74" t="s">
        <v>239</v>
      </c>
      <c r="C74" t="s">
        <v>36</v>
      </c>
      <c r="D74" t="s">
        <v>21</v>
      </c>
      <c r="E74">
        <v>662391</v>
      </c>
      <c r="F74" s="1">
        <v>45426</v>
      </c>
      <c r="G74" s="1">
        <v>45503</v>
      </c>
      <c r="H74">
        <v>700659</v>
      </c>
      <c r="I74">
        <v>4532</v>
      </c>
      <c r="J74" s="5">
        <v>3175386588</v>
      </c>
      <c r="K74">
        <v>4</v>
      </c>
      <c r="L74">
        <v>5</v>
      </c>
      <c r="M74" t="s">
        <v>62</v>
      </c>
      <c r="N74">
        <v>2020</v>
      </c>
      <c r="O74">
        <v>5</v>
      </c>
      <c r="P74">
        <v>1</v>
      </c>
      <c r="Q74" t="s">
        <v>93</v>
      </c>
      <c r="R74" t="s">
        <v>240</v>
      </c>
      <c r="S74" t="s">
        <v>25</v>
      </c>
      <c r="T74" t="s">
        <v>241</v>
      </c>
    </row>
    <row r="75" spans="1:20" ht="16.5" x14ac:dyDescent="0.45">
      <c r="A75">
        <v>1074</v>
      </c>
      <c r="B75" t="s">
        <v>242</v>
      </c>
      <c r="C75" t="s">
        <v>36</v>
      </c>
      <c r="D75" t="s">
        <v>42</v>
      </c>
      <c r="E75">
        <v>651629</v>
      </c>
      <c r="F75" s="1">
        <v>45472</v>
      </c>
      <c r="G75" s="1"/>
      <c r="I75">
        <v>2260</v>
      </c>
      <c r="K75">
        <v>4</v>
      </c>
      <c r="L75">
        <v>3</v>
      </c>
      <c r="M75" t="s">
        <v>62</v>
      </c>
      <c r="N75">
        <v>2023</v>
      </c>
      <c r="O75">
        <v>9</v>
      </c>
      <c r="P75">
        <v>4</v>
      </c>
      <c r="Q75" t="s">
        <v>38</v>
      </c>
      <c r="R75" t="s">
        <v>243</v>
      </c>
      <c r="S75" t="s">
        <v>33</v>
      </c>
      <c r="T75" t="s">
        <v>183</v>
      </c>
    </row>
    <row r="76" spans="1:20" ht="16.5" x14ac:dyDescent="0.45">
      <c r="A76">
        <v>1075</v>
      </c>
      <c r="B76" t="s">
        <v>244</v>
      </c>
      <c r="C76" t="s">
        <v>51</v>
      </c>
      <c r="D76" t="s">
        <v>42</v>
      </c>
      <c r="E76">
        <v>637499</v>
      </c>
      <c r="F76" s="1">
        <v>45580</v>
      </c>
      <c r="G76" s="1"/>
      <c r="I76">
        <v>3331</v>
      </c>
      <c r="K76">
        <v>3</v>
      </c>
      <c r="L76">
        <v>5</v>
      </c>
      <c r="M76" t="s">
        <v>62</v>
      </c>
      <c r="N76">
        <v>2010</v>
      </c>
      <c r="O76">
        <v>10</v>
      </c>
      <c r="P76">
        <v>1</v>
      </c>
      <c r="Q76" t="s">
        <v>31</v>
      </c>
      <c r="R76" t="s">
        <v>245</v>
      </c>
      <c r="S76" t="s">
        <v>33</v>
      </c>
      <c r="T76" t="s">
        <v>77</v>
      </c>
    </row>
    <row r="77" spans="1:20" ht="16.5" x14ac:dyDescent="0.45">
      <c r="A77">
        <v>1076</v>
      </c>
      <c r="B77" t="s">
        <v>246</v>
      </c>
      <c r="C77" t="s">
        <v>47</v>
      </c>
      <c r="D77" t="s">
        <v>42</v>
      </c>
      <c r="E77">
        <v>713273</v>
      </c>
      <c r="F77" s="1">
        <v>45351</v>
      </c>
      <c r="G77" s="1"/>
      <c r="I77">
        <v>3450</v>
      </c>
      <c r="K77">
        <v>3</v>
      </c>
      <c r="L77">
        <v>4</v>
      </c>
      <c r="M77" t="s">
        <v>62</v>
      </c>
      <c r="N77">
        <v>2012</v>
      </c>
      <c r="O77">
        <v>1</v>
      </c>
      <c r="P77">
        <v>3</v>
      </c>
      <c r="Q77" t="s">
        <v>43</v>
      </c>
      <c r="R77" t="s">
        <v>247</v>
      </c>
      <c r="S77" t="s">
        <v>33</v>
      </c>
      <c r="T77" t="s">
        <v>128</v>
      </c>
    </row>
    <row r="78" spans="1:20" ht="16.5" x14ac:dyDescent="0.45">
      <c r="A78">
        <v>1077</v>
      </c>
      <c r="B78" t="s">
        <v>248</v>
      </c>
      <c r="C78" t="s">
        <v>47</v>
      </c>
      <c r="D78" t="s">
        <v>29</v>
      </c>
      <c r="E78">
        <v>778885</v>
      </c>
      <c r="F78" s="1">
        <v>45389</v>
      </c>
      <c r="G78" s="1"/>
      <c r="I78">
        <v>4019</v>
      </c>
      <c r="K78">
        <v>5</v>
      </c>
      <c r="L78">
        <v>4</v>
      </c>
      <c r="M78" t="s">
        <v>62</v>
      </c>
      <c r="N78">
        <v>2014</v>
      </c>
      <c r="O78">
        <v>1</v>
      </c>
      <c r="P78">
        <v>4</v>
      </c>
      <c r="Q78" t="s">
        <v>86</v>
      </c>
      <c r="R78" t="s">
        <v>249</v>
      </c>
      <c r="S78" t="s">
        <v>33</v>
      </c>
      <c r="T78" t="s">
        <v>250</v>
      </c>
    </row>
    <row r="79" spans="1:20" ht="16.5" x14ac:dyDescent="0.45">
      <c r="A79">
        <v>1078</v>
      </c>
      <c r="B79" t="s">
        <v>251</v>
      </c>
      <c r="C79" t="s">
        <v>47</v>
      </c>
      <c r="D79" t="s">
        <v>29</v>
      </c>
      <c r="E79">
        <v>524826</v>
      </c>
      <c r="F79" s="1">
        <v>45327</v>
      </c>
      <c r="G79" s="1"/>
      <c r="I79">
        <v>1458</v>
      </c>
      <c r="K79">
        <v>4</v>
      </c>
      <c r="L79">
        <v>5</v>
      </c>
      <c r="M79" t="s">
        <v>22</v>
      </c>
      <c r="N79">
        <v>2010</v>
      </c>
      <c r="P79">
        <v>1</v>
      </c>
      <c r="Q79" t="s">
        <v>58</v>
      </c>
      <c r="R79" t="s">
        <v>252</v>
      </c>
      <c r="S79" t="s">
        <v>33</v>
      </c>
      <c r="T79" t="s">
        <v>253</v>
      </c>
    </row>
    <row r="80" spans="1:20" ht="16.5" x14ac:dyDescent="0.45">
      <c r="A80">
        <v>1079</v>
      </c>
      <c r="B80" t="s">
        <v>254</v>
      </c>
      <c r="C80" t="s">
        <v>47</v>
      </c>
      <c r="D80" t="s">
        <v>21</v>
      </c>
      <c r="E80">
        <v>804639</v>
      </c>
      <c r="F80" s="1">
        <v>45361</v>
      </c>
      <c r="G80" s="1"/>
      <c r="I80">
        <v>1162</v>
      </c>
      <c r="K80">
        <v>6</v>
      </c>
      <c r="L80">
        <v>2</v>
      </c>
      <c r="M80" t="s">
        <v>30</v>
      </c>
      <c r="N80">
        <v>2001</v>
      </c>
      <c r="O80">
        <v>7</v>
      </c>
      <c r="P80">
        <v>4</v>
      </c>
      <c r="Q80" t="s">
        <v>93</v>
      </c>
      <c r="R80" t="s">
        <v>255</v>
      </c>
      <c r="S80" t="s">
        <v>33</v>
      </c>
      <c r="T80" t="s">
        <v>256</v>
      </c>
    </row>
    <row r="81" spans="1:20" ht="16.5" x14ac:dyDescent="0.45">
      <c r="A81">
        <v>1080</v>
      </c>
      <c r="B81" t="s">
        <v>257</v>
      </c>
      <c r="C81" t="s">
        <v>36</v>
      </c>
      <c r="D81" t="s">
        <v>29</v>
      </c>
      <c r="E81">
        <v>832258</v>
      </c>
      <c r="F81" s="1">
        <v>45402</v>
      </c>
      <c r="G81" s="1"/>
      <c r="I81">
        <v>4338</v>
      </c>
      <c r="K81">
        <v>6</v>
      </c>
      <c r="L81">
        <v>2</v>
      </c>
      <c r="M81" t="s">
        <v>30</v>
      </c>
      <c r="N81">
        <v>2009</v>
      </c>
      <c r="O81">
        <v>9</v>
      </c>
      <c r="P81">
        <v>1</v>
      </c>
      <c r="Q81" t="s">
        <v>162</v>
      </c>
      <c r="R81" t="s">
        <v>258</v>
      </c>
      <c r="S81" t="s">
        <v>33</v>
      </c>
      <c r="T81" t="s">
        <v>259</v>
      </c>
    </row>
    <row r="82" spans="1:20" ht="16.5" x14ac:dyDescent="0.45">
      <c r="A82">
        <v>1081</v>
      </c>
      <c r="B82" t="s">
        <v>260</v>
      </c>
      <c r="C82" t="s">
        <v>20</v>
      </c>
      <c r="D82" t="s">
        <v>42</v>
      </c>
      <c r="E82">
        <v>311942</v>
      </c>
      <c r="F82" s="1">
        <v>45454</v>
      </c>
      <c r="G82" s="1">
        <v>45302</v>
      </c>
      <c r="H82">
        <v>353780</v>
      </c>
      <c r="I82">
        <v>3467</v>
      </c>
      <c r="J82" s="5">
        <v>1226555260</v>
      </c>
      <c r="K82">
        <v>4</v>
      </c>
      <c r="L82">
        <v>2</v>
      </c>
      <c r="M82" t="s">
        <v>62</v>
      </c>
      <c r="N82">
        <v>2019</v>
      </c>
      <c r="O82">
        <v>7</v>
      </c>
      <c r="P82">
        <v>1</v>
      </c>
      <c r="Q82" t="s">
        <v>23</v>
      </c>
      <c r="R82" t="s">
        <v>261</v>
      </c>
      <c r="S82" t="s">
        <v>25</v>
      </c>
      <c r="T82" t="s">
        <v>262</v>
      </c>
    </row>
    <row r="83" spans="1:20" ht="16.5" x14ac:dyDescent="0.45">
      <c r="A83">
        <v>1082</v>
      </c>
      <c r="B83" t="s">
        <v>263</v>
      </c>
      <c r="C83" t="s">
        <v>28</v>
      </c>
      <c r="D83" t="s">
        <v>29</v>
      </c>
      <c r="E83">
        <v>324221</v>
      </c>
      <c r="F83" s="1">
        <v>45601</v>
      </c>
      <c r="G83" s="1">
        <v>45301</v>
      </c>
      <c r="H83">
        <v>345215</v>
      </c>
      <c r="I83">
        <v>1667</v>
      </c>
      <c r="J83" s="5">
        <v>575473405</v>
      </c>
      <c r="K83">
        <v>4</v>
      </c>
      <c r="L83">
        <v>4</v>
      </c>
      <c r="M83" t="s">
        <v>62</v>
      </c>
      <c r="N83">
        <v>2017</v>
      </c>
      <c r="O83">
        <v>10</v>
      </c>
      <c r="P83">
        <v>1</v>
      </c>
      <c r="Q83" t="s">
        <v>75</v>
      </c>
      <c r="R83" t="s">
        <v>264</v>
      </c>
      <c r="S83" t="s">
        <v>25</v>
      </c>
      <c r="T83" t="s">
        <v>183</v>
      </c>
    </row>
    <row r="84" spans="1:20" ht="16.5" x14ac:dyDescent="0.45">
      <c r="A84">
        <v>1083</v>
      </c>
      <c r="B84" t="s">
        <v>265</v>
      </c>
      <c r="C84" t="s">
        <v>47</v>
      </c>
      <c r="D84" t="s">
        <v>29</v>
      </c>
      <c r="E84">
        <v>880717</v>
      </c>
      <c r="F84" s="1">
        <v>45451</v>
      </c>
      <c r="G84" s="1"/>
      <c r="I84">
        <v>1118</v>
      </c>
      <c r="K84">
        <v>2</v>
      </c>
      <c r="L84">
        <v>5</v>
      </c>
      <c r="M84" t="s">
        <v>37</v>
      </c>
      <c r="N84">
        <v>2000</v>
      </c>
      <c r="O84">
        <v>5</v>
      </c>
      <c r="P84">
        <v>4</v>
      </c>
      <c r="Q84" t="s">
        <v>23</v>
      </c>
      <c r="R84" t="s">
        <v>266</v>
      </c>
      <c r="S84" t="s">
        <v>33</v>
      </c>
      <c r="T84" t="s">
        <v>267</v>
      </c>
    </row>
    <row r="85" spans="1:20" ht="16.5" x14ac:dyDescent="0.45">
      <c r="A85">
        <v>1084</v>
      </c>
      <c r="B85" t="s">
        <v>268</v>
      </c>
      <c r="C85" t="s">
        <v>20</v>
      </c>
      <c r="D85" t="s">
        <v>42</v>
      </c>
      <c r="E85">
        <v>644807</v>
      </c>
      <c r="F85" s="1">
        <v>45383</v>
      </c>
      <c r="G85" s="1">
        <v>45539</v>
      </c>
      <c r="H85">
        <v>673430</v>
      </c>
      <c r="I85">
        <v>4445</v>
      </c>
      <c r="J85" s="5">
        <v>2993396350</v>
      </c>
      <c r="K85">
        <v>5</v>
      </c>
      <c r="L85">
        <v>4</v>
      </c>
      <c r="M85" t="s">
        <v>30</v>
      </c>
      <c r="N85">
        <v>2020</v>
      </c>
      <c r="O85">
        <v>1</v>
      </c>
      <c r="P85">
        <v>4</v>
      </c>
      <c r="Q85" t="s">
        <v>132</v>
      </c>
      <c r="R85" t="s">
        <v>269</v>
      </c>
      <c r="S85" t="s">
        <v>25</v>
      </c>
      <c r="T85" t="s">
        <v>270</v>
      </c>
    </row>
    <row r="86" spans="1:20" ht="16.5" x14ac:dyDescent="0.45">
      <c r="A86">
        <v>1085</v>
      </c>
      <c r="B86" t="s">
        <v>271</v>
      </c>
      <c r="C86" t="s">
        <v>20</v>
      </c>
      <c r="D86" t="s">
        <v>21</v>
      </c>
      <c r="E86">
        <v>472191</v>
      </c>
      <c r="F86" s="1">
        <v>45466</v>
      </c>
      <c r="G86" s="1"/>
      <c r="I86">
        <v>1249</v>
      </c>
      <c r="K86">
        <v>6</v>
      </c>
      <c r="L86">
        <v>5</v>
      </c>
      <c r="M86" t="s">
        <v>62</v>
      </c>
      <c r="N86">
        <v>2005</v>
      </c>
      <c r="O86">
        <v>9</v>
      </c>
      <c r="P86">
        <v>4</v>
      </c>
      <c r="Q86" t="s">
        <v>58</v>
      </c>
      <c r="R86" t="s">
        <v>272</v>
      </c>
      <c r="S86" t="s">
        <v>33</v>
      </c>
      <c r="T86" t="s">
        <v>110</v>
      </c>
    </row>
    <row r="87" spans="1:20" ht="16.5" x14ac:dyDescent="0.45">
      <c r="A87">
        <v>1086</v>
      </c>
      <c r="B87" t="s">
        <v>273</v>
      </c>
      <c r="C87" t="s">
        <v>51</v>
      </c>
      <c r="D87" t="s">
        <v>42</v>
      </c>
      <c r="E87">
        <v>431070</v>
      </c>
      <c r="F87" s="1">
        <v>45599</v>
      </c>
      <c r="G87" s="1"/>
      <c r="I87">
        <v>2009</v>
      </c>
      <c r="K87">
        <v>6</v>
      </c>
      <c r="L87">
        <v>2</v>
      </c>
      <c r="M87" t="s">
        <v>37</v>
      </c>
      <c r="N87">
        <v>2014</v>
      </c>
      <c r="O87">
        <v>5</v>
      </c>
      <c r="P87">
        <v>1</v>
      </c>
      <c r="Q87" t="s">
        <v>162</v>
      </c>
      <c r="R87" t="s">
        <v>274</v>
      </c>
      <c r="S87" t="s">
        <v>33</v>
      </c>
      <c r="T87" t="s">
        <v>275</v>
      </c>
    </row>
    <row r="88" spans="1:20" ht="16.5" x14ac:dyDescent="0.45">
      <c r="A88">
        <v>1087</v>
      </c>
      <c r="B88" t="s">
        <v>276</v>
      </c>
      <c r="C88" t="s">
        <v>47</v>
      </c>
      <c r="D88" t="s">
        <v>29</v>
      </c>
      <c r="E88">
        <v>706837</v>
      </c>
      <c r="F88" s="1">
        <v>45332</v>
      </c>
      <c r="G88" s="1"/>
      <c r="I88">
        <v>1244</v>
      </c>
      <c r="K88">
        <v>2</v>
      </c>
      <c r="L88">
        <v>4</v>
      </c>
      <c r="M88" t="s">
        <v>30</v>
      </c>
      <c r="N88">
        <v>2020</v>
      </c>
      <c r="O88">
        <v>9</v>
      </c>
      <c r="P88">
        <v>2</v>
      </c>
      <c r="Q88" t="s">
        <v>93</v>
      </c>
      <c r="R88" t="s">
        <v>277</v>
      </c>
      <c r="S88" t="s">
        <v>33</v>
      </c>
      <c r="T88" t="s">
        <v>278</v>
      </c>
    </row>
    <row r="89" spans="1:20" ht="16.5" x14ac:dyDescent="0.45">
      <c r="A89">
        <v>1088</v>
      </c>
      <c r="B89" t="s">
        <v>279</v>
      </c>
      <c r="C89" t="s">
        <v>51</v>
      </c>
      <c r="D89" t="s">
        <v>42</v>
      </c>
      <c r="E89">
        <v>814372</v>
      </c>
      <c r="F89" s="1">
        <v>45410</v>
      </c>
      <c r="G89" s="1">
        <v>45521</v>
      </c>
      <c r="H89">
        <v>835150</v>
      </c>
      <c r="I89">
        <v>1612</v>
      </c>
      <c r="J89" s="5">
        <v>1346261800</v>
      </c>
      <c r="K89">
        <v>5</v>
      </c>
      <c r="L89">
        <v>5</v>
      </c>
      <c r="M89" t="s">
        <v>37</v>
      </c>
      <c r="N89">
        <v>2012</v>
      </c>
      <c r="O89">
        <v>6</v>
      </c>
      <c r="P89">
        <v>2</v>
      </c>
      <c r="Q89" t="s">
        <v>43</v>
      </c>
      <c r="R89" t="s">
        <v>280</v>
      </c>
      <c r="S89" t="s">
        <v>25</v>
      </c>
      <c r="T89" t="s">
        <v>281</v>
      </c>
    </row>
    <row r="90" spans="1:20" ht="16.5" x14ac:dyDescent="0.45">
      <c r="A90">
        <v>1089</v>
      </c>
      <c r="B90" t="s">
        <v>282</v>
      </c>
      <c r="C90" t="s">
        <v>51</v>
      </c>
      <c r="D90" t="s">
        <v>42</v>
      </c>
      <c r="E90">
        <v>370947</v>
      </c>
      <c r="F90" s="1">
        <v>45512</v>
      </c>
      <c r="G90" s="1"/>
      <c r="I90">
        <v>1906</v>
      </c>
      <c r="K90">
        <v>4</v>
      </c>
      <c r="L90">
        <v>5</v>
      </c>
      <c r="M90" t="s">
        <v>37</v>
      </c>
      <c r="N90">
        <v>2007</v>
      </c>
      <c r="O90">
        <v>4</v>
      </c>
      <c r="P90">
        <v>4</v>
      </c>
      <c r="Q90" t="s">
        <v>38</v>
      </c>
      <c r="R90" t="s">
        <v>283</v>
      </c>
      <c r="S90" t="s">
        <v>33</v>
      </c>
      <c r="T90" t="s">
        <v>284</v>
      </c>
    </row>
    <row r="91" spans="1:20" ht="16.5" x14ac:dyDescent="0.45">
      <c r="A91">
        <v>1090</v>
      </c>
      <c r="B91" t="s">
        <v>285</v>
      </c>
      <c r="C91" t="s">
        <v>51</v>
      </c>
      <c r="D91" t="s">
        <v>42</v>
      </c>
      <c r="E91">
        <v>349522</v>
      </c>
      <c r="F91" s="1">
        <v>45621</v>
      </c>
      <c r="G91" s="1">
        <v>45636</v>
      </c>
      <c r="H91">
        <v>369566</v>
      </c>
      <c r="I91">
        <v>4543</v>
      </c>
      <c r="J91" s="5">
        <v>1678938338</v>
      </c>
      <c r="K91">
        <v>5</v>
      </c>
      <c r="L91">
        <v>5</v>
      </c>
      <c r="M91" t="s">
        <v>30</v>
      </c>
      <c r="N91">
        <v>2008</v>
      </c>
      <c r="O91">
        <v>8</v>
      </c>
      <c r="P91">
        <v>4</v>
      </c>
      <c r="Q91" t="s">
        <v>132</v>
      </c>
      <c r="R91" t="s">
        <v>286</v>
      </c>
      <c r="S91" t="s">
        <v>25</v>
      </c>
      <c r="T91" t="s">
        <v>287</v>
      </c>
    </row>
    <row r="92" spans="1:20" ht="16.5" x14ac:dyDescent="0.45">
      <c r="A92">
        <v>1091</v>
      </c>
      <c r="B92" t="s">
        <v>288</v>
      </c>
      <c r="C92" t="s">
        <v>47</v>
      </c>
      <c r="D92" t="s">
        <v>42</v>
      </c>
      <c r="E92">
        <v>963122</v>
      </c>
      <c r="F92" s="1">
        <v>45409</v>
      </c>
      <c r="G92" s="1">
        <v>45417</v>
      </c>
      <c r="H92">
        <v>986062</v>
      </c>
      <c r="I92">
        <v>2064</v>
      </c>
      <c r="J92" s="5">
        <v>2035231968</v>
      </c>
      <c r="K92">
        <v>3</v>
      </c>
      <c r="L92">
        <v>3</v>
      </c>
      <c r="M92" t="s">
        <v>37</v>
      </c>
      <c r="N92">
        <v>2001</v>
      </c>
      <c r="O92">
        <v>10</v>
      </c>
      <c r="P92">
        <v>4</v>
      </c>
      <c r="Q92" t="s">
        <v>75</v>
      </c>
      <c r="R92" t="s">
        <v>289</v>
      </c>
      <c r="S92" t="s">
        <v>25</v>
      </c>
      <c r="T92" t="s">
        <v>40</v>
      </c>
    </row>
    <row r="93" spans="1:20" ht="16.5" x14ac:dyDescent="0.45">
      <c r="A93">
        <v>1092</v>
      </c>
      <c r="B93" t="s">
        <v>290</v>
      </c>
      <c r="C93" t="s">
        <v>47</v>
      </c>
      <c r="D93" t="s">
        <v>29</v>
      </c>
      <c r="E93">
        <v>305555</v>
      </c>
      <c r="F93" s="1">
        <v>45435</v>
      </c>
      <c r="G93" s="1">
        <v>45529</v>
      </c>
      <c r="H93">
        <v>326053</v>
      </c>
      <c r="I93">
        <v>2565</v>
      </c>
      <c r="J93" s="5">
        <v>836325945</v>
      </c>
      <c r="K93">
        <v>3</v>
      </c>
      <c r="L93">
        <v>2</v>
      </c>
      <c r="M93" t="s">
        <v>37</v>
      </c>
      <c r="N93">
        <v>2000</v>
      </c>
      <c r="O93">
        <v>6</v>
      </c>
      <c r="P93">
        <v>2</v>
      </c>
      <c r="Q93" t="s">
        <v>162</v>
      </c>
      <c r="R93" t="s">
        <v>291</v>
      </c>
      <c r="S93" t="s">
        <v>25</v>
      </c>
      <c r="T93" t="s">
        <v>292</v>
      </c>
    </row>
    <row r="94" spans="1:20" ht="16.5" x14ac:dyDescent="0.45">
      <c r="A94">
        <v>1093</v>
      </c>
      <c r="B94" t="s">
        <v>293</v>
      </c>
      <c r="C94" t="s">
        <v>36</v>
      </c>
      <c r="D94" t="s">
        <v>29</v>
      </c>
      <c r="E94">
        <v>414118</v>
      </c>
      <c r="F94" s="1">
        <v>45427</v>
      </c>
      <c r="G94" s="1">
        <v>45370</v>
      </c>
      <c r="H94">
        <v>437328</v>
      </c>
      <c r="I94">
        <v>2571</v>
      </c>
      <c r="J94" s="5">
        <v>1124370288</v>
      </c>
      <c r="K94">
        <v>6</v>
      </c>
      <c r="L94">
        <v>4</v>
      </c>
      <c r="M94" t="s">
        <v>62</v>
      </c>
      <c r="N94">
        <v>2015</v>
      </c>
      <c r="O94">
        <v>8</v>
      </c>
      <c r="P94">
        <v>4</v>
      </c>
      <c r="Q94" t="s">
        <v>75</v>
      </c>
      <c r="R94" t="s">
        <v>294</v>
      </c>
      <c r="S94" t="s">
        <v>25</v>
      </c>
      <c r="T94" t="s">
        <v>70</v>
      </c>
    </row>
    <row r="95" spans="1:20" ht="16.5" x14ac:dyDescent="0.45">
      <c r="A95">
        <v>1094</v>
      </c>
      <c r="B95" t="s">
        <v>295</v>
      </c>
      <c r="C95" t="s">
        <v>51</v>
      </c>
      <c r="D95" t="s">
        <v>29</v>
      </c>
      <c r="E95">
        <v>991215</v>
      </c>
      <c r="F95" s="1">
        <v>45345</v>
      </c>
      <c r="G95" s="1"/>
      <c r="I95">
        <v>1690</v>
      </c>
      <c r="K95">
        <v>3</v>
      </c>
      <c r="L95">
        <v>3</v>
      </c>
      <c r="M95" t="s">
        <v>22</v>
      </c>
      <c r="N95">
        <v>2020</v>
      </c>
      <c r="P95">
        <v>3</v>
      </c>
      <c r="Q95" t="s">
        <v>31</v>
      </c>
      <c r="R95" t="s">
        <v>296</v>
      </c>
      <c r="S95" t="s">
        <v>33</v>
      </c>
      <c r="T95" t="s">
        <v>70</v>
      </c>
    </row>
    <row r="96" spans="1:20" ht="16.5" x14ac:dyDescent="0.45">
      <c r="A96">
        <v>1095</v>
      </c>
      <c r="B96" t="s">
        <v>297</v>
      </c>
      <c r="C96" t="s">
        <v>28</v>
      </c>
      <c r="D96" t="s">
        <v>29</v>
      </c>
      <c r="E96">
        <v>998822</v>
      </c>
      <c r="F96" s="1">
        <v>45541</v>
      </c>
      <c r="G96" s="1">
        <v>45585</v>
      </c>
      <c r="H96">
        <v>1043883</v>
      </c>
      <c r="I96">
        <v>2513</v>
      </c>
      <c r="J96" s="5">
        <v>2623277979</v>
      </c>
      <c r="K96">
        <v>3</v>
      </c>
      <c r="L96">
        <v>5</v>
      </c>
      <c r="M96" t="s">
        <v>62</v>
      </c>
      <c r="N96">
        <v>2005</v>
      </c>
      <c r="O96">
        <v>4</v>
      </c>
      <c r="P96">
        <v>3</v>
      </c>
      <c r="Q96" t="s">
        <v>93</v>
      </c>
      <c r="R96" t="s">
        <v>298</v>
      </c>
      <c r="S96" t="s">
        <v>25</v>
      </c>
      <c r="T96" t="s">
        <v>183</v>
      </c>
    </row>
    <row r="97" spans="1:20" ht="16.5" x14ac:dyDescent="0.45">
      <c r="A97">
        <v>1096</v>
      </c>
      <c r="B97" t="s">
        <v>299</v>
      </c>
      <c r="C97" t="s">
        <v>28</v>
      </c>
      <c r="D97" t="s">
        <v>21</v>
      </c>
      <c r="E97">
        <v>911549</v>
      </c>
      <c r="F97" s="1">
        <v>45565</v>
      </c>
      <c r="G97" s="1">
        <v>45394</v>
      </c>
      <c r="H97">
        <v>941362</v>
      </c>
      <c r="I97">
        <v>2104</v>
      </c>
      <c r="J97" s="5">
        <v>1980625648</v>
      </c>
      <c r="K97">
        <v>5</v>
      </c>
      <c r="L97">
        <v>2</v>
      </c>
      <c r="M97" t="s">
        <v>22</v>
      </c>
      <c r="N97">
        <v>2005</v>
      </c>
      <c r="P97">
        <v>2</v>
      </c>
      <c r="Q97" t="s">
        <v>86</v>
      </c>
      <c r="R97" t="s">
        <v>300</v>
      </c>
      <c r="S97" t="s">
        <v>25</v>
      </c>
      <c r="T97" t="s">
        <v>301</v>
      </c>
    </row>
    <row r="98" spans="1:20" ht="16.5" x14ac:dyDescent="0.45">
      <c r="A98">
        <v>1097</v>
      </c>
      <c r="B98" t="s">
        <v>302</v>
      </c>
      <c r="C98" t="s">
        <v>47</v>
      </c>
      <c r="D98" t="s">
        <v>42</v>
      </c>
      <c r="E98">
        <v>711652</v>
      </c>
      <c r="F98" s="1">
        <v>45340</v>
      </c>
      <c r="G98" s="1">
        <v>45570</v>
      </c>
      <c r="H98">
        <v>742017</v>
      </c>
      <c r="I98">
        <v>2705</v>
      </c>
      <c r="J98" s="5">
        <v>2007155985</v>
      </c>
      <c r="K98">
        <v>5</v>
      </c>
      <c r="L98">
        <v>4</v>
      </c>
      <c r="M98" t="s">
        <v>22</v>
      </c>
      <c r="N98">
        <v>2006</v>
      </c>
      <c r="P98">
        <v>1</v>
      </c>
      <c r="Q98" t="s">
        <v>58</v>
      </c>
      <c r="R98" t="s">
        <v>303</v>
      </c>
      <c r="S98" t="s">
        <v>25</v>
      </c>
      <c r="T98" t="s">
        <v>304</v>
      </c>
    </row>
    <row r="99" spans="1:20" ht="16.5" x14ac:dyDescent="0.45">
      <c r="A99">
        <v>1098</v>
      </c>
      <c r="B99" t="s">
        <v>305</v>
      </c>
      <c r="C99" t="s">
        <v>47</v>
      </c>
      <c r="D99" t="s">
        <v>21</v>
      </c>
      <c r="E99">
        <v>921362</v>
      </c>
      <c r="F99" s="1">
        <v>45483</v>
      </c>
      <c r="G99" s="1"/>
      <c r="I99">
        <v>3655</v>
      </c>
      <c r="K99">
        <v>4</v>
      </c>
      <c r="L99">
        <v>5</v>
      </c>
      <c r="M99" t="s">
        <v>22</v>
      </c>
      <c r="N99">
        <v>2008</v>
      </c>
      <c r="P99">
        <v>2</v>
      </c>
      <c r="Q99" t="s">
        <v>58</v>
      </c>
      <c r="R99" t="s">
        <v>306</v>
      </c>
      <c r="S99" t="s">
        <v>33</v>
      </c>
      <c r="T99" t="s">
        <v>201</v>
      </c>
    </row>
    <row r="100" spans="1:20" ht="16.5" x14ac:dyDescent="0.45">
      <c r="A100">
        <v>1099</v>
      </c>
      <c r="B100" t="s">
        <v>307</v>
      </c>
      <c r="C100" t="s">
        <v>20</v>
      </c>
      <c r="D100" t="s">
        <v>42</v>
      </c>
      <c r="E100">
        <v>816278</v>
      </c>
      <c r="F100" s="1">
        <v>45494</v>
      </c>
      <c r="G100" s="1"/>
      <c r="I100">
        <v>3233</v>
      </c>
      <c r="K100">
        <v>3</v>
      </c>
      <c r="L100">
        <v>4</v>
      </c>
      <c r="M100" t="s">
        <v>37</v>
      </c>
      <c r="N100">
        <v>2023</v>
      </c>
      <c r="O100">
        <v>4</v>
      </c>
      <c r="P100">
        <v>2</v>
      </c>
      <c r="Q100" t="s">
        <v>23</v>
      </c>
      <c r="R100" t="s">
        <v>308</v>
      </c>
      <c r="S100" t="s">
        <v>33</v>
      </c>
      <c r="T100" t="s">
        <v>309</v>
      </c>
    </row>
    <row r="101" spans="1:20" ht="16.5" x14ac:dyDescent="0.45">
      <c r="A101">
        <v>1100</v>
      </c>
      <c r="B101" t="s">
        <v>310</v>
      </c>
      <c r="C101" t="s">
        <v>51</v>
      </c>
      <c r="D101" t="s">
        <v>21</v>
      </c>
      <c r="E101">
        <v>372812</v>
      </c>
      <c r="F101" s="1">
        <v>45572</v>
      </c>
      <c r="G101" s="1">
        <v>45455</v>
      </c>
      <c r="H101">
        <v>408926</v>
      </c>
      <c r="I101">
        <v>3254</v>
      </c>
      <c r="J101" s="5">
        <v>1330645204</v>
      </c>
      <c r="K101">
        <v>3</v>
      </c>
      <c r="L101">
        <v>5</v>
      </c>
      <c r="M101" t="s">
        <v>22</v>
      </c>
      <c r="N101">
        <v>2012</v>
      </c>
      <c r="P101">
        <v>1</v>
      </c>
      <c r="Q101" t="s">
        <v>43</v>
      </c>
      <c r="R101" t="s">
        <v>311</v>
      </c>
      <c r="S101" t="s">
        <v>25</v>
      </c>
      <c r="T101" t="s">
        <v>312</v>
      </c>
    </row>
    <row r="102" spans="1:20" ht="16.5" x14ac:dyDescent="0.45">
      <c r="A102">
        <v>1101</v>
      </c>
      <c r="B102" t="s">
        <v>313</v>
      </c>
      <c r="C102" t="s">
        <v>36</v>
      </c>
      <c r="D102" t="s">
        <v>42</v>
      </c>
      <c r="E102">
        <v>392190</v>
      </c>
      <c r="F102" s="1">
        <v>45580</v>
      </c>
      <c r="G102" s="1">
        <v>45377</v>
      </c>
      <c r="H102">
        <v>440106</v>
      </c>
      <c r="I102">
        <v>1215</v>
      </c>
      <c r="J102" s="5">
        <v>534728790</v>
      </c>
      <c r="K102">
        <v>3</v>
      </c>
      <c r="L102">
        <v>3</v>
      </c>
      <c r="M102" t="s">
        <v>62</v>
      </c>
      <c r="N102">
        <v>2020</v>
      </c>
      <c r="O102">
        <v>7</v>
      </c>
      <c r="P102">
        <v>1</v>
      </c>
      <c r="Q102" t="s">
        <v>43</v>
      </c>
      <c r="R102" t="s">
        <v>314</v>
      </c>
      <c r="S102" t="s">
        <v>25</v>
      </c>
      <c r="T102" t="s">
        <v>315</v>
      </c>
    </row>
    <row r="103" spans="1:20" ht="16.5" x14ac:dyDescent="0.45">
      <c r="A103">
        <v>1102</v>
      </c>
      <c r="B103" t="s">
        <v>316</v>
      </c>
      <c r="C103" t="s">
        <v>28</v>
      </c>
      <c r="D103" t="s">
        <v>42</v>
      </c>
      <c r="E103">
        <v>376017</v>
      </c>
      <c r="F103" s="1">
        <v>45380</v>
      </c>
      <c r="G103" s="1"/>
      <c r="I103">
        <v>2255</v>
      </c>
      <c r="K103">
        <v>5</v>
      </c>
      <c r="L103">
        <v>3</v>
      </c>
      <c r="M103" t="s">
        <v>30</v>
      </c>
      <c r="N103">
        <v>2017</v>
      </c>
      <c r="O103">
        <v>6</v>
      </c>
      <c r="P103">
        <v>3</v>
      </c>
      <c r="Q103" t="s">
        <v>43</v>
      </c>
      <c r="R103" t="s">
        <v>317</v>
      </c>
      <c r="S103" t="s">
        <v>33</v>
      </c>
      <c r="T103" t="s">
        <v>70</v>
      </c>
    </row>
    <row r="104" spans="1:20" ht="16.5" x14ac:dyDescent="0.45">
      <c r="A104">
        <v>1103</v>
      </c>
      <c r="B104" t="s">
        <v>318</v>
      </c>
      <c r="C104" t="s">
        <v>28</v>
      </c>
      <c r="D104" t="s">
        <v>29</v>
      </c>
      <c r="E104">
        <v>707641</v>
      </c>
      <c r="F104" s="1">
        <v>45354</v>
      </c>
      <c r="G104" s="1"/>
      <c r="I104">
        <v>2665</v>
      </c>
      <c r="K104">
        <v>6</v>
      </c>
      <c r="L104">
        <v>5</v>
      </c>
      <c r="M104" t="s">
        <v>30</v>
      </c>
      <c r="N104">
        <v>2022</v>
      </c>
      <c r="O104">
        <v>3</v>
      </c>
      <c r="P104">
        <v>4</v>
      </c>
      <c r="Q104" t="s">
        <v>43</v>
      </c>
      <c r="R104" t="s">
        <v>319</v>
      </c>
      <c r="S104" t="s">
        <v>33</v>
      </c>
      <c r="T104" t="s">
        <v>320</v>
      </c>
    </row>
    <row r="105" spans="1:20" ht="16.5" x14ac:dyDescent="0.45">
      <c r="A105">
        <v>1104</v>
      </c>
      <c r="B105" t="s">
        <v>321</v>
      </c>
      <c r="C105" t="s">
        <v>28</v>
      </c>
      <c r="D105" t="s">
        <v>29</v>
      </c>
      <c r="E105">
        <v>649268</v>
      </c>
      <c r="F105" s="1">
        <v>45524</v>
      </c>
      <c r="G105" s="1">
        <v>45395</v>
      </c>
      <c r="H105">
        <v>697073</v>
      </c>
      <c r="I105">
        <v>2035</v>
      </c>
      <c r="J105" s="5">
        <v>1418543555</v>
      </c>
      <c r="K105">
        <v>2</v>
      </c>
      <c r="L105">
        <v>4</v>
      </c>
      <c r="M105" t="s">
        <v>22</v>
      </c>
      <c r="N105">
        <v>2005</v>
      </c>
      <c r="P105">
        <v>3</v>
      </c>
      <c r="Q105" t="s">
        <v>31</v>
      </c>
      <c r="R105" t="s">
        <v>322</v>
      </c>
      <c r="S105" t="s">
        <v>25</v>
      </c>
      <c r="T105" t="s">
        <v>110</v>
      </c>
    </row>
    <row r="106" spans="1:20" ht="16.5" x14ac:dyDescent="0.45">
      <c r="A106">
        <v>1105</v>
      </c>
      <c r="B106" t="s">
        <v>323</v>
      </c>
      <c r="C106" t="s">
        <v>47</v>
      </c>
      <c r="D106" t="s">
        <v>29</v>
      </c>
      <c r="E106">
        <v>965868</v>
      </c>
      <c r="F106" s="1">
        <v>45519</v>
      </c>
      <c r="G106" s="1">
        <v>45423</v>
      </c>
      <c r="H106">
        <v>991727</v>
      </c>
      <c r="I106">
        <v>3473</v>
      </c>
      <c r="J106" s="5">
        <v>3444267871</v>
      </c>
      <c r="K106">
        <v>4</v>
      </c>
      <c r="L106">
        <v>2</v>
      </c>
      <c r="M106" t="s">
        <v>62</v>
      </c>
      <c r="N106">
        <v>2002</v>
      </c>
      <c r="O106">
        <v>7</v>
      </c>
      <c r="P106">
        <v>2</v>
      </c>
      <c r="Q106" t="s">
        <v>75</v>
      </c>
      <c r="R106" t="s">
        <v>324</v>
      </c>
      <c r="S106" t="s">
        <v>25</v>
      </c>
      <c r="T106" t="s">
        <v>325</v>
      </c>
    </row>
    <row r="107" spans="1:20" ht="16.5" x14ac:dyDescent="0.45">
      <c r="A107">
        <v>1106</v>
      </c>
      <c r="B107" t="s">
        <v>326</v>
      </c>
      <c r="C107" t="s">
        <v>36</v>
      </c>
      <c r="D107" t="s">
        <v>42</v>
      </c>
      <c r="E107">
        <v>742256</v>
      </c>
      <c r="F107" s="1">
        <v>45502</v>
      </c>
      <c r="G107" s="1">
        <v>45317</v>
      </c>
      <c r="H107">
        <v>777309</v>
      </c>
      <c r="I107">
        <v>4104</v>
      </c>
      <c r="J107" s="5">
        <v>3190076136</v>
      </c>
      <c r="K107">
        <v>2</v>
      </c>
      <c r="L107">
        <v>5</v>
      </c>
      <c r="M107" t="s">
        <v>37</v>
      </c>
      <c r="N107">
        <v>2005</v>
      </c>
      <c r="O107">
        <v>10</v>
      </c>
      <c r="P107">
        <v>2</v>
      </c>
      <c r="Q107" t="s">
        <v>86</v>
      </c>
      <c r="R107" t="s">
        <v>327</v>
      </c>
      <c r="S107" t="s">
        <v>25</v>
      </c>
      <c r="T107" t="s">
        <v>91</v>
      </c>
    </row>
    <row r="108" spans="1:20" ht="16.5" x14ac:dyDescent="0.45">
      <c r="A108">
        <v>1107</v>
      </c>
      <c r="B108" t="s">
        <v>328</v>
      </c>
      <c r="C108" t="s">
        <v>36</v>
      </c>
      <c r="D108" t="s">
        <v>29</v>
      </c>
      <c r="E108">
        <v>519702</v>
      </c>
      <c r="F108" s="1">
        <v>45580</v>
      </c>
      <c r="G108" s="1"/>
      <c r="I108">
        <v>3545</v>
      </c>
      <c r="K108">
        <v>5</v>
      </c>
      <c r="L108">
        <v>3</v>
      </c>
      <c r="M108" t="s">
        <v>37</v>
      </c>
      <c r="N108">
        <v>2001</v>
      </c>
      <c r="O108">
        <v>8</v>
      </c>
      <c r="P108">
        <v>1</v>
      </c>
      <c r="Q108" t="s">
        <v>132</v>
      </c>
      <c r="R108" t="s">
        <v>329</v>
      </c>
      <c r="S108" t="s">
        <v>33</v>
      </c>
      <c r="T108" t="s">
        <v>330</v>
      </c>
    </row>
    <row r="109" spans="1:20" ht="16.5" x14ac:dyDescent="0.45">
      <c r="A109">
        <v>1108</v>
      </c>
      <c r="B109" t="s">
        <v>331</v>
      </c>
      <c r="C109" t="s">
        <v>47</v>
      </c>
      <c r="D109" t="s">
        <v>42</v>
      </c>
      <c r="E109">
        <v>350108</v>
      </c>
      <c r="F109" s="1">
        <v>45446</v>
      </c>
      <c r="G109" s="1"/>
      <c r="I109">
        <v>2428</v>
      </c>
      <c r="K109">
        <v>3</v>
      </c>
      <c r="L109">
        <v>4</v>
      </c>
      <c r="M109" t="s">
        <v>22</v>
      </c>
      <c r="N109">
        <v>2009</v>
      </c>
      <c r="P109">
        <v>3</v>
      </c>
      <c r="Q109" t="s">
        <v>38</v>
      </c>
      <c r="R109" t="s">
        <v>332</v>
      </c>
      <c r="S109" t="s">
        <v>33</v>
      </c>
      <c r="T109" t="s">
        <v>183</v>
      </c>
    </row>
    <row r="110" spans="1:20" ht="16.5" x14ac:dyDescent="0.45">
      <c r="A110">
        <v>1109</v>
      </c>
      <c r="B110" t="s">
        <v>333</v>
      </c>
      <c r="C110" t="s">
        <v>51</v>
      </c>
      <c r="D110" t="s">
        <v>29</v>
      </c>
      <c r="E110">
        <v>443932</v>
      </c>
      <c r="F110" s="1">
        <v>45402</v>
      </c>
      <c r="G110" s="1">
        <v>45470</v>
      </c>
      <c r="H110">
        <v>469610</v>
      </c>
      <c r="I110">
        <v>1107</v>
      </c>
      <c r="J110" s="5">
        <v>519858270</v>
      </c>
      <c r="K110">
        <v>6</v>
      </c>
      <c r="L110">
        <v>2</v>
      </c>
      <c r="M110" t="s">
        <v>37</v>
      </c>
      <c r="N110">
        <v>2017</v>
      </c>
      <c r="O110">
        <v>4</v>
      </c>
      <c r="P110">
        <v>2</v>
      </c>
      <c r="Q110" t="s">
        <v>23</v>
      </c>
      <c r="R110" t="s">
        <v>334</v>
      </c>
      <c r="S110" t="s">
        <v>25</v>
      </c>
      <c r="T110" t="s">
        <v>335</v>
      </c>
    </row>
    <row r="111" spans="1:20" ht="16.5" x14ac:dyDescent="0.45">
      <c r="A111">
        <v>1110</v>
      </c>
      <c r="B111" t="s">
        <v>336</v>
      </c>
      <c r="C111" t="s">
        <v>28</v>
      </c>
      <c r="D111" t="s">
        <v>29</v>
      </c>
      <c r="E111">
        <v>541113</v>
      </c>
      <c r="F111" s="1">
        <v>45618</v>
      </c>
      <c r="G111" s="1"/>
      <c r="I111">
        <v>3012</v>
      </c>
      <c r="K111">
        <v>2</v>
      </c>
      <c r="L111">
        <v>3</v>
      </c>
      <c r="M111" t="s">
        <v>30</v>
      </c>
      <c r="N111">
        <v>2003</v>
      </c>
      <c r="O111">
        <v>8</v>
      </c>
      <c r="P111">
        <v>3</v>
      </c>
      <c r="Q111" t="s">
        <v>75</v>
      </c>
      <c r="R111" t="s">
        <v>337</v>
      </c>
      <c r="S111" t="s">
        <v>33</v>
      </c>
      <c r="T111" t="s">
        <v>338</v>
      </c>
    </row>
    <row r="112" spans="1:20" ht="16.5" x14ac:dyDescent="0.45">
      <c r="A112">
        <v>1111</v>
      </c>
      <c r="B112" t="s">
        <v>339</v>
      </c>
      <c r="C112" t="s">
        <v>51</v>
      </c>
      <c r="D112" t="s">
        <v>29</v>
      </c>
      <c r="E112">
        <v>546329</v>
      </c>
      <c r="F112" s="1">
        <v>45454</v>
      </c>
      <c r="G112" s="1">
        <v>45501</v>
      </c>
      <c r="H112">
        <v>565654</v>
      </c>
      <c r="I112">
        <v>4995</v>
      </c>
      <c r="J112" s="5">
        <v>2825441730</v>
      </c>
      <c r="K112">
        <v>4</v>
      </c>
      <c r="L112">
        <v>5</v>
      </c>
      <c r="M112" t="s">
        <v>62</v>
      </c>
      <c r="N112">
        <v>2003</v>
      </c>
      <c r="O112">
        <v>1</v>
      </c>
      <c r="P112">
        <v>2</v>
      </c>
      <c r="Q112" t="s">
        <v>58</v>
      </c>
      <c r="R112" t="s">
        <v>340</v>
      </c>
      <c r="S112" t="s">
        <v>25</v>
      </c>
      <c r="T112" t="s">
        <v>341</v>
      </c>
    </row>
    <row r="113" spans="1:20" ht="16.5" x14ac:dyDescent="0.45">
      <c r="A113">
        <v>1112</v>
      </c>
      <c r="B113" t="s">
        <v>342</v>
      </c>
      <c r="C113" t="s">
        <v>36</v>
      </c>
      <c r="D113" t="s">
        <v>42</v>
      </c>
      <c r="E113">
        <v>570525</v>
      </c>
      <c r="F113" s="1">
        <v>45316</v>
      </c>
      <c r="G113" s="1">
        <v>45630</v>
      </c>
      <c r="H113">
        <v>588314</v>
      </c>
      <c r="I113">
        <v>2458</v>
      </c>
      <c r="J113" s="5">
        <v>1446075812</v>
      </c>
      <c r="K113">
        <v>2</v>
      </c>
      <c r="L113">
        <v>5</v>
      </c>
      <c r="M113" t="s">
        <v>30</v>
      </c>
      <c r="N113">
        <v>2012</v>
      </c>
      <c r="O113">
        <v>10</v>
      </c>
      <c r="P113">
        <v>1</v>
      </c>
      <c r="Q113" t="s">
        <v>43</v>
      </c>
      <c r="R113" t="s">
        <v>343</v>
      </c>
      <c r="S113" t="s">
        <v>25</v>
      </c>
      <c r="T113" t="s">
        <v>344</v>
      </c>
    </row>
    <row r="114" spans="1:20" ht="16.5" x14ac:dyDescent="0.45">
      <c r="A114">
        <v>1113</v>
      </c>
      <c r="B114" t="s">
        <v>345</v>
      </c>
      <c r="C114" t="s">
        <v>20</v>
      </c>
      <c r="D114" t="s">
        <v>29</v>
      </c>
      <c r="E114">
        <v>697682</v>
      </c>
      <c r="F114" s="1">
        <v>45618</v>
      </c>
      <c r="G114" s="1">
        <v>45333</v>
      </c>
      <c r="H114">
        <v>747092</v>
      </c>
      <c r="I114">
        <v>1781</v>
      </c>
      <c r="J114" s="5">
        <v>1330570852</v>
      </c>
      <c r="K114">
        <v>4</v>
      </c>
      <c r="L114">
        <v>3</v>
      </c>
      <c r="M114" t="s">
        <v>22</v>
      </c>
      <c r="N114">
        <v>2006</v>
      </c>
      <c r="P114">
        <v>4</v>
      </c>
      <c r="Q114" t="s">
        <v>43</v>
      </c>
      <c r="R114" t="s">
        <v>346</v>
      </c>
      <c r="S114" t="s">
        <v>25</v>
      </c>
      <c r="T114" t="s">
        <v>91</v>
      </c>
    </row>
    <row r="115" spans="1:20" ht="16.5" x14ac:dyDescent="0.45">
      <c r="A115">
        <v>1114</v>
      </c>
      <c r="B115" t="s">
        <v>347</v>
      </c>
      <c r="C115" t="s">
        <v>51</v>
      </c>
      <c r="D115" t="s">
        <v>21</v>
      </c>
      <c r="E115">
        <v>565076</v>
      </c>
      <c r="F115" s="1">
        <v>45346</v>
      </c>
      <c r="G115" s="1">
        <v>45467</v>
      </c>
      <c r="H115">
        <v>583695</v>
      </c>
      <c r="I115">
        <v>4125</v>
      </c>
      <c r="J115" s="5">
        <v>2407741875</v>
      </c>
      <c r="K115">
        <v>5</v>
      </c>
      <c r="L115">
        <v>5</v>
      </c>
      <c r="M115" t="s">
        <v>22</v>
      </c>
      <c r="N115">
        <v>2022</v>
      </c>
      <c r="P115">
        <v>4</v>
      </c>
      <c r="Q115" t="s">
        <v>23</v>
      </c>
      <c r="R115" t="s">
        <v>348</v>
      </c>
      <c r="S115" t="s">
        <v>25</v>
      </c>
      <c r="T115" t="s">
        <v>349</v>
      </c>
    </row>
    <row r="116" spans="1:20" ht="16.5" x14ac:dyDescent="0.45">
      <c r="A116">
        <v>1115</v>
      </c>
      <c r="B116" t="s">
        <v>350</v>
      </c>
      <c r="C116" t="s">
        <v>20</v>
      </c>
      <c r="D116" t="s">
        <v>29</v>
      </c>
      <c r="E116">
        <v>700354</v>
      </c>
      <c r="F116" s="1">
        <v>45365</v>
      </c>
      <c r="G116" s="1"/>
      <c r="I116">
        <v>2187</v>
      </c>
      <c r="K116">
        <v>6</v>
      </c>
      <c r="L116">
        <v>4</v>
      </c>
      <c r="M116" t="s">
        <v>22</v>
      </c>
      <c r="N116">
        <v>2002</v>
      </c>
      <c r="P116">
        <v>2</v>
      </c>
      <c r="Q116" t="s">
        <v>86</v>
      </c>
      <c r="R116" t="s">
        <v>351</v>
      </c>
      <c r="S116" t="s">
        <v>33</v>
      </c>
      <c r="T116" t="s">
        <v>352</v>
      </c>
    </row>
    <row r="117" spans="1:20" ht="16.5" x14ac:dyDescent="0.45">
      <c r="A117">
        <v>1116</v>
      </c>
      <c r="B117" t="s">
        <v>353</v>
      </c>
      <c r="C117" t="s">
        <v>51</v>
      </c>
      <c r="D117" t="s">
        <v>29</v>
      </c>
      <c r="E117">
        <v>552374</v>
      </c>
      <c r="F117" s="1">
        <v>45406</v>
      </c>
      <c r="G117" s="1"/>
      <c r="I117">
        <v>1864</v>
      </c>
      <c r="K117">
        <v>4</v>
      </c>
      <c r="L117">
        <v>3</v>
      </c>
      <c r="M117" t="s">
        <v>22</v>
      </c>
      <c r="N117">
        <v>2013</v>
      </c>
      <c r="P117">
        <v>2</v>
      </c>
      <c r="Q117" t="s">
        <v>93</v>
      </c>
      <c r="R117" t="s">
        <v>354</v>
      </c>
      <c r="S117" t="s">
        <v>33</v>
      </c>
      <c r="T117" t="s">
        <v>137</v>
      </c>
    </row>
    <row r="118" spans="1:20" ht="16.5" x14ac:dyDescent="0.45">
      <c r="A118">
        <v>1117</v>
      </c>
      <c r="B118" t="s">
        <v>355</v>
      </c>
      <c r="C118" t="s">
        <v>47</v>
      </c>
      <c r="D118" t="s">
        <v>29</v>
      </c>
      <c r="E118">
        <v>665781</v>
      </c>
      <c r="F118" s="1">
        <v>45420</v>
      </c>
      <c r="G118" s="1"/>
      <c r="I118">
        <v>4511</v>
      </c>
      <c r="K118">
        <v>5</v>
      </c>
      <c r="L118">
        <v>4</v>
      </c>
      <c r="M118" t="s">
        <v>62</v>
      </c>
      <c r="N118">
        <v>2022</v>
      </c>
      <c r="O118">
        <v>10</v>
      </c>
      <c r="P118">
        <v>1</v>
      </c>
      <c r="Q118" t="s">
        <v>162</v>
      </c>
      <c r="R118" t="s">
        <v>356</v>
      </c>
      <c r="S118" t="s">
        <v>33</v>
      </c>
      <c r="T118" t="s">
        <v>357</v>
      </c>
    </row>
    <row r="119" spans="1:20" ht="16.5" x14ac:dyDescent="0.45">
      <c r="A119">
        <v>1118</v>
      </c>
      <c r="B119" t="s">
        <v>358</v>
      </c>
      <c r="C119" t="s">
        <v>20</v>
      </c>
      <c r="D119" t="s">
        <v>42</v>
      </c>
      <c r="E119">
        <v>907199</v>
      </c>
      <c r="F119" s="1">
        <v>45348</v>
      </c>
      <c r="G119" s="1">
        <v>45499</v>
      </c>
      <c r="H119">
        <v>933974</v>
      </c>
      <c r="I119">
        <v>2426</v>
      </c>
      <c r="J119" s="5">
        <v>2265820924</v>
      </c>
      <c r="K119">
        <v>5</v>
      </c>
      <c r="L119">
        <v>4</v>
      </c>
      <c r="M119" t="s">
        <v>37</v>
      </c>
      <c r="N119">
        <v>2000</v>
      </c>
      <c r="O119">
        <v>7</v>
      </c>
      <c r="P119">
        <v>2</v>
      </c>
      <c r="Q119" t="s">
        <v>58</v>
      </c>
      <c r="R119" t="s">
        <v>359</v>
      </c>
      <c r="S119" t="s">
        <v>25</v>
      </c>
      <c r="T119" t="s">
        <v>360</v>
      </c>
    </row>
    <row r="120" spans="1:20" ht="16.5" x14ac:dyDescent="0.45">
      <c r="A120">
        <v>1119</v>
      </c>
      <c r="B120" t="s">
        <v>361</v>
      </c>
      <c r="C120" t="s">
        <v>51</v>
      </c>
      <c r="D120" t="s">
        <v>42</v>
      </c>
      <c r="E120">
        <v>333112</v>
      </c>
      <c r="F120" s="1">
        <v>45514</v>
      </c>
      <c r="G120" s="1"/>
      <c r="I120">
        <v>2602</v>
      </c>
      <c r="K120">
        <v>3</v>
      </c>
      <c r="L120">
        <v>3</v>
      </c>
      <c r="M120" t="s">
        <v>22</v>
      </c>
      <c r="N120">
        <v>2000</v>
      </c>
      <c r="P120">
        <v>1</v>
      </c>
      <c r="Q120" t="s">
        <v>23</v>
      </c>
      <c r="R120" t="s">
        <v>362</v>
      </c>
      <c r="S120" t="s">
        <v>33</v>
      </c>
      <c r="T120" t="s">
        <v>363</v>
      </c>
    </row>
    <row r="121" spans="1:20" ht="16.5" x14ac:dyDescent="0.45">
      <c r="A121">
        <v>1120</v>
      </c>
      <c r="B121" t="s">
        <v>364</v>
      </c>
      <c r="C121" t="s">
        <v>36</v>
      </c>
      <c r="D121" t="s">
        <v>29</v>
      </c>
      <c r="E121">
        <v>847872</v>
      </c>
      <c r="F121" s="1">
        <v>45640</v>
      </c>
      <c r="G121" s="1">
        <v>45367</v>
      </c>
      <c r="H121">
        <v>858691</v>
      </c>
      <c r="I121">
        <v>1843</v>
      </c>
      <c r="J121" s="5">
        <v>1582567513</v>
      </c>
      <c r="K121">
        <v>2</v>
      </c>
      <c r="L121">
        <v>5</v>
      </c>
      <c r="M121" t="s">
        <v>62</v>
      </c>
      <c r="N121">
        <v>2010</v>
      </c>
      <c r="O121">
        <v>6</v>
      </c>
      <c r="P121">
        <v>4</v>
      </c>
      <c r="Q121" t="s">
        <v>23</v>
      </c>
      <c r="R121" t="s">
        <v>365</v>
      </c>
      <c r="S121" t="s">
        <v>25</v>
      </c>
      <c r="T121" t="s">
        <v>366</v>
      </c>
    </row>
    <row r="122" spans="1:20" ht="16.5" x14ac:dyDescent="0.45">
      <c r="A122">
        <v>1121</v>
      </c>
      <c r="B122" t="s">
        <v>367</v>
      </c>
      <c r="C122" t="s">
        <v>36</v>
      </c>
      <c r="D122" t="s">
        <v>21</v>
      </c>
      <c r="E122">
        <v>860651</v>
      </c>
      <c r="F122" s="1">
        <v>45336</v>
      </c>
      <c r="G122" s="1"/>
      <c r="I122">
        <v>2396</v>
      </c>
      <c r="K122">
        <v>3</v>
      </c>
      <c r="L122">
        <v>5</v>
      </c>
      <c r="M122" t="s">
        <v>30</v>
      </c>
      <c r="N122">
        <v>2004</v>
      </c>
      <c r="O122">
        <v>8</v>
      </c>
      <c r="P122">
        <v>1</v>
      </c>
      <c r="Q122" t="s">
        <v>93</v>
      </c>
      <c r="R122" t="s">
        <v>368</v>
      </c>
      <c r="S122" t="s">
        <v>33</v>
      </c>
      <c r="T122" t="s">
        <v>183</v>
      </c>
    </row>
    <row r="123" spans="1:20" ht="16.5" x14ac:dyDescent="0.45">
      <c r="A123">
        <v>1122</v>
      </c>
      <c r="B123" t="s">
        <v>369</v>
      </c>
      <c r="C123" t="s">
        <v>28</v>
      </c>
      <c r="D123" t="s">
        <v>29</v>
      </c>
      <c r="E123">
        <v>560813</v>
      </c>
      <c r="F123" s="1">
        <v>45507</v>
      </c>
      <c r="G123" s="1">
        <v>45309</v>
      </c>
      <c r="H123">
        <v>608506</v>
      </c>
      <c r="I123">
        <v>2866</v>
      </c>
      <c r="J123" s="5">
        <v>1743978196</v>
      </c>
      <c r="K123">
        <v>6</v>
      </c>
      <c r="L123">
        <v>2</v>
      </c>
      <c r="M123" t="s">
        <v>62</v>
      </c>
      <c r="N123">
        <v>2007</v>
      </c>
      <c r="O123">
        <v>10</v>
      </c>
      <c r="P123">
        <v>1</v>
      </c>
      <c r="Q123" t="s">
        <v>43</v>
      </c>
      <c r="R123" t="s">
        <v>370</v>
      </c>
      <c r="S123" t="s">
        <v>25</v>
      </c>
      <c r="T123" t="s">
        <v>137</v>
      </c>
    </row>
    <row r="124" spans="1:20" ht="16.5" x14ac:dyDescent="0.45">
      <c r="A124">
        <v>1123</v>
      </c>
      <c r="B124" t="s">
        <v>371</v>
      </c>
      <c r="C124" t="s">
        <v>36</v>
      </c>
      <c r="D124" t="s">
        <v>29</v>
      </c>
      <c r="E124">
        <v>686118</v>
      </c>
      <c r="F124" s="1">
        <v>45507</v>
      </c>
      <c r="G124" s="1">
        <v>45466</v>
      </c>
      <c r="H124">
        <v>704022</v>
      </c>
      <c r="I124">
        <v>3363</v>
      </c>
      <c r="J124" s="5">
        <v>2367625986</v>
      </c>
      <c r="K124">
        <v>6</v>
      </c>
      <c r="L124">
        <v>4</v>
      </c>
      <c r="M124" t="s">
        <v>30</v>
      </c>
      <c r="N124">
        <v>2019</v>
      </c>
      <c r="O124">
        <v>3</v>
      </c>
      <c r="P124">
        <v>1</v>
      </c>
      <c r="Q124" t="s">
        <v>38</v>
      </c>
      <c r="R124" t="s">
        <v>198</v>
      </c>
      <c r="S124" t="s">
        <v>25</v>
      </c>
      <c r="T124" t="s">
        <v>372</v>
      </c>
    </row>
    <row r="125" spans="1:20" ht="16.5" x14ac:dyDescent="0.45">
      <c r="A125">
        <v>1124</v>
      </c>
      <c r="B125" t="s">
        <v>373</v>
      </c>
      <c r="C125" t="s">
        <v>20</v>
      </c>
      <c r="D125" t="s">
        <v>21</v>
      </c>
      <c r="E125">
        <v>971193</v>
      </c>
      <c r="F125" s="1">
        <v>45334</v>
      </c>
      <c r="G125" s="1"/>
      <c r="I125">
        <v>1150</v>
      </c>
      <c r="K125">
        <v>4</v>
      </c>
      <c r="L125">
        <v>2</v>
      </c>
      <c r="M125" t="s">
        <v>37</v>
      </c>
      <c r="N125">
        <v>2003</v>
      </c>
      <c r="O125">
        <v>7</v>
      </c>
      <c r="P125">
        <v>1</v>
      </c>
      <c r="Q125" t="s">
        <v>38</v>
      </c>
      <c r="R125" t="s">
        <v>374</v>
      </c>
      <c r="S125" t="s">
        <v>33</v>
      </c>
      <c r="T125" t="s">
        <v>375</v>
      </c>
    </row>
    <row r="126" spans="1:20" ht="16.5" x14ac:dyDescent="0.45">
      <c r="A126">
        <v>1125</v>
      </c>
      <c r="B126" t="s">
        <v>376</v>
      </c>
      <c r="C126" t="s">
        <v>47</v>
      </c>
      <c r="D126" t="s">
        <v>21</v>
      </c>
      <c r="E126">
        <v>502707</v>
      </c>
      <c r="F126" s="1">
        <v>45616</v>
      </c>
      <c r="G126" s="1"/>
      <c r="I126">
        <v>3805</v>
      </c>
      <c r="K126">
        <v>3</v>
      </c>
      <c r="L126">
        <v>3</v>
      </c>
      <c r="M126" t="s">
        <v>37</v>
      </c>
      <c r="N126">
        <v>2016</v>
      </c>
      <c r="O126">
        <v>3</v>
      </c>
      <c r="P126">
        <v>1</v>
      </c>
      <c r="Q126" t="s">
        <v>132</v>
      </c>
      <c r="R126" t="s">
        <v>377</v>
      </c>
      <c r="S126" t="s">
        <v>33</v>
      </c>
      <c r="T126" t="s">
        <v>378</v>
      </c>
    </row>
    <row r="127" spans="1:20" ht="16.5" x14ac:dyDescent="0.45">
      <c r="A127">
        <v>1126</v>
      </c>
      <c r="B127" t="s">
        <v>379</v>
      </c>
      <c r="C127" t="s">
        <v>51</v>
      </c>
      <c r="D127" t="s">
        <v>21</v>
      </c>
      <c r="E127">
        <v>670924</v>
      </c>
      <c r="F127" s="1">
        <v>45480</v>
      </c>
      <c r="G127" s="1">
        <v>45431</v>
      </c>
      <c r="H127">
        <v>687396</v>
      </c>
      <c r="I127">
        <v>4308</v>
      </c>
      <c r="J127" s="5">
        <v>2961301968</v>
      </c>
      <c r="K127">
        <v>2</v>
      </c>
      <c r="L127">
        <v>3</v>
      </c>
      <c r="M127" t="s">
        <v>30</v>
      </c>
      <c r="N127">
        <v>2010</v>
      </c>
      <c r="O127">
        <v>3</v>
      </c>
      <c r="P127">
        <v>4</v>
      </c>
      <c r="Q127" t="s">
        <v>132</v>
      </c>
      <c r="R127" t="s">
        <v>380</v>
      </c>
      <c r="S127" t="s">
        <v>25</v>
      </c>
      <c r="T127" t="s">
        <v>122</v>
      </c>
    </row>
    <row r="128" spans="1:20" ht="16.5" x14ac:dyDescent="0.45">
      <c r="A128">
        <v>1127</v>
      </c>
      <c r="B128" t="s">
        <v>381</v>
      </c>
      <c r="C128" t="s">
        <v>20</v>
      </c>
      <c r="D128" t="s">
        <v>29</v>
      </c>
      <c r="E128">
        <v>449740</v>
      </c>
      <c r="F128" s="1">
        <v>45578</v>
      </c>
      <c r="G128" s="1"/>
      <c r="I128">
        <v>3010</v>
      </c>
      <c r="K128">
        <v>4</v>
      </c>
      <c r="L128">
        <v>3</v>
      </c>
      <c r="M128" t="s">
        <v>62</v>
      </c>
      <c r="N128">
        <v>2005</v>
      </c>
      <c r="O128">
        <v>2</v>
      </c>
      <c r="P128">
        <v>2</v>
      </c>
      <c r="Q128" t="s">
        <v>31</v>
      </c>
      <c r="R128" t="s">
        <v>382</v>
      </c>
      <c r="S128" t="s">
        <v>33</v>
      </c>
      <c r="T128" t="s">
        <v>183</v>
      </c>
    </row>
    <row r="129" spans="1:20" ht="16.5" x14ac:dyDescent="0.45">
      <c r="A129">
        <v>1128</v>
      </c>
      <c r="B129" t="s">
        <v>383</v>
      </c>
      <c r="C129" t="s">
        <v>36</v>
      </c>
      <c r="D129" t="s">
        <v>29</v>
      </c>
      <c r="E129">
        <v>942605</v>
      </c>
      <c r="F129" s="1">
        <v>45281</v>
      </c>
      <c r="G129" s="1">
        <v>45291</v>
      </c>
      <c r="H129">
        <v>970505</v>
      </c>
      <c r="I129">
        <v>1591</v>
      </c>
      <c r="J129" s="5">
        <v>1544073455</v>
      </c>
      <c r="K129">
        <v>5</v>
      </c>
      <c r="L129">
        <v>5</v>
      </c>
      <c r="M129" t="s">
        <v>22</v>
      </c>
      <c r="N129">
        <v>2010</v>
      </c>
      <c r="P129">
        <v>4</v>
      </c>
      <c r="Q129" t="s">
        <v>23</v>
      </c>
      <c r="R129" t="s">
        <v>384</v>
      </c>
      <c r="S129" t="s">
        <v>25</v>
      </c>
      <c r="T129" t="s">
        <v>385</v>
      </c>
    </row>
    <row r="130" spans="1:20" ht="16.5" x14ac:dyDescent="0.45">
      <c r="A130">
        <v>1129</v>
      </c>
      <c r="B130" t="s">
        <v>386</v>
      </c>
      <c r="C130" t="s">
        <v>28</v>
      </c>
      <c r="D130" t="s">
        <v>29</v>
      </c>
      <c r="E130">
        <v>775444</v>
      </c>
      <c r="F130" s="1">
        <v>45556</v>
      </c>
      <c r="G130" s="1"/>
      <c r="I130">
        <v>3787</v>
      </c>
      <c r="K130">
        <v>6</v>
      </c>
      <c r="L130">
        <v>4</v>
      </c>
      <c r="M130" t="s">
        <v>62</v>
      </c>
      <c r="N130">
        <v>2016</v>
      </c>
      <c r="O130">
        <v>1</v>
      </c>
      <c r="P130">
        <v>3</v>
      </c>
      <c r="Q130" t="s">
        <v>58</v>
      </c>
      <c r="R130" t="s">
        <v>387</v>
      </c>
      <c r="S130" t="s">
        <v>33</v>
      </c>
      <c r="T130" t="s">
        <v>388</v>
      </c>
    </row>
    <row r="131" spans="1:20" ht="16.5" x14ac:dyDescent="0.45">
      <c r="A131">
        <v>1130</v>
      </c>
      <c r="B131" t="s">
        <v>389</v>
      </c>
      <c r="C131" t="s">
        <v>20</v>
      </c>
      <c r="D131" t="s">
        <v>29</v>
      </c>
      <c r="E131">
        <v>536327</v>
      </c>
      <c r="F131" s="1">
        <v>45625</v>
      </c>
      <c r="G131" s="1"/>
      <c r="I131">
        <v>3881</v>
      </c>
      <c r="K131">
        <v>5</v>
      </c>
      <c r="L131">
        <v>4</v>
      </c>
      <c r="M131" t="s">
        <v>22</v>
      </c>
      <c r="N131">
        <v>2000</v>
      </c>
      <c r="P131">
        <v>2</v>
      </c>
      <c r="Q131" t="s">
        <v>31</v>
      </c>
      <c r="R131" t="s">
        <v>390</v>
      </c>
      <c r="S131" t="s">
        <v>33</v>
      </c>
      <c r="T131" t="s">
        <v>391</v>
      </c>
    </row>
    <row r="132" spans="1:20" ht="16.5" x14ac:dyDescent="0.45">
      <c r="A132">
        <v>1131</v>
      </c>
      <c r="B132" t="s">
        <v>392</v>
      </c>
      <c r="C132" t="s">
        <v>36</v>
      </c>
      <c r="D132" t="s">
        <v>21</v>
      </c>
      <c r="E132">
        <v>431448</v>
      </c>
      <c r="F132" s="1">
        <v>45630</v>
      </c>
      <c r="G132" s="1">
        <v>45642</v>
      </c>
      <c r="H132">
        <v>441929</v>
      </c>
      <c r="I132">
        <v>2547</v>
      </c>
      <c r="J132" s="5">
        <v>1125593163</v>
      </c>
      <c r="K132">
        <v>2</v>
      </c>
      <c r="L132">
        <v>5</v>
      </c>
      <c r="M132" t="s">
        <v>30</v>
      </c>
      <c r="N132">
        <v>2002</v>
      </c>
      <c r="O132">
        <v>7</v>
      </c>
      <c r="P132">
        <v>2</v>
      </c>
      <c r="Q132" t="s">
        <v>86</v>
      </c>
      <c r="R132" t="s">
        <v>393</v>
      </c>
      <c r="S132" t="s">
        <v>25</v>
      </c>
      <c r="T132" t="s">
        <v>394</v>
      </c>
    </row>
    <row r="133" spans="1:20" ht="16.5" x14ac:dyDescent="0.45">
      <c r="A133">
        <v>1132</v>
      </c>
      <c r="B133" t="s">
        <v>395</v>
      </c>
      <c r="C133" t="s">
        <v>47</v>
      </c>
      <c r="D133" t="s">
        <v>42</v>
      </c>
      <c r="E133">
        <v>325178</v>
      </c>
      <c r="F133" s="1">
        <v>45607</v>
      </c>
      <c r="G133" s="1">
        <v>45600</v>
      </c>
      <c r="H133">
        <v>349331</v>
      </c>
      <c r="I133">
        <v>2705</v>
      </c>
      <c r="J133" s="5">
        <v>944940355</v>
      </c>
      <c r="K133">
        <v>4</v>
      </c>
      <c r="L133">
        <v>4</v>
      </c>
      <c r="M133" t="s">
        <v>22</v>
      </c>
      <c r="N133">
        <v>2011</v>
      </c>
      <c r="P133">
        <v>4</v>
      </c>
      <c r="Q133" t="s">
        <v>23</v>
      </c>
      <c r="R133" t="s">
        <v>396</v>
      </c>
      <c r="S133" t="s">
        <v>25</v>
      </c>
      <c r="T133" t="s">
        <v>128</v>
      </c>
    </row>
    <row r="134" spans="1:20" ht="16.5" x14ac:dyDescent="0.45">
      <c r="A134">
        <v>1133</v>
      </c>
      <c r="B134" t="s">
        <v>397</v>
      </c>
      <c r="C134" t="s">
        <v>47</v>
      </c>
      <c r="D134" t="s">
        <v>42</v>
      </c>
      <c r="E134">
        <v>382374</v>
      </c>
      <c r="F134" s="1">
        <v>45586</v>
      </c>
      <c r="G134" s="1"/>
      <c r="I134">
        <v>2287</v>
      </c>
      <c r="K134">
        <v>5</v>
      </c>
      <c r="L134">
        <v>2</v>
      </c>
      <c r="M134" t="s">
        <v>62</v>
      </c>
      <c r="N134">
        <v>2014</v>
      </c>
      <c r="O134">
        <v>5</v>
      </c>
      <c r="P134">
        <v>2</v>
      </c>
      <c r="Q134" t="s">
        <v>38</v>
      </c>
      <c r="R134" t="s">
        <v>398</v>
      </c>
      <c r="S134" t="s">
        <v>33</v>
      </c>
      <c r="T134" t="s">
        <v>399</v>
      </c>
    </row>
    <row r="135" spans="1:20" ht="16.5" x14ac:dyDescent="0.45">
      <c r="A135">
        <v>1134</v>
      </c>
      <c r="B135" t="s">
        <v>400</v>
      </c>
      <c r="C135" t="s">
        <v>47</v>
      </c>
      <c r="D135" t="s">
        <v>21</v>
      </c>
      <c r="E135">
        <v>799297</v>
      </c>
      <c r="F135" s="1">
        <v>45621</v>
      </c>
      <c r="G135" s="1"/>
      <c r="I135">
        <v>2842</v>
      </c>
      <c r="K135">
        <v>5</v>
      </c>
      <c r="L135">
        <v>4</v>
      </c>
      <c r="M135" t="s">
        <v>22</v>
      </c>
      <c r="N135">
        <v>2013</v>
      </c>
      <c r="P135">
        <v>2</v>
      </c>
      <c r="Q135" t="s">
        <v>93</v>
      </c>
      <c r="R135" t="s">
        <v>401</v>
      </c>
      <c r="S135" t="s">
        <v>33</v>
      </c>
      <c r="T135" t="s">
        <v>77</v>
      </c>
    </row>
    <row r="136" spans="1:20" ht="16.5" x14ac:dyDescent="0.45">
      <c r="A136">
        <v>1135</v>
      </c>
      <c r="B136" t="s">
        <v>402</v>
      </c>
      <c r="C136" t="s">
        <v>20</v>
      </c>
      <c r="D136" t="s">
        <v>42</v>
      </c>
      <c r="E136">
        <v>891717</v>
      </c>
      <c r="F136" s="1">
        <v>45624</v>
      </c>
      <c r="G136" s="1"/>
      <c r="I136">
        <v>2955</v>
      </c>
      <c r="K136">
        <v>4</v>
      </c>
      <c r="L136">
        <v>3</v>
      </c>
      <c r="M136" t="s">
        <v>37</v>
      </c>
      <c r="N136">
        <v>2021</v>
      </c>
      <c r="O136">
        <v>4</v>
      </c>
      <c r="P136">
        <v>4</v>
      </c>
      <c r="Q136" t="s">
        <v>132</v>
      </c>
      <c r="R136" t="s">
        <v>403</v>
      </c>
      <c r="S136" t="s">
        <v>33</v>
      </c>
      <c r="T136" t="s">
        <v>404</v>
      </c>
    </row>
    <row r="137" spans="1:20" ht="16.5" x14ac:dyDescent="0.45">
      <c r="A137">
        <v>1136</v>
      </c>
      <c r="B137" t="s">
        <v>405</v>
      </c>
      <c r="C137" t="s">
        <v>36</v>
      </c>
      <c r="D137" t="s">
        <v>21</v>
      </c>
      <c r="E137">
        <v>761189</v>
      </c>
      <c r="F137" s="1">
        <v>45604</v>
      </c>
      <c r="G137" s="1">
        <v>45599</v>
      </c>
      <c r="H137">
        <v>771343</v>
      </c>
      <c r="I137">
        <v>2265</v>
      </c>
      <c r="J137" s="5">
        <v>1747091895</v>
      </c>
      <c r="K137">
        <v>2</v>
      </c>
      <c r="L137">
        <v>4</v>
      </c>
      <c r="M137" t="s">
        <v>37</v>
      </c>
      <c r="N137">
        <v>2015</v>
      </c>
      <c r="O137">
        <v>1</v>
      </c>
      <c r="P137">
        <v>3</v>
      </c>
      <c r="Q137" t="s">
        <v>38</v>
      </c>
      <c r="R137" t="s">
        <v>406</v>
      </c>
      <c r="S137" t="s">
        <v>25</v>
      </c>
      <c r="T137" t="s">
        <v>407</v>
      </c>
    </row>
    <row r="138" spans="1:20" ht="16.5" x14ac:dyDescent="0.45">
      <c r="A138">
        <v>1137</v>
      </c>
      <c r="B138" t="s">
        <v>408</v>
      </c>
      <c r="C138" t="s">
        <v>51</v>
      </c>
      <c r="D138" t="s">
        <v>42</v>
      </c>
      <c r="E138">
        <v>586729</v>
      </c>
      <c r="F138" s="1">
        <v>45496</v>
      </c>
      <c r="G138" s="1"/>
      <c r="I138">
        <v>1870</v>
      </c>
      <c r="K138">
        <v>3</v>
      </c>
      <c r="L138">
        <v>3</v>
      </c>
      <c r="M138" t="s">
        <v>37</v>
      </c>
      <c r="N138">
        <v>2004</v>
      </c>
      <c r="O138">
        <v>6</v>
      </c>
      <c r="P138">
        <v>1</v>
      </c>
      <c r="Q138" t="s">
        <v>43</v>
      </c>
      <c r="R138" t="s">
        <v>409</v>
      </c>
      <c r="S138" t="s">
        <v>33</v>
      </c>
      <c r="T138" t="s">
        <v>152</v>
      </c>
    </row>
    <row r="139" spans="1:20" ht="16.5" x14ac:dyDescent="0.45">
      <c r="A139">
        <v>1138</v>
      </c>
      <c r="B139" t="s">
        <v>410</v>
      </c>
      <c r="C139" t="s">
        <v>20</v>
      </c>
      <c r="D139" t="s">
        <v>21</v>
      </c>
      <c r="E139">
        <v>938832</v>
      </c>
      <c r="F139" s="1">
        <v>45387</v>
      </c>
      <c r="G139" s="1"/>
      <c r="I139">
        <v>2998</v>
      </c>
      <c r="K139">
        <v>5</v>
      </c>
      <c r="L139">
        <v>4</v>
      </c>
      <c r="M139" t="s">
        <v>37</v>
      </c>
      <c r="N139">
        <v>2007</v>
      </c>
      <c r="O139">
        <v>7</v>
      </c>
      <c r="P139">
        <v>2</v>
      </c>
      <c r="Q139" t="s">
        <v>93</v>
      </c>
      <c r="R139" t="s">
        <v>411</v>
      </c>
      <c r="S139" t="s">
        <v>33</v>
      </c>
      <c r="T139" t="s">
        <v>412</v>
      </c>
    </row>
    <row r="140" spans="1:20" ht="16.5" x14ac:dyDescent="0.45">
      <c r="A140">
        <v>1139</v>
      </c>
      <c r="B140" t="s">
        <v>413</v>
      </c>
      <c r="C140" t="s">
        <v>51</v>
      </c>
      <c r="D140" t="s">
        <v>29</v>
      </c>
      <c r="E140">
        <v>892516</v>
      </c>
      <c r="F140" s="1">
        <v>45479</v>
      </c>
      <c r="G140" s="1">
        <v>45500</v>
      </c>
      <c r="H140">
        <v>929548</v>
      </c>
      <c r="I140">
        <v>2948</v>
      </c>
      <c r="J140" s="5">
        <v>2740307504</v>
      </c>
      <c r="K140">
        <v>6</v>
      </c>
      <c r="L140">
        <v>4</v>
      </c>
      <c r="M140" t="s">
        <v>30</v>
      </c>
      <c r="N140">
        <v>2005</v>
      </c>
      <c r="O140">
        <v>10</v>
      </c>
      <c r="P140">
        <v>1</v>
      </c>
      <c r="Q140" t="s">
        <v>43</v>
      </c>
      <c r="R140" t="s">
        <v>414</v>
      </c>
      <c r="S140" t="s">
        <v>25</v>
      </c>
      <c r="T140" t="s">
        <v>128</v>
      </c>
    </row>
    <row r="141" spans="1:20" ht="16.5" x14ac:dyDescent="0.45">
      <c r="A141">
        <v>1140</v>
      </c>
      <c r="B141" t="s">
        <v>415</v>
      </c>
      <c r="C141" t="s">
        <v>47</v>
      </c>
      <c r="D141" t="s">
        <v>21</v>
      </c>
      <c r="E141">
        <v>553633</v>
      </c>
      <c r="F141" s="1">
        <v>45603</v>
      </c>
      <c r="G141" s="1">
        <v>45300</v>
      </c>
      <c r="H141">
        <v>590100</v>
      </c>
      <c r="I141">
        <v>2247</v>
      </c>
      <c r="J141" s="5">
        <v>1325954700</v>
      </c>
      <c r="K141">
        <v>6</v>
      </c>
      <c r="L141">
        <v>2</v>
      </c>
      <c r="M141" t="s">
        <v>30</v>
      </c>
      <c r="N141">
        <v>2007</v>
      </c>
      <c r="O141">
        <v>5</v>
      </c>
      <c r="P141">
        <v>1</v>
      </c>
      <c r="Q141" t="s">
        <v>31</v>
      </c>
      <c r="R141" t="s">
        <v>416</v>
      </c>
      <c r="S141" t="s">
        <v>25</v>
      </c>
      <c r="T141" t="s">
        <v>417</v>
      </c>
    </row>
    <row r="142" spans="1:20" ht="16.5" x14ac:dyDescent="0.45">
      <c r="A142">
        <v>1141</v>
      </c>
      <c r="B142" t="s">
        <v>418</v>
      </c>
      <c r="C142" t="s">
        <v>36</v>
      </c>
      <c r="D142" t="s">
        <v>21</v>
      </c>
      <c r="E142">
        <v>335855</v>
      </c>
      <c r="F142" s="1">
        <v>45299</v>
      </c>
      <c r="G142" s="1">
        <v>45639</v>
      </c>
      <c r="H142">
        <v>349016</v>
      </c>
      <c r="I142">
        <v>3275</v>
      </c>
      <c r="J142" s="5">
        <v>1143027400</v>
      </c>
      <c r="K142">
        <v>4</v>
      </c>
      <c r="L142">
        <v>4</v>
      </c>
      <c r="M142" t="s">
        <v>30</v>
      </c>
      <c r="N142">
        <v>2006</v>
      </c>
      <c r="O142">
        <v>2</v>
      </c>
      <c r="P142">
        <v>3</v>
      </c>
      <c r="Q142" t="s">
        <v>31</v>
      </c>
      <c r="R142" t="s">
        <v>419</v>
      </c>
      <c r="S142" t="s">
        <v>25</v>
      </c>
      <c r="T142" t="s">
        <v>40</v>
      </c>
    </row>
    <row r="143" spans="1:20" ht="16.5" x14ac:dyDescent="0.45">
      <c r="A143">
        <v>1142</v>
      </c>
      <c r="B143" t="s">
        <v>420</v>
      </c>
      <c r="C143" t="s">
        <v>47</v>
      </c>
      <c r="D143" t="s">
        <v>42</v>
      </c>
      <c r="E143">
        <v>589729</v>
      </c>
      <c r="F143" s="1">
        <v>45365</v>
      </c>
      <c r="G143" s="1"/>
      <c r="I143">
        <v>1774</v>
      </c>
      <c r="K143">
        <v>4</v>
      </c>
      <c r="L143">
        <v>3</v>
      </c>
      <c r="M143" t="s">
        <v>30</v>
      </c>
      <c r="N143">
        <v>2003</v>
      </c>
      <c r="O143">
        <v>6</v>
      </c>
      <c r="P143">
        <v>2</v>
      </c>
      <c r="Q143" t="s">
        <v>43</v>
      </c>
      <c r="R143" t="s">
        <v>421</v>
      </c>
      <c r="S143" t="s">
        <v>33</v>
      </c>
      <c r="T143" t="s">
        <v>77</v>
      </c>
    </row>
    <row r="144" spans="1:20" ht="16.5" x14ac:dyDescent="0.45">
      <c r="A144">
        <v>1143</v>
      </c>
      <c r="B144" t="s">
        <v>422</v>
      </c>
      <c r="C144" t="s">
        <v>28</v>
      </c>
      <c r="D144" t="s">
        <v>21</v>
      </c>
      <c r="E144">
        <v>898705</v>
      </c>
      <c r="F144" s="1">
        <v>45531</v>
      </c>
      <c r="G144" s="1"/>
      <c r="I144">
        <v>2027</v>
      </c>
      <c r="K144">
        <v>3</v>
      </c>
      <c r="L144">
        <v>4</v>
      </c>
      <c r="M144" t="s">
        <v>30</v>
      </c>
      <c r="N144">
        <v>2014</v>
      </c>
      <c r="O144">
        <v>5</v>
      </c>
      <c r="P144">
        <v>4</v>
      </c>
      <c r="Q144" t="s">
        <v>93</v>
      </c>
      <c r="R144" t="s">
        <v>423</v>
      </c>
      <c r="S144" t="s">
        <v>33</v>
      </c>
      <c r="T144" t="s">
        <v>236</v>
      </c>
    </row>
    <row r="145" spans="1:20" ht="16.5" x14ac:dyDescent="0.45">
      <c r="A145">
        <v>1144</v>
      </c>
      <c r="B145" t="s">
        <v>424</v>
      </c>
      <c r="C145" t="s">
        <v>36</v>
      </c>
      <c r="D145" t="s">
        <v>42</v>
      </c>
      <c r="E145">
        <v>639380</v>
      </c>
      <c r="F145" s="1">
        <v>45593</v>
      </c>
      <c r="G145" s="1"/>
      <c r="I145">
        <v>4594</v>
      </c>
      <c r="K145">
        <v>5</v>
      </c>
      <c r="L145">
        <v>3</v>
      </c>
      <c r="M145" t="s">
        <v>30</v>
      </c>
      <c r="N145">
        <v>2002</v>
      </c>
      <c r="O145">
        <v>4</v>
      </c>
      <c r="P145">
        <v>3</v>
      </c>
      <c r="Q145" t="s">
        <v>86</v>
      </c>
      <c r="R145" t="s">
        <v>425</v>
      </c>
      <c r="S145" t="s">
        <v>33</v>
      </c>
      <c r="T145" t="s">
        <v>426</v>
      </c>
    </row>
    <row r="146" spans="1:20" ht="16.5" x14ac:dyDescent="0.45">
      <c r="A146">
        <v>1145</v>
      </c>
      <c r="B146" t="s">
        <v>427</v>
      </c>
      <c r="C146" t="s">
        <v>47</v>
      </c>
      <c r="D146" t="s">
        <v>42</v>
      </c>
      <c r="E146">
        <v>650038</v>
      </c>
      <c r="F146" s="1">
        <v>45566</v>
      </c>
      <c r="G146" s="1">
        <v>45426</v>
      </c>
      <c r="H146">
        <v>693206</v>
      </c>
      <c r="I146">
        <v>4121</v>
      </c>
      <c r="J146" s="5">
        <v>2856701926</v>
      </c>
      <c r="K146">
        <v>2</v>
      </c>
      <c r="L146">
        <v>4</v>
      </c>
      <c r="M146" t="s">
        <v>62</v>
      </c>
      <c r="N146">
        <v>2022</v>
      </c>
      <c r="O146">
        <v>2</v>
      </c>
      <c r="P146">
        <v>3</v>
      </c>
      <c r="Q146" t="s">
        <v>75</v>
      </c>
      <c r="R146" t="s">
        <v>428</v>
      </c>
      <c r="S146" t="s">
        <v>25</v>
      </c>
      <c r="T146" t="s">
        <v>77</v>
      </c>
    </row>
    <row r="147" spans="1:20" ht="16.5" x14ac:dyDescent="0.45">
      <c r="A147">
        <v>1146</v>
      </c>
      <c r="B147" t="s">
        <v>429</v>
      </c>
      <c r="C147" t="s">
        <v>20</v>
      </c>
      <c r="D147" t="s">
        <v>29</v>
      </c>
      <c r="E147">
        <v>546552</v>
      </c>
      <c r="F147" s="1">
        <v>45458</v>
      </c>
      <c r="G147" s="1"/>
      <c r="I147">
        <v>2437</v>
      </c>
      <c r="K147">
        <v>3</v>
      </c>
      <c r="L147">
        <v>4</v>
      </c>
      <c r="M147" t="s">
        <v>37</v>
      </c>
      <c r="N147">
        <v>2023</v>
      </c>
      <c r="O147">
        <v>7</v>
      </c>
      <c r="P147">
        <v>2</v>
      </c>
      <c r="Q147" t="s">
        <v>23</v>
      </c>
      <c r="R147" t="s">
        <v>430</v>
      </c>
      <c r="S147" t="s">
        <v>33</v>
      </c>
      <c r="T147" t="s">
        <v>128</v>
      </c>
    </row>
    <row r="148" spans="1:20" ht="16.5" x14ac:dyDescent="0.45">
      <c r="A148">
        <v>1147</v>
      </c>
      <c r="B148" t="s">
        <v>431</v>
      </c>
      <c r="C148" t="s">
        <v>47</v>
      </c>
      <c r="D148" t="s">
        <v>21</v>
      </c>
      <c r="E148">
        <v>963953</v>
      </c>
      <c r="F148" s="1">
        <v>45283</v>
      </c>
      <c r="G148" s="1"/>
      <c r="I148">
        <v>4908</v>
      </c>
      <c r="K148">
        <v>6</v>
      </c>
      <c r="L148">
        <v>2</v>
      </c>
      <c r="M148" t="s">
        <v>22</v>
      </c>
      <c r="N148">
        <v>2018</v>
      </c>
      <c r="P148">
        <v>2</v>
      </c>
      <c r="Q148" t="s">
        <v>58</v>
      </c>
      <c r="R148" t="s">
        <v>432</v>
      </c>
      <c r="S148" t="s">
        <v>33</v>
      </c>
      <c r="T148" t="s">
        <v>433</v>
      </c>
    </row>
    <row r="149" spans="1:20" ht="16.5" x14ac:dyDescent="0.45">
      <c r="A149">
        <v>1148</v>
      </c>
      <c r="B149" t="s">
        <v>434</v>
      </c>
      <c r="C149" t="s">
        <v>47</v>
      </c>
      <c r="D149" t="s">
        <v>42</v>
      </c>
      <c r="E149">
        <v>510260</v>
      </c>
      <c r="F149" s="1">
        <v>45594</v>
      </c>
      <c r="G149" s="1">
        <v>45456</v>
      </c>
      <c r="H149">
        <v>554727</v>
      </c>
      <c r="I149">
        <v>4560</v>
      </c>
      <c r="J149" s="5">
        <v>2529555120</v>
      </c>
      <c r="K149">
        <v>3</v>
      </c>
      <c r="L149">
        <v>2</v>
      </c>
      <c r="M149" t="s">
        <v>37</v>
      </c>
      <c r="N149">
        <v>2004</v>
      </c>
      <c r="O149">
        <v>5</v>
      </c>
      <c r="P149">
        <v>1</v>
      </c>
      <c r="Q149" t="s">
        <v>132</v>
      </c>
      <c r="R149" t="s">
        <v>435</v>
      </c>
      <c r="S149" t="s">
        <v>25</v>
      </c>
      <c r="T149" t="s">
        <v>88</v>
      </c>
    </row>
    <row r="150" spans="1:20" ht="16.5" x14ac:dyDescent="0.45">
      <c r="A150">
        <v>1149</v>
      </c>
      <c r="B150" t="s">
        <v>436</v>
      </c>
      <c r="C150" t="s">
        <v>51</v>
      </c>
      <c r="D150" t="s">
        <v>42</v>
      </c>
      <c r="E150">
        <v>310575</v>
      </c>
      <c r="F150" s="1">
        <v>45473</v>
      </c>
      <c r="G150" s="1"/>
      <c r="I150">
        <v>1576</v>
      </c>
      <c r="K150">
        <v>3</v>
      </c>
      <c r="L150">
        <v>4</v>
      </c>
      <c r="M150" t="s">
        <v>22</v>
      </c>
      <c r="N150">
        <v>2020</v>
      </c>
      <c r="P150">
        <v>2</v>
      </c>
      <c r="Q150" t="s">
        <v>31</v>
      </c>
      <c r="R150" t="s">
        <v>437</v>
      </c>
      <c r="S150" t="s">
        <v>33</v>
      </c>
      <c r="T150" t="s">
        <v>438</v>
      </c>
    </row>
    <row r="151" spans="1:20" ht="16.5" x14ac:dyDescent="0.45">
      <c r="A151">
        <v>1150</v>
      </c>
      <c r="B151" t="s">
        <v>439</v>
      </c>
      <c r="C151" t="s">
        <v>47</v>
      </c>
      <c r="D151" t="s">
        <v>21</v>
      </c>
      <c r="E151">
        <v>399956</v>
      </c>
      <c r="F151" s="1">
        <v>45332</v>
      </c>
      <c r="G151" s="1">
        <v>45305</v>
      </c>
      <c r="H151">
        <v>436939</v>
      </c>
      <c r="I151">
        <v>3306</v>
      </c>
      <c r="J151" s="5">
        <v>1444520334</v>
      </c>
      <c r="K151">
        <v>3</v>
      </c>
      <c r="L151">
        <v>3</v>
      </c>
      <c r="M151" t="s">
        <v>37</v>
      </c>
      <c r="N151">
        <v>2005</v>
      </c>
      <c r="O151">
        <v>9</v>
      </c>
      <c r="P151">
        <v>1</v>
      </c>
      <c r="Q151" t="s">
        <v>162</v>
      </c>
      <c r="R151" t="s">
        <v>440</v>
      </c>
      <c r="S151" t="s">
        <v>25</v>
      </c>
      <c r="T151" t="s">
        <v>441</v>
      </c>
    </row>
    <row r="152" spans="1:20" ht="16.5" x14ac:dyDescent="0.45">
      <c r="A152">
        <v>1151</v>
      </c>
      <c r="B152" t="s">
        <v>442</v>
      </c>
      <c r="C152" t="s">
        <v>20</v>
      </c>
      <c r="D152" t="s">
        <v>29</v>
      </c>
      <c r="E152">
        <v>842851</v>
      </c>
      <c r="F152" s="1">
        <v>45517</v>
      </c>
      <c r="G152" s="1">
        <v>45429</v>
      </c>
      <c r="H152">
        <v>879136</v>
      </c>
      <c r="I152">
        <v>1153</v>
      </c>
      <c r="J152" s="5">
        <v>1013643808</v>
      </c>
      <c r="K152">
        <v>5</v>
      </c>
      <c r="L152">
        <v>4</v>
      </c>
      <c r="M152" t="s">
        <v>22</v>
      </c>
      <c r="N152">
        <v>2015</v>
      </c>
      <c r="P152">
        <v>2</v>
      </c>
      <c r="Q152" t="s">
        <v>75</v>
      </c>
      <c r="R152" t="s">
        <v>443</v>
      </c>
      <c r="S152" t="s">
        <v>25</v>
      </c>
      <c r="T152" t="s">
        <v>444</v>
      </c>
    </row>
    <row r="153" spans="1:20" ht="16.5" x14ac:dyDescent="0.45">
      <c r="A153">
        <v>1152</v>
      </c>
      <c r="B153" t="s">
        <v>445</v>
      </c>
      <c r="C153" t="s">
        <v>20</v>
      </c>
      <c r="D153" t="s">
        <v>29</v>
      </c>
      <c r="E153">
        <v>353329</v>
      </c>
      <c r="F153" s="1">
        <v>45367</v>
      </c>
      <c r="G153" s="1">
        <v>45357</v>
      </c>
      <c r="H153">
        <v>381888</v>
      </c>
      <c r="I153">
        <v>3129</v>
      </c>
      <c r="J153" s="5">
        <v>1194927552</v>
      </c>
      <c r="K153">
        <v>4</v>
      </c>
      <c r="L153">
        <v>4</v>
      </c>
      <c r="M153" t="s">
        <v>62</v>
      </c>
      <c r="N153">
        <v>2014</v>
      </c>
      <c r="O153">
        <v>5</v>
      </c>
      <c r="P153">
        <v>3</v>
      </c>
      <c r="Q153" t="s">
        <v>38</v>
      </c>
      <c r="R153" t="s">
        <v>446</v>
      </c>
      <c r="S153" t="s">
        <v>25</v>
      </c>
      <c r="T153" t="s">
        <v>447</v>
      </c>
    </row>
    <row r="154" spans="1:20" ht="16.5" x14ac:dyDescent="0.45">
      <c r="A154">
        <v>1153</v>
      </c>
      <c r="B154" t="s">
        <v>448</v>
      </c>
      <c r="C154" t="s">
        <v>28</v>
      </c>
      <c r="D154" t="s">
        <v>29</v>
      </c>
      <c r="E154">
        <v>820507</v>
      </c>
      <c r="F154" s="1">
        <v>45489</v>
      </c>
      <c r="G154" s="1"/>
      <c r="I154">
        <v>1139</v>
      </c>
      <c r="K154">
        <v>5</v>
      </c>
      <c r="L154">
        <v>3</v>
      </c>
      <c r="M154" t="s">
        <v>30</v>
      </c>
      <c r="N154">
        <v>2019</v>
      </c>
      <c r="O154">
        <v>4</v>
      </c>
      <c r="P154">
        <v>3</v>
      </c>
      <c r="Q154" t="s">
        <v>38</v>
      </c>
      <c r="R154" t="s">
        <v>449</v>
      </c>
      <c r="S154" t="s">
        <v>33</v>
      </c>
      <c r="T154" t="s">
        <v>450</v>
      </c>
    </row>
    <row r="155" spans="1:20" ht="16.5" x14ac:dyDescent="0.45">
      <c r="A155">
        <v>1154</v>
      </c>
      <c r="B155" t="s">
        <v>451</v>
      </c>
      <c r="C155" t="s">
        <v>36</v>
      </c>
      <c r="D155" t="s">
        <v>42</v>
      </c>
      <c r="E155">
        <v>792937</v>
      </c>
      <c r="F155" s="1">
        <v>45416</v>
      </c>
      <c r="G155" s="1"/>
      <c r="I155">
        <v>3723</v>
      </c>
      <c r="K155">
        <v>5</v>
      </c>
      <c r="L155">
        <v>4</v>
      </c>
      <c r="M155" t="s">
        <v>22</v>
      </c>
      <c r="N155">
        <v>2021</v>
      </c>
      <c r="P155">
        <v>4</v>
      </c>
      <c r="Q155" t="s">
        <v>132</v>
      </c>
      <c r="R155" t="s">
        <v>452</v>
      </c>
      <c r="S155" t="s">
        <v>33</v>
      </c>
      <c r="T155" t="s">
        <v>453</v>
      </c>
    </row>
    <row r="156" spans="1:20" ht="16.5" x14ac:dyDescent="0.45">
      <c r="A156">
        <v>1155</v>
      </c>
      <c r="B156" t="s">
        <v>454</v>
      </c>
      <c r="C156" t="s">
        <v>36</v>
      </c>
      <c r="D156" t="s">
        <v>29</v>
      </c>
      <c r="E156">
        <v>566626</v>
      </c>
      <c r="F156" s="1">
        <v>45468</v>
      </c>
      <c r="G156" s="1"/>
      <c r="I156">
        <v>2552</v>
      </c>
      <c r="K156">
        <v>5</v>
      </c>
      <c r="L156">
        <v>4</v>
      </c>
      <c r="M156" t="s">
        <v>62</v>
      </c>
      <c r="N156">
        <v>2008</v>
      </c>
      <c r="O156">
        <v>3</v>
      </c>
      <c r="P156">
        <v>4</v>
      </c>
      <c r="Q156" t="s">
        <v>43</v>
      </c>
      <c r="R156" t="s">
        <v>455</v>
      </c>
      <c r="S156" t="s">
        <v>33</v>
      </c>
      <c r="T156" t="s">
        <v>230</v>
      </c>
    </row>
    <row r="157" spans="1:20" ht="16.5" x14ac:dyDescent="0.45">
      <c r="A157">
        <v>1156</v>
      </c>
      <c r="B157" t="s">
        <v>456</v>
      </c>
      <c r="C157" t="s">
        <v>36</v>
      </c>
      <c r="D157" t="s">
        <v>21</v>
      </c>
      <c r="E157">
        <v>340104</v>
      </c>
      <c r="F157" s="1">
        <v>45330</v>
      </c>
      <c r="G157" s="1"/>
      <c r="I157">
        <v>1676</v>
      </c>
      <c r="K157">
        <v>3</v>
      </c>
      <c r="L157">
        <v>2</v>
      </c>
      <c r="M157" t="s">
        <v>37</v>
      </c>
      <c r="N157">
        <v>2007</v>
      </c>
      <c r="O157">
        <v>10</v>
      </c>
      <c r="P157">
        <v>3</v>
      </c>
      <c r="Q157" t="s">
        <v>43</v>
      </c>
      <c r="R157" t="s">
        <v>457</v>
      </c>
      <c r="S157" t="s">
        <v>33</v>
      </c>
      <c r="T157" t="s">
        <v>230</v>
      </c>
    </row>
    <row r="158" spans="1:20" ht="16.5" x14ac:dyDescent="0.45">
      <c r="A158">
        <v>1157</v>
      </c>
      <c r="B158" t="s">
        <v>458</v>
      </c>
      <c r="C158" t="s">
        <v>36</v>
      </c>
      <c r="D158" t="s">
        <v>29</v>
      </c>
      <c r="E158">
        <v>684510</v>
      </c>
      <c r="F158" s="1">
        <v>45479</v>
      </c>
      <c r="G158" s="1"/>
      <c r="I158">
        <v>2162</v>
      </c>
      <c r="K158">
        <v>3</v>
      </c>
      <c r="L158">
        <v>5</v>
      </c>
      <c r="M158" t="s">
        <v>37</v>
      </c>
      <c r="N158">
        <v>2022</v>
      </c>
      <c r="O158">
        <v>2</v>
      </c>
      <c r="P158">
        <v>1</v>
      </c>
      <c r="Q158" t="s">
        <v>38</v>
      </c>
      <c r="R158" t="s">
        <v>459</v>
      </c>
      <c r="S158" t="s">
        <v>33</v>
      </c>
      <c r="T158" t="s">
        <v>460</v>
      </c>
    </row>
    <row r="159" spans="1:20" ht="16.5" x14ac:dyDescent="0.45">
      <c r="A159">
        <v>1158</v>
      </c>
      <c r="B159" t="s">
        <v>461</v>
      </c>
      <c r="C159" t="s">
        <v>47</v>
      </c>
      <c r="D159" t="s">
        <v>42</v>
      </c>
      <c r="E159">
        <v>349039</v>
      </c>
      <c r="F159" s="1">
        <v>45485</v>
      </c>
      <c r="G159" s="1"/>
      <c r="I159">
        <v>4369</v>
      </c>
      <c r="K159">
        <v>2</v>
      </c>
      <c r="L159">
        <v>3</v>
      </c>
      <c r="M159" t="s">
        <v>30</v>
      </c>
      <c r="N159">
        <v>2023</v>
      </c>
      <c r="O159">
        <v>2</v>
      </c>
      <c r="P159">
        <v>2</v>
      </c>
      <c r="Q159" t="s">
        <v>132</v>
      </c>
      <c r="R159" t="s">
        <v>462</v>
      </c>
      <c r="S159" t="s">
        <v>33</v>
      </c>
      <c r="T159" t="s">
        <v>463</v>
      </c>
    </row>
    <row r="160" spans="1:20" ht="16.5" x14ac:dyDescent="0.45">
      <c r="A160">
        <v>1159</v>
      </c>
      <c r="B160" t="s">
        <v>464</v>
      </c>
      <c r="C160" t="s">
        <v>51</v>
      </c>
      <c r="D160" t="s">
        <v>21</v>
      </c>
      <c r="E160">
        <v>833686</v>
      </c>
      <c r="F160" s="1">
        <v>45406</v>
      </c>
      <c r="G160" s="1"/>
      <c r="I160">
        <v>2943</v>
      </c>
      <c r="K160">
        <v>2</v>
      </c>
      <c r="L160">
        <v>2</v>
      </c>
      <c r="M160" t="s">
        <v>30</v>
      </c>
      <c r="N160">
        <v>2011</v>
      </c>
      <c r="O160">
        <v>2</v>
      </c>
      <c r="P160">
        <v>1</v>
      </c>
      <c r="Q160" t="s">
        <v>23</v>
      </c>
      <c r="R160" t="s">
        <v>465</v>
      </c>
      <c r="S160" t="s">
        <v>33</v>
      </c>
      <c r="T160" t="s">
        <v>152</v>
      </c>
    </row>
    <row r="161" spans="1:20" ht="16.5" x14ac:dyDescent="0.45">
      <c r="A161">
        <v>1160</v>
      </c>
      <c r="B161" t="s">
        <v>466</v>
      </c>
      <c r="C161" t="s">
        <v>20</v>
      </c>
      <c r="D161" t="s">
        <v>42</v>
      </c>
      <c r="E161">
        <v>532089</v>
      </c>
      <c r="F161" s="1">
        <v>45414</v>
      </c>
      <c r="G161" s="1"/>
      <c r="I161">
        <v>4163</v>
      </c>
      <c r="K161">
        <v>6</v>
      </c>
      <c r="L161">
        <v>3</v>
      </c>
      <c r="M161" t="s">
        <v>30</v>
      </c>
      <c r="N161">
        <v>2021</v>
      </c>
      <c r="O161">
        <v>1</v>
      </c>
      <c r="P161">
        <v>4</v>
      </c>
      <c r="Q161" t="s">
        <v>31</v>
      </c>
      <c r="R161" t="s">
        <v>467</v>
      </c>
      <c r="S161" t="s">
        <v>33</v>
      </c>
      <c r="T161" t="s">
        <v>107</v>
      </c>
    </row>
    <row r="162" spans="1:20" ht="16.5" x14ac:dyDescent="0.45">
      <c r="A162">
        <v>1161</v>
      </c>
      <c r="B162" t="s">
        <v>468</v>
      </c>
      <c r="C162" t="s">
        <v>51</v>
      </c>
      <c r="D162" t="s">
        <v>21</v>
      </c>
      <c r="E162">
        <v>846141</v>
      </c>
      <c r="F162" s="1">
        <v>45506</v>
      </c>
      <c r="G162" s="1"/>
      <c r="I162">
        <v>2379</v>
      </c>
      <c r="K162">
        <v>5</v>
      </c>
      <c r="L162">
        <v>5</v>
      </c>
      <c r="M162" t="s">
        <v>30</v>
      </c>
      <c r="N162">
        <v>2014</v>
      </c>
      <c r="O162">
        <v>6</v>
      </c>
      <c r="P162">
        <v>4</v>
      </c>
      <c r="Q162" t="s">
        <v>31</v>
      </c>
      <c r="R162" t="s">
        <v>469</v>
      </c>
      <c r="S162" t="s">
        <v>33</v>
      </c>
      <c r="T162" t="s">
        <v>128</v>
      </c>
    </row>
    <row r="163" spans="1:20" ht="16.5" x14ac:dyDescent="0.45">
      <c r="A163">
        <v>1162</v>
      </c>
      <c r="B163" t="s">
        <v>470</v>
      </c>
      <c r="C163" t="s">
        <v>28</v>
      </c>
      <c r="D163" t="s">
        <v>29</v>
      </c>
      <c r="E163">
        <v>977579</v>
      </c>
      <c r="F163" s="1">
        <v>45304</v>
      </c>
      <c r="G163" s="1"/>
      <c r="I163">
        <v>3410</v>
      </c>
      <c r="K163">
        <v>3</v>
      </c>
      <c r="L163">
        <v>4</v>
      </c>
      <c r="M163" t="s">
        <v>22</v>
      </c>
      <c r="N163">
        <v>2013</v>
      </c>
      <c r="P163">
        <v>3</v>
      </c>
      <c r="Q163" t="s">
        <v>31</v>
      </c>
      <c r="R163" t="s">
        <v>471</v>
      </c>
      <c r="S163" t="s">
        <v>33</v>
      </c>
      <c r="T163" t="s">
        <v>472</v>
      </c>
    </row>
    <row r="164" spans="1:20" ht="16.5" x14ac:dyDescent="0.45">
      <c r="A164">
        <v>1163</v>
      </c>
      <c r="B164" t="s">
        <v>473</v>
      </c>
      <c r="C164" t="s">
        <v>36</v>
      </c>
      <c r="D164" t="s">
        <v>29</v>
      </c>
      <c r="E164">
        <v>550341</v>
      </c>
      <c r="F164" s="1">
        <v>45447</v>
      </c>
      <c r="G164" s="1"/>
      <c r="I164">
        <v>4949</v>
      </c>
      <c r="K164">
        <v>3</v>
      </c>
      <c r="L164">
        <v>4</v>
      </c>
      <c r="M164" t="s">
        <v>30</v>
      </c>
      <c r="N164">
        <v>2004</v>
      </c>
      <c r="O164">
        <v>4</v>
      </c>
      <c r="P164">
        <v>3</v>
      </c>
      <c r="Q164" t="s">
        <v>93</v>
      </c>
      <c r="R164" t="s">
        <v>474</v>
      </c>
      <c r="S164" t="s">
        <v>33</v>
      </c>
      <c r="T164" t="s">
        <v>475</v>
      </c>
    </row>
    <row r="165" spans="1:20" ht="16.5" x14ac:dyDescent="0.45">
      <c r="A165">
        <v>1164</v>
      </c>
      <c r="B165" t="s">
        <v>476</v>
      </c>
      <c r="C165" t="s">
        <v>28</v>
      </c>
      <c r="D165" t="s">
        <v>42</v>
      </c>
      <c r="E165">
        <v>796175</v>
      </c>
      <c r="F165" s="1">
        <v>45283</v>
      </c>
      <c r="G165" s="1"/>
      <c r="I165">
        <v>2325</v>
      </c>
      <c r="K165">
        <v>2</v>
      </c>
      <c r="L165">
        <v>2</v>
      </c>
      <c r="M165" t="s">
        <v>37</v>
      </c>
      <c r="N165">
        <v>2010</v>
      </c>
      <c r="O165">
        <v>7</v>
      </c>
      <c r="P165">
        <v>4</v>
      </c>
      <c r="Q165" t="s">
        <v>162</v>
      </c>
      <c r="R165" t="s">
        <v>477</v>
      </c>
      <c r="S165" t="s">
        <v>33</v>
      </c>
      <c r="T165" t="s">
        <v>70</v>
      </c>
    </row>
    <row r="166" spans="1:20" ht="16.5" x14ac:dyDescent="0.45">
      <c r="A166">
        <v>1165</v>
      </c>
      <c r="B166" t="s">
        <v>478</v>
      </c>
      <c r="C166" t="s">
        <v>51</v>
      </c>
      <c r="D166" t="s">
        <v>21</v>
      </c>
      <c r="E166">
        <v>747221</v>
      </c>
      <c r="F166" s="1">
        <v>45373</v>
      </c>
      <c r="G166" s="1"/>
      <c r="I166">
        <v>4367</v>
      </c>
      <c r="K166">
        <v>5</v>
      </c>
      <c r="L166">
        <v>4</v>
      </c>
      <c r="M166" t="s">
        <v>30</v>
      </c>
      <c r="N166">
        <v>2003</v>
      </c>
      <c r="O166">
        <v>1</v>
      </c>
      <c r="P166">
        <v>2</v>
      </c>
      <c r="Q166" t="s">
        <v>43</v>
      </c>
      <c r="R166" t="s">
        <v>479</v>
      </c>
      <c r="S166" t="s">
        <v>33</v>
      </c>
      <c r="T166" t="s">
        <v>480</v>
      </c>
    </row>
    <row r="167" spans="1:20" ht="16.5" x14ac:dyDescent="0.45">
      <c r="A167">
        <v>1166</v>
      </c>
      <c r="B167" t="s">
        <v>481</v>
      </c>
      <c r="C167" t="s">
        <v>36</v>
      </c>
      <c r="D167" t="s">
        <v>21</v>
      </c>
      <c r="E167">
        <v>671772</v>
      </c>
      <c r="F167" s="1">
        <v>45422</v>
      </c>
      <c r="G167" s="1">
        <v>45528</v>
      </c>
      <c r="H167">
        <v>709042</v>
      </c>
      <c r="I167">
        <v>2838</v>
      </c>
      <c r="J167" s="5">
        <v>2012261196</v>
      </c>
      <c r="K167">
        <v>5</v>
      </c>
      <c r="L167">
        <v>4</v>
      </c>
      <c r="M167" t="s">
        <v>22</v>
      </c>
      <c r="N167">
        <v>2023</v>
      </c>
      <c r="P167">
        <v>1</v>
      </c>
      <c r="Q167" t="s">
        <v>43</v>
      </c>
      <c r="R167" t="s">
        <v>482</v>
      </c>
      <c r="S167" t="s">
        <v>25</v>
      </c>
      <c r="T167" t="s">
        <v>40</v>
      </c>
    </row>
    <row r="168" spans="1:20" ht="16.5" x14ac:dyDescent="0.45">
      <c r="A168">
        <v>1167</v>
      </c>
      <c r="B168" t="s">
        <v>483</v>
      </c>
      <c r="C168" t="s">
        <v>47</v>
      </c>
      <c r="D168" t="s">
        <v>42</v>
      </c>
      <c r="E168">
        <v>478983</v>
      </c>
      <c r="F168" s="1">
        <v>45509</v>
      </c>
      <c r="G168" s="1"/>
      <c r="I168">
        <v>1322</v>
      </c>
      <c r="K168">
        <v>2</v>
      </c>
      <c r="L168">
        <v>2</v>
      </c>
      <c r="M168" t="s">
        <v>22</v>
      </c>
      <c r="N168">
        <v>2003</v>
      </c>
      <c r="P168">
        <v>4</v>
      </c>
      <c r="Q168" t="s">
        <v>58</v>
      </c>
      <c r="R168" t="s">
        <v>484</v>
      </c>
      <c r="S168" t="s">
        <v>33</v>
      </c>
      <c r="T168" t="s">
        <v>183</v>
      </c>
    </row>
    <row r="169" spans="1:20" ht="16.5" x14ac:dyDescent="0.45">
      <c r="A169">
        <v>1168</v>
      </c>
      <c r="B169" t="s">
        <v>485</v>
      </c>
      <c r="C169" t="s">
        <v>36</v>
      </c>
      <c r="D169" t="s">
        <v>29</v>
      </c>
      <c r="E169">
        <v>560964</v>
      </c>
      <c r="F169" s="1">
        <v>45317</v>
      </c>
      <c r="G169" s="1"/>
      <c r="I169">
        <v>2341</v>
      </c>
      <c r="K169">
        <v>2</v>
      </c>
      <c r="L169">
        <v>5</v>
      </c>
      <c r="M169" t="s">
        <v>37</v>
      </c>
      <c r="N169">
        <v>2006</v>
      </c>
      <c r="O169">
        <v>2</v>
      </c>
      <c r="P169">
        <v>2</v>
      </c>
      <c r="Q169" t="s">
        <v>43</v>
      </c>
      <c r="R169" t="s">
        <v>486</v>
      </c>
      <c r="S169" t="s">
        <v>33</v>
      </c>
      <c r="T169" t="s">
        <v>372</v>
      </c>
    </row>
    <row r="170" spans="1:20" ht="16.5" x14ac:dyDescent="0.45">
      <c r="A170">
        <v>1169</v>
      </c>
      <c r="B170" t="s">
        <v>487</v>
      </c>
      <c r="C170" t="s">
        <v>28</v>
      </c>
      <c r="D170" t="s">
        <v>29</v>
      </c>
      <c r="E170">
        <v>502853</v>
      </c>
      <c r="F170" s="1">
        <v>45347</v>
      </c>
      <c r="G170" s="1"/>
      <c r="I170">
        <v>4220</v>
      </c>
      <c r="K170">
        <v>3</v>
      </c>
      <c r="L170">
        <v>2</v>
      </c>
      <c r="M170" t="s">
        <v>22</v>
      </c>
      <c r="N170">
        <v>2020</v>
      </c>
      <c r="P170">
        <v>4</v>
      </c>
      <c r="Q170" t="s">
        <v>43</v>
      </c>
      <c r="R170" t="s">
        <v>488</v>
      </c>
      <c r="S170" t="s">
        <v>33</v>
      </c>
      <c r="T170" t="s">
        <v>40</v>
      </c>
    </row>
    <row r="171" spans="1:20" ht="16.5" x14ac:dyDescent="0.45">
      <c r="A171">
        <v>1170</v>
      </c>
      <c r="B171" t="s">
        <v>489</v>
      </c>
      <c r="C171" t="s">
        <v>36</v>
      </c>
      <c r="D171" t="s">
        <v>21</v>
      </c>
      <c r="E171">
        <v>573865</v>
      </c>
      <c r="F171" s="1">
        <v>45515</v>
      </c>
      <c r="G171" s="1"/>
      <c r="I171">
        <v>2435</v>
      </c>
      <c r="K171">
        <v>6</v>
      </c>
      <c r="L171">
        <v>2</v>
      </c>
      <c r="M171" t="s">
        <v>30</v>
      </c>
      <c r="N171">
        <v>2014</v>
      </c>
      <c r="O171">
        <v>8</v>
      </c>
      <c r="P171">
        <v>2</v>
      </c>
      <c r="Q171" t="s">
        <v>31</v>
      </c>
      <c r="R171" t="s">
        <v>490</v>
      </c>
      <c r="S171" t="s">
        <v>33</v>
      </c>
      <c r="T171" t="s">
        <v>180</v>
      </c>
    </row>
    <row r="172" spans="1:20" ht="16.5" x14ac:dyDescent="0.45">
      <c r="A172">
        <v>1171</v>
      </c>
      <c r="B172" t="s">
        <v>491</v>
      </c>
      <c r="C172" t="s">
        <v>28</v>
      </c>
      <c r="D172" t="s">
        <v>42</v>
      </c>
      <c r="E172">
        <v>421507</v>
      </c>
      <c r="F172" s="1">
        <v>45511</v>
      </c>
      <c r="G172" s="1"/>
      <c r="I172">
        <v>1562</v>
      </c>
      <c r="K172">
        <v>6</v>
      </c>
      <c r="L172">
        <v>5</v>
      </c>
      <c r="M172" t="s">
        <v>62</v>
      </c>
      <c r="N172">
        <v>2011</v>
      </c>
      <c r="O172">
        <v>7</v>
      </c>
      <c r="P172">
        <v>4</v>
      </c>
      <c r="Q172" t="s">
        <v>93</v>
      </c>
      <c r="R172" t="s">
        <v>492</v>
      </c>
      <c r="S172" t="s">
        <v>33</v>
      </c>
      <c r="T172" t="s">
        <v>493</v>
      </c>
    </row>
    <row r="173" spans="1:20" ht="16.5" x14ac:dyDescent="0.45">
      <c r="A173">
        <v>1172</v>
      </c>
      <c r="B173" t="s">
        <v>494</v>
      </c>
      <c r="C173" t="s">
        <v>20</v>
      </c>
      <c r="D173" t="s">
        <v>29</v>
      </c>
      <c r="E173">
        <v>789518</v>
      </c>
      <c r="F173" s="1">
        <v>45546</v>
      </c>
      <c r="G173" s="1">
        <v>45369</v>
      </c>
      <c r="H173">
        <v>822405</v>
      </c>
      <c r="I173">
        <v>1059</v>
      </c>
      <c r="J173" s="5">
        <v>870926895</v>
      </c>
      <c r="K173">
        <v>6</v>
      </c>
      <c r="L173">
        <v>5</v>
      </c>
      <c r="M173" t="s">
        <v>37</v>
      </c>
      <c r="N173">
        <v>2009</v>
      </c>
      <c r="O173">
        <v>5</v>
      </c>
      <c r="P173">
        <v>2</v>
      </c>
      <c r="Q173" t="s">
        <v>58</v>
      </c>
      <c r="R173" t="s">
        <v>196</v>
      </c>
      <c r="S173" t="s">
        <v>25</v>
      </c>
      <c r="T173" t="s">
        <v>91</v>
      </c>
    </row>
    <row r="174" spans="1:20" ht="16.5" x14ac:dyDescent="0.45">
      <c r="A174">
        <v>1173</v>
      </c>
      <c r="B174" t="s">
        <v>495</v>
      </c>
      <c r="C174" t="s">
        <v>36</v>
      </c>
      <c r="D174" t="s">
        <v>21</v>
      </c>
      <c r="E174">
        <v>415781</v>
      </c>
      <c r="F174" s="1">
        <v>45366</v>
      </c>
      <c r="G174" s="1">
        <v>45482</v>
      </c>
      <c r="H174">
        <v>432025</v>
      </c>
      <c r="I174">
        <v>3668</v>
      </c>
      <c r="J174" s="5">
        <v>1584667700</v>
      </c>
      <c r="K174">
        <v>6</v>
      </c>
      <c r="L174">
        <v>4</v>
      </c>
      <c r="M174" t="s">
        <v>22</v>
      </c>
      <c r="N174">
        <v>2018</v>
      </c>
      <c r="P174">
        <v>4</v>
      </c>
      <c r="Q174" t="s">
        <v>31</v>
      </c>
      <c r="R174" t="s">
        <v>496</v>
      </c>
      <c r="S174" t="s">
        <v>25</v>
      </c>
      <c r="T174" t="s">
        <v>497</v>
      </c>
    </row>
    <row r="175" spans="1:20" ht="16.5" x14ac:dyDescent="0.45">
      <c r="A175">
        <v>1174</v>
      </c>
      <c r="B175" t="s">
        <v>498</v>
      </c>
      <c r="C175" t="s">
        <v>28</v>
      </c>
      <c r="D175" t="s">
        <v>21</v>
      </c>
      <c r="E175">
        <v>431837</v>
      </c>
      <c r="F175" s="1">
        <v>45491</v>
      </c>
      <c r="G175" s="1"/>
      <c r="I175">
        <v>2154</v>
      </c>
      <c r="K175">
        <v>4</v>
      </c>
      <c r="L175">
        <v>4</v>
      </c>
      <c r="M175" t="s">
        <v>22</v>
      </c>
      <c r="N175">
        <v>2018</v>
      </c>
      <c r="P175">
        <v>2</v>
      </c>
      <c r="Q175" t="s">
        <v>162</v>
      </c>
      <c r="R175" t="s">
        <v>499</v>
      </c>
      <c r="S175" t="s">
        <v>33</v>
      </c>
      <c r="T175" t="s">
        <v>500</v>
      </c>
    </row>
    <row r="176" spans="1:20" ht="16.5" x14ac:dyDescent="0.45">
      <c r="A176">
        <v>1175</v>
      </c>
      <c r="B176" t="s">
        <v>501</v>
      </c>
      <c r="C176" t="s">
        <v>20</v>
      </c>
      <c r="D176" t="s">
        <v>42</v>
      </c>
      <c r="E176">
        <v>671696</v>
      </c>
      <c r="F176" s="1">
        <v>45602</v>
      </c>
      <c r="G176" s="1">
        <v>45533</v>
      </c>
      <c r="H176">
        <v>710087</v>
      </c>
      <c r="I176">
        <v>3365</v>
      </c>
      <c r="J176" s="5">
        <v>2389442755</v>
      </c>
      <c r="K176">
        <v>5</v>
      </c>
      <c r="L176">
        <v>3</v>
      </c>
      <c r="M176" t="s">
        <v>62</v>
      </c>
      <c r="N176">
        <v>2001</v>
      </c>
      <c r="O176">
        <v>10</v>
      </c>
      <c r="P176">
        <v>1</v>
      </c>
      <c r="Q176" t="s">
        <v>31</v>
      </c>
      <c r="R176" t="s">
        <v>502</v>
      </c>
      <c r="S176" t="s">
        <v>25</v>
      </c>
      <c r="T176" t="s">
        <v>503</v>
      </c>
    </row>
    <row r="177" spans="1:20" ht="16.5" x14ac:dyDescent="0.45">
      <c r="A177">
        <v>1176</v>
      </c>
      <c r="B177" t="s">
        <v>504</v>
      </c>
      <c r="C177" t="s">
        <v>20</v>
      </c>
      <c r="D177" t="s">
        <v>42</v>
      </c>
      <c r="E177">
        <v>682333</v>
      </c>
      <c r="F177" s="1">
        <v>45601</v>
      </c>
      <c r="G177" s="1">
        <v>45327</v>
      </c>
      <c r="H177">
        <v>728807</v>
      </c>
      <c r="I177">
        <v>3534</v>
      </c>
      <c r="J177" s="5">
        <v>2575603938</v>
      </c>
      <c r="K177">
        <v>4</v>
      </c>
      <c r="L177">
        <v>5</v>
      </c>
      <c r="M177" t="s">
        <v>30</v>
      </c>
      <c r="N177">
        <v>2007</v>
      </c>
      <c r="O177">
        <v>3</v>
      </c>
      <c r="P177">
        <v>4</v>
      </c>
      <c r="Q177" t="s">
        <v>58</v>
      </c>
      <c r="R177" t="s">
        <v>505</v>
      </c>
      <c r="S177" t="s">
        <v>25</v>
      </c>
      <c r="T177" t="s">
        <v>506</v>
      </c>
    </row>
    <row r="178" spans="1:20" ht="16.5" x14ac:dyDescent="0.45">
      <c r="A178">
        <v>1177</v>
      </c>
      <c r="B178" t="s">
        <v>507</v>
      </c>
      <c r="C178" t="s">
        <v>47</v>
      </c>
      <c r="D178" t="s">
        <v>21</v>
      </c>
      <c r="E178">
        <v>931082</v>
      </c>
      <c r="F178" s="1">
        <v>45495</v>
      </c>
      <c r="G178" s="1"/>
      <c r="I178">
        <v>2209</v>
      </c>
      <c r="K178">
        <v>2</v>
      </c>
      <c r="L178">
        <v>2</v>
      </c>
      <c r="M178" t="s">
        <v>37</v>
      </c>
      <c r="N178">
        <v>2022</v>
      </c>
      <c r="O178">
        <v>3</v>
      </c>
      <c r="P178">
        <v>1</v>
      </c>
      <c r="Q178" t="s">
        <v>23</v>
      </c>
      <c r="R178" t="s">
        <v>508</v>
      </c>
      <c r="S178" t="s">
        <v>33</v>
      </c>
      <c r="T178" t="s">
        <v>509</v>
      </c>
    </row>
    <row r="179" spans="1:20" ht="16.5" x14ac:dyDescent="0.45">
      <c r="A179">
        <v>1178</v>
      </c>
      <c r="B179" t="s">
        <v>510</v>
      </c>
      <c r="C179" t="s">
        <v>20</v>
      </c>
      <c r="D179" t="s">
        <v>29</v>
      </c>
      <c r="E179">
        <v>698231</v>
      </c>
      <c r="F179" s="1">
        <v>45613</v>
      </c>
      <c r="G179" s="1"/>
      <c r="I179">
        <v>2393</v>
      </c>
      <c r="K179">
        <v>5</v>
      </c>
      <c r="L179">
        <v>3</v>
      </c>
      <c r="M179" t="s">
        <v>22</v>
      </c>
      <c r="N179">
        <v>2008</v>
      </c>
      <c r="P179">
        <v>1</v>
      </c>
      <c r="Q179" t="s">
        <v>38</v>
      </c>
      <c r="R179" t="s">
        <v>511</v>
      </c>
      <c r="S179" t="s">
        <v>33</v>
      </c>
      <c r="T179" t="s">
        <v>512</v>
      </c>
    </row>
    <row r="180" spans="1:20" ht="16.5" x14ac:dyDescent="0.45">
      <c r="A180">
        <v>1179</v>
      </c>
      <c r="B180" t="s">
        <v>513</v>
      </c>
      <c r="C180" t="s">
        <v>47</v>
      </c>
      <c r="D180" t="s">
        <v>29</v>
      </c>
      <c r="E180">
        <v>697729</v>
      </c>
      <c r="F180" s="1">
        <v>45388</v>
      </c>
      <c r="G180" s="1"/>
      <c r="I180">
        <v>1596</v>
      </c>
      <c r="K180">
        <v>5</v>
      </c>
      <c r="L180">
        <v>4</v>
      </c>
      <c r="M180" t="s">
        <v>22</v>
      </c>
      <c r="N180">
        <v>2014</v>
      </c>
      <c r="P180">
        <v>1</v>
      </c>
      <c r="Q180" t="s">
        <v>38</v>
      </c>
      <c r="R180" t="s">
        <v>514</v>
      </c>
      <c r="S180" t="s">
        <v>33</v>
      </c>
      <c r="T180" t="s">
        <v>515</v>
      </c>
    </row>
    <row r="181" spans="1:20" ht="16.5" x14ac:dyDescent="0.45">
      <c r="A181">
        <v>1180</v>
      </c>
      <c r="B181" t="s">
        <v>516</v>
      </c>
      <c r="C181" t="s">
        <v>20</v>
      </c>
      <c r="D181" t="s">
        <v>21</v>
      </c>
      <c r="E181">
        <v>790240</v>
      </c>
      <c r="F181" s="1">
        <v>45568</v>
      </c>
      <c r="G181" s="1"/>
      <c r="I181">
        <v>3825</v>
      </c>
      <c r="K181">
        <v>6</v>
      </c>
      <c r="L181">
        <v>5</v>
      </c>
      <c r="M181" t="s">
        <v>30</v>
      </c>
      <c r="N181">
        <v>2009</v>
      </c>
      <c r="O181">
        <v>3</v>
      </c>
      <c r="P181">
        <v>3</v>
      </c>
      <c r="Q181" t="s">
        <v>43</v>
      </c>
      <c r="R181" t="s">
        <v>517</v>
      </c>
      <c r="S181" t="s">
        <v>33</v>
      </c>
      <c r="T181" t="s">
        <v>518</v>
      </c>
    </row>
    <row r="182" spans="1:20" ht="16.5" x14ac:dyDescent="0.45">
      <c r="A182">
        <v>1181</v>
      </c>
      <c r="B182" t="s">
        <v>519</v>
      </c>
      <c r="C182" t="s">
        <v>20</v>
      </c>
      <c r="D182" t="s">
        <v>42</v>
      </c>
      <c r="E182">
        <v>760871</v>
      </c>
      <c r="F182" s="1">
        <v>45571</v>
      </c>
      <c r="G182" s="1"/>
      <c r="I182">
        <v>3604</v>
      </c>
      <c r="K182">
        <v>6</v>
      </c>
      <c r="L182">
        <v>4</v>
      </c>
      <c r="M182" t="s">
        <v>22</v>
      </c>
      <c r="N182">
        <v>2017</v>
      </c>
      <c r="P182">
        <v>1</v>
      </c>
      <c r="Q182" t="s">
        <v>162</v>
      </c>
      <c r="R182" t="s">
        <v>520</v>
      </c>
      <c r="S182" t="s">
        <v>33</v>
      </c>
      <c r="T182" t="s">
        <v>407</v>
      </c>
    </row>
    <row r="183" spans="1:20" ht="16.5" x14ac:dyDescent="0.45">
      <c r="A183">
        <v>1182</v>
      </c>
      <c r="B183" t="s">
        <v>521</v>
      </c>
      <c r="C183" t="s">
        <v>20</v>
      </c>
      <c r="D183" t="s">
        <v>29</v>
      </c>
      <c r="E183">
        <v>342348</v>
      </c>
      <c r="F183" s="1">
        <v>45429</v>
      </c>
      <c r="G183" s="1">
        <v>45606</v>
      </c>
      <c r="H183">
        <v>366014</v>
      </c>
      <c r="I183">
        <v>1306</v>
      </c>
      <c r="J183" s="5">
        <v>478014284</v>
      </c>
      <c r="K183">
        <v>4</v>
      </c>
      <c r="L183">
        <v>3</v>
      </c>
      <c r="M183" t="s">
        <v>22</v>
      </c>
      <c r="N183">
        <v>2010</v>
      </c>
      <c r="P183">
        <v>3</v>
      </c>
      <c r="Q183" t="s">
        <v>31</v>
      </c>
      <c r="R183" t="s">
        <v>522</v>
      </c>
      <c r="S183" t="s">
        <v>25</v>
      </c>
      <c r="T183" t="s">
        <v>128</v>
      </c>
    </row>
    <row r="184" spans="1:20" ht="16.5" x14ac:dyDescent="0.45">
      <c r="A184">
        <v>1183</v>
      </c>
      <c r="B184" t="s">
        <v>523</v>
      </c>
      <c r="C184" t="s">
        <v>28</v>
      </c>
      <c r="D184" t="s">
        <v>29</v>
      </c>
      <c r="E184">
        <v>757834</v>
      </c>
      <c r="F184" s="1">
        <v>45582</v>
      </c>
      <c r="G184" s="1"/>
      <c r="I184">
        <v>2418</v>
      </c>
      <c r="K184">
        <v>4</v>
      </c>
      <c r="L184">
        <v>5</v>
      </c>
      <c r="M184" t="s">
        <v>22</v>
      </c>
      <c r="N184">
        <v>2012</v>
      </c>
      <c r="P184">
        <v>3</v>
      </c>
      <c r="Q184" t="s">
        <v>75</v>
      </c>
      <c r="R184" t="s">
        <v>524</v>
      </c>
      <c r="S184" t="s">
        <v>33</v>
      </c>
      <c r="T184" t="s">
        <v>525</v>
      </c>
    </row>
    <row r="185" spans="1:20" ht="16.5" x14ac:dyDescent="0.45">
      <c r="A185">
        <v>1184</v>
      </c>
      <c r="B185" t="s">
        <v>526</v>
      </c>
      <c r="C185" t="s">
        <v>36</v>
      </c>
      <c r="D185" t="s">
        <v>29</v>
      </c>
      <c r="E185">
        <v>547528</v>
      </c>
      <c r="F185" s="1">
        <v>45297</v>
      </c>
      <c r="G185" s="1"/>
      <c r="I185">
        <v>3851</v>
      </c>
      <c r="K185">
        <v>5</v>
      </c>
      <c r="L185">
        <v>2</v>
      </c>
      <c r="M185" t="s">
        <v>62</v>
      </c>
      <c r="N185">
        <v>2009</v>
      </c>
      <c r="O185">
        <v>9</v>
      </c>
      <c r="P185">
        <v>2</v>
      </c>
      <c r="Q185" t="s">
        <v>38</v>
      </c>
      <c r="R185" t="s">
        <v>527</v>
      </c>
      <c r="S185" t="s">
        <v>33</v>
      </c>
      <c r="T185" t="s">
        <v>500</v>
      </c>
    </row>
    <row r="186" spans="1:20" ht="16.5" x14ac:dyDescent="0.45">
      <c r="A186">
        <v>1185</v>
      </c>
      <c r="B186" t="s">
        <v>528</v>
      </c>
      <c r="C186" t="s">
        <v>20</v>
      </c>
      <c r="D186" t="s">
        <v>29</v>
      </c>
      <c r="E186">
        <v>971485</v>
      </c>
      <c r="F186" s="1">
        <v>45614</v>
      </c>
      <c r="G186" s="1"/>
      <c r="I186">
        <v>1940</v>
      </c>
      <c r="K186">
        <v>5</v>
      </c>
      <c r="L186">
        <v>2</v>
      </c>
      <c r="M186" t="s">
        <v>22</v>
      </c>
      <c r="N186">
        <v>2000</v>
      </c>
      <c r="P186">
        <v>4</v>
      </c>
      <c r="Q186" t="s">
        <v>162</v>
      </c>
      <c r="R186" t="s">
        <v>529</v>
      </c>
      <c r="S186" t="s">
        <v>33</v>
      </c>
      <c r="T186" t="s">
        <v>180</v>
      </c>
    </row>
    <row r="187" spans="1:20" ht="16.5" x14ac:dyDescent="0.45">
      <c r="A187">
        <v>1186</v>
      </c>
      <c r="B187" t="s">
        <v>530</v>
      </c>
      <c r="C187" t="s">
        <v>20</v>
      </c>
      <c r="D187" t="s">
        <v>29</v>
      </c>
      <c r="E187">
        <v>412579</v>
      </c>
      <c r="F187" s="1">
        <v>45453</v>
      </c>
      <c r="G187" s="1">
        <v>45458</v>
      </c>
      <c r="H187">
        <v>442271</v>
      </c>
      <c r="I187">
        <v>4616</v>
      </c>
      <c r="J187" s="5">
        <v>2041522936</v>
      </c>
      <c r="K187">
        <v>5</v>
      </c>
      <c r="L187">
        <v>4</v>
      </c>
      <c r="M187" t="s">
        <v>62</v>
      </c>
      <c r="N187">
        <v>2010</v>
      </c>
      <c r="O187">
        <v>6</v>
      </c>
      <c r="P187">
        <v>2</v>
      </c>
      <c r="Q187" t="s">
        <v>38</v>
      </c>
      <c r="R187" t="s">
        <v>531</v>
      </c>
      <c r="S187" t="s">
        <v>25</v>
      </c>
      <c r="T187" t="s">
        <v>532</v>
      </c>
    </row>
    <row r="188" spans="1:20" ht="16.5" x14ac:dyDescent="0.45">
      <c r="A188">
        <v>1187</v>
      </c>
      <c r="B188" t="s">
        <v>533</v>
      </c>
      <c r="C188" t="s">
        <v>47</v>
      </c>
      <c r="D188" t="s">
        <v>42</v>
      </c>
      <c r="E188">
        <v>898319</v>
      </c>
      <c r="F188" s="1">
        <v>45512</v>
      </c>
      <c r="G188" s="1">
        <v>45536</v>
      </c>
      <c r="H188">
        <v>913650</v>
      </c>
      <c r="I188">
        <v>3161</v>
      </c>
      <c r="J188" s="5">
        <v>2888047650</v>
      </c>
      <c r="K188">
        <v>4</v>
      </c>
      <c r="L188">
        <v>4</v>
      </c>
      <c r="M188" t="s">
        <v>22</v>
      </c>
      <c r="N188">
        <v>2013</v>
      </c>
      <c r="P188">
        <v>2</v>
      </c>
      <c r="Q188" t="s">
        <v>162</v>
      </c>
      <c r="R188" t="s">
        <v>534</v>
      </c>
      <c r="S188" t="s">
        <v>25</v>
      </c>
      <c r="T188" t="s">
        <v>40</v>
      </c>
    </row>
    <row r="189" spans="1:20" ht="16.5" x14ac:dyDescent="0.45">
      <c r="A189">
        <v>1188</v>
      </c>
      <c r="B189" t="s">
        <v>535</v>
      </c>
      <c r="C189" t="s">
        <v>28</v>
      </c>
      <c r="D189" t="s">
        <v>42</v>
      </c>
      <c r="E189">
        <v>320917</v>
      </c>
      <c r="F189" s="1">
        <v>45636</v>
      </c>
      <c r="G189" s="1">
        <v>45509</v>
      </c>
      <c r="H189">
        <v>353003</v>
      </c>
      <c r="I189">
        <v>4605</v>
      </c>
      <c r="J189" s="5">
        <v>1625578815</v>
      </c>
      <c r="K189">
        <v>6</v>
      </c>
      <c r="L189">
        <v>5</v>
      </c>
      <c r="M189" t="s">
        <v>62</v>
      </c>
      <c r="N189">
        <v>2002</v>
      </c>
      <c r="O189">
        <v>1</v>
      </c>
      <c r="P189">
        <v>4</v>
      </c>
      <c r="Q189" t="s">
        <v>162</v>
      </c>
      <c r="R189" t="s">
        <v>536</v>
      </c>
      <c r="S189" t="s">
        <v>25</v>
      </c>
      <c r="T189" t="s">
        <v>537</v>
      </c>
    </row>
    <row r="190" spans="1:20" ht="16.5" x14ac:dyDescent="0.45">
      <c r="A190">
        <v>1189</v>
      </c>
      <c r="B190" t="s">
        <v>538</v>
      </c>
      <c r="C190" t="s">
        <v>28</v>
      </c>
      <c r="D190" t="s">
        <v>29</v>
      </c>
      <c r="E190">
        <v>950725</v>
      </c>
      <c r="F190" s="1">
        <v>45559</v>
      </c>
      <c r="G190" s="1">
        <v>45594</v>
      </c>
      <c r="H190">
        <v>994856</v>
      </c>
      <c r="I190">
        <v>4731</v>
      </c>
      <c r="J190" s="5">
        <v>4706663736</v>
      </c>
      <c r="K190">
        <v>3</v>
      </c>
      <c r="L190">
        <v>5</v>
      </c>
      <c r="M190" t="s">
        <v>62</v>
      </c>
      <c r="N190">
        <v>2023</v>
      </c>
      <c r="O190">
        <v>4</v>
      </c>
      <c r="P190">
        <v>2</v>
      </c>
      <c r="Q190" t="s">
        <v>58</v>
      </c>
      <c r="R190" t="s">
        <v>539</v>
      </c>
      <c r="S190" t="s">
        <v>25</v>
      </c>
      <c r="T190" t="s">
        <v>540</v>
      </c>
    </row>
    <row r="191" spans="1:20" ht="16.5" x14ac:dyDescent="0.45">
      <c r="A191">
        <v>1190</v>
      </c>
      <c r="B191" t="s">
        <v>541</v>
      </c>
      <c r="C191" t="s">
        <v>51</v>
      </c>
      <c r="D191" t="s">
        <v>29</v>
      </c>
      <c r="E191">
        <v>994926</v>
      </c>
      <c r="F191" s="1">
        <v>45482</v>
      </c>
      <c r="G191" s="1"/>
      <c r="I191">
        <v>3534</v>
      </c>
      <c r="K191">
        <v>5</v>
      </c>
      <c r="L191">
        <v>3</v>
      </c>
      <c r="M191" t="s">
        <v>62</v>
      </c>
      <c r="N191">
        <v>2016</v>
      </c>
      <c r="O191">
        <v>4</v>
      </c>
      <c r="P191">
        <v>1</v>
      </c>
      <c r="Q191" t="s">
        <v>132</v>
      </c>
      <c r="R191" t="s">
        <v>542</v>
      </c>
      <c r="S191" t="s">
        <v>33</v>
      </c>
      <c r="T191" t="s">
        <v>543</v>
      </c>
    </row>
    <row r="192" spans="1:20" ht="16.5" x14ac:dyDescent="0.45">
      <c r="A192">
        <v>1191</v>
      </c>
      <c r="B192" t="s">
        <v>544</v>
      </c>
      <c r="C192" t="s">
        <v>28</v>
      </c>
      <c r="D192" t="s">
        <v>42</v>
      </c>
      <c r="E192">
        <v>491602</v>
      </c>
      <c r="F192" s="1">
        <v>45502</v>
      </c>
      <c r="G192" s="1">
        <v>45392</v>
      </c>
      <c r="H192">
        <v>539959</v>
      </c>
      <c r="I192">
        <v>4181</v>
      </c>
      <c r="J192" s="5">
        <v>2257568579</v>
      </c>
      <c r="K192">
        <v>5</v>
      </c>
      <c r="L192">
        <v>2</v>
      </c>
      <c r="M192" t="s">
        <v>30</v>
      </c>
      <c r="N192">
        <v>2005</v>
      </c>
      <c r="O192">
        <v>4</v>
      </c>
      <c r="P192">
        <v>1</v>
      </c>
      <c r="Q192" t="s">
        <v>93</v>
      </c>
      <c r="R192" t="s">
        <v>545</v>
      </c>
      <c r="S192" t="s">
        <v>25</v>
      </c>
      <c r="T192" t="s">
        <v>460</v>
      </c>
    </row>
    <row r="193" spans="1:20" ht="16.5" x14ac:dyDescent="0.45">
      <c r="A193">
        <v>1192</v>
      </c>
      <c r="B193" t="s">
        <v>546</v>
      </c>
      <c r="C193" t="s">
        <v>36</v>
      </c>
      <c r="D193" t="s">
        <v>21</v>
      </c>
      <c r="E193">
        <v>688646</v>
      </c>
      <c r="F193" s="1">
        <v>45410</v>
      </c>
      <c r="G193" s="1"/>
      <c r="I193">
        <v>4960</v>
      </c>
      <c r="K193">
        <v>2</v>
      </c>
      <c r="L193">
        <v>5</v>
      </c>
      <c r="M193" t="s">
        <v>30</v>
      </c>
      <c r="N193">
        <v>2014</v>
      </c>
      <c r="O193">
        <v>7</v>
      </c>
      <c r="P193">
        <v>3</v>
      </c>
      <c r="Q193" t="s">
        <v>23</v>
      </c>
      <c r="R193" t="s">
        <v>547</v>
      </c>
      <c r="S193" t="s">
        <v>33</v>
      </c>
      <c r="T193" t="s">
        <v>426</v>
      </c>
    </row>
    <row r="194" spans="1:20" ht="16.5" x14ac:dyDescent="0.45">
      <c r="A194">
        <v>1193</v>
      </c>
      <c r="B194" t="s">
        <v>548</v>
      </c>
      <c r="C194" t="s">
        <v>36</v>
      </c>
      <c r="D194" t="s">
        <v>29</v>
      </c>
      <c r="E194">
        <v>747219</v>
      </c>
      <c r="F194" s="1">
        <v>45361</v>
      </c>
      <c r="G194" s="1">
        <v>45289</v>
      </c>
      <c r="H194">
        <v>776014</v>
      </c>
      <c r="I194">
        <v>2231</v>
      </c>
      <c r="J194" s="5">
        <v>1731287234</v>
      </c>
      <c r="K194">
        <v>4</v>
      </c>
      <c r="L194">
        <v>5</v>
      </c>
      <c r="M194" t="s">
        <v>37</v>
      </c>
      <c r="N194">
        <v>2001</v>
      </c>
      <c r="O194">
        <v>2</v>
      </c>
      <c r="P194">
        <v>2</v>
      </c>
      <c r="Q194" t="s">
        <v>58</v>
      </c>
      <c r="R194" t="s">
        <v>549</v>
      </c>
      <c r="S194" t="s">
        <v>25</v>
      </c>
      <c r="T194" t="s">
        <v>550</v>
      </c>
    </row>
    <row r="195" spans="1:20" ht="16.5" x14ac:dyDescent="0.45">
      <c r="A195">
        <v>1194</v>
      </c>
      <c r="B195" t="s">
        <v>551</v>
      </c>
      <c r="C195" t="s">
        <v>36</v>
      </c>
      <c r="D195" t="s">
        <v>29</v>
      </c>
      <c r="E195">
        <v>413589</v>
      </c>
      <c r="F195" s="1">
        <v>45618</v>
      </c>
      <c r="G195" s="1">
        <v>45411</v>
      </c>
      <c r="H195">
        <v>429507</v>
      </c>
      <c r="I195">
        <v>2484</v>
      </c>
      <c r="J195" s="5">
        <v>1066895388</v>
      </c>
      <c r="K195">
        <v>3</v>
      </c>
      <c r="L195">
        <v>2</v>
      </c>
      <c r="M195" t="s">
        <v>37</v>
      </c>
      <c r="N195">
        <v>2018</v>
      </c>
      <c r="O195">
        <v>5</v>
      </c>
      <c r="P195">
        <v>3</v>
      </c>
      <c r="Q195" t="s">
        <v>58</v>
      </c>
      <c r="R195" t="s">
        <v>552</v>
      </c>
      <c r="S195" t="s">
        <v>25</v>
      </c>
      <c r="T195" t="s">
        <v>460</v>
      </c>
    </row>
    <row r="196" spans="1:20" ht="16.5" x14ac:dyDescent="0.45">
      <c r="A196">
        <v>1195</v>
      </c>
      <c r="B196" t="s">
        <v>553</v>
      </c>
      <c r="C196" t="s">
        <v>20</v>
      </c>
      <c r="D196" t="s">
        <v>29</v>
      </c>
      <c r="E196">
        <v>500534</v>
      </c>
      <c r="F196" s="1">
        <v>45621</v>
      </c>
      <c r="G196" s="1">
        <v>45581</v>
      </c>
      <c r="H196">
        <v>541078</v>
      </c>
      <c r="I196">
        <v>4031</v>
      </c>
      <c r="J196" s="5">
        <v>2181085418</v>
      </c>
      <c r="K196">
        <v>3</v>
      </c>
      <c r="L196">
        <v>5</v>
      </c>
      <c r="M196" t="s">
        <v>37</v>
      </c>
      <c r="N196">
        <v>2011</v>
      </c>
      <c r="O196">
        <v>2</v>
      </c>
      <c r="P196">
        <v>2</v>
      </c>
      <c r="Q196" t="s">
        <v>31</v>
      </c>
      <c r="R196" t="s">
        <v>554</v>
      </c>
      <c r="S196" t="s">
        <v>25</v>
      </c>
      <c r="T196" t="s">
        <v>40</v>
      </c>
    </row>
    <row r="197" spans="1:20" ht="16.5" x14ac:dyDescent="0.45">
      <c r="A197">
        <v>1196</v>
      </c>
      <c r="B197" t="s">
        <v>555</v>
      </c>
      <c r="C197" t="s">
        <v>20</v>
      </c>
      <c r="D197" t="s">
        <v>29</v>
      </c>
      <c r="E197">
        <v>904177</v>
      </c>
      <c r="F197" s="1">
        <v>45298</v>
      </c>
      <c r="G197" s="1">
        <v>45342</v>
      </c>
      <c r="H197">
        <v>915213</v>
      </c>
      <c r="I197">
        <v>2933</v>
      </c>
      <c r="J197" s="5">
        <v>2684319729</v>
      </c>
      <c r="K197">
        <v>6</v>
      </c>
      <c r="L197">
        <v>3</v>
      </c>
      <c r="M197" t="s">
        <v>62</v>
      </c>
      <c r="N197">
        <v>2014</v>
      </c>
      <c r="O197">
        <v>6</v>
      </c>
      <c r="P197">
        <v>4</v>
      </c>
      <c r="Q197" t="s">
        <v>75</v>
      </c>
      <c r="R197" t="s">
        <v>556</v>
      </c>
      <c r="S197" t="s">
        <v>25</v>
      </c>
      <c r="T197" t="s">
        <v>557</v>
      </c>
    </row>
    <row r="198" spans="1:20" ht="16.5" x14ac:dyDescent="0.45">
      <c r="A198">
        <v>1197</v>
      </c>
      <c r="B198" t="s">
        <v>558</v>
      </c>
      <c r="C198" t="s">
        <v>47</v>
      </c>
      <c r="D198" t="s">
        <v>21</v>
      </c>
      <c r="E198">
        <v>321342</v>
      </c>
      <c r="F198" s="1">
        <v>45642</v>
      </c>
      <c r="G198" s="1"/>
      <c r="I198">
        <v>4701</v>
      </c>
      <c r="K198">
        <v>2</v>
      </c>
      <c r="L198">
        <v>5</v>
      </c>
      <c r="M198" t="s">
        <v>37</v>
      </c>
      <c r="N198">
        <v>2017</v>
      </c>
      <c r="O198">
        <v>5</v>
      </c>
      <c r="P198">
        <v>4</v>
      </c>
      <c r="Q198" t="s">
        <v>132</v>
      </c>
      <c r="R198" t="s">
        <v>559</v>
      </c>
      <c r="S198" t="s">
        <v>33</v>
      </c>
      <c r="T198" t="s">
        <v>560</v>
      </c>
    </row>
    <row r="199" spans="1:20" ht="16.5" x14ac:dyDescent="0.45">
      <c r="A199">
        <v>1198</v>
      </c>
      <c r="B199" t="s">
        <v>561</v>
      </c>
      <c r="C199" t="s">
        <v>51</v>
      </c>
      <c r="D199" t="s">
        <v>29</v>
      </c>
      <c r="E199">
        <v>428135</v>
      </c>
      <c r="F199" s="1">
        <v>45432</v>
      </c>
      <c r="G199" s="1">
        <v>45290</v>
      </c>
      <c r="H199">
        <v>449501</v>
      </c>
      <c r="I199">
        <v>2316</v>
      </c>
      <c r="J199" s="5">
        <v>1041044316</v>
      </c>
      <c r="K199">
        <v>6</v>
      </c>
      <c r="L199">
        <v>2</v>
      </c>
      <c r="M199" t="s">
        <v>30</v>
      </c>
      <c r="N199">
        <v>2006</v>
      </c>
      <c r="O199">
        <v>10</v>
      </c>
      <c r="P199">
        <v>4</v>
      </c>
      <c r="Q199" t="s">
        <v>162</v>
      </c>
      <c r="R199" t="s">
        <v>562</v>
      </c>
      <c r="S199" t="s">
        <v>25</v>
      </c>
      <c r="T199" t="s">
        <v>128</v>
      </c>
    </row>
    <row r="200" spans="1:20" ht="16.5" x14ac:dyDescent="0.45">
      <c r="A200">
        <v>1199</v>
      </c>
      <c r="B200" t="s">
        <v>563</v>
      </c>
      <c r="C200" t="s">
        <v>20</v>
      </c>
      <c r="D200" t="s">
        <v>29</v>
      </c>
      <c r="E200">
        <v>899214</v>
      </c>
      <c r="F200" s="1">
        <v>45595</v>
      </c>
      <c r="G200" s="1">
        <v>45342</v>
      </c>
      <c r="H200">
        <v>911318</v>
      </c>
      <c r="I200">
        <v>1575</v>
      </c>
      <c r="J200" s="5">
        <v>1435325850</v>
      </c>
      <c r="K200">
        <v>6</v>
      </c>
      <c r="L200">
        <v>4</v>
      </c>
      <c r="M200" t="s">
        <v>62</v>
      </c>
      <c r="N200">
        <v>2013</v>
      </c>
      <c r="O200">
        <v>2</v>
      </c>
      <c r="P200">
        <v>2</v>
      </c>
      <c r="Q200" t="s">
        <v>38</v>
      </c>
      <c r="R200" t="s">
        <v>564</v>
      </c>
      <c r="S200" t="s">
        <v>25</v>
      </c>
      <c r="T200" t="s">
        <v>565</v>
      </c>
    </row>
    <row r="201" spans="1:20" ht="16.5" x14ac:dyDescent="0.45">
      <c r="A201">
        <v>1200</v>
      </c>
      <c r="B201" t="s">
        <v>566</v>
      </c>
      <c r="C201" t="s">
        <v>20</v>
      </c>
      <c r="D201" t="s">
        <v>29</v>
      </c>
      <c r="E201">
        <v>654042</v>
      </c>
      <c r="F201" s="1">
        <v>45558</v>
      </c>
      <c r="G201" s="1"/>
      <c r="I201">
        <v>4141</v>
      </c>
      <c r="K201">
        <v>5</v>
      </c>
      <c r="L201">
        <v>3</v>
      </c>
      <c r="M201" t="s">
        <v>22</v>
      </c>
      <c r="N201">
        <v>2002</v>
      </c>
      <c r="P201">
        <v>4</v>
      </c>
      <c r="Q201" t="s">
        <v>43</v>
      </c>
      <c r="R201" t="s">
        <v>567</v>
      </c>
      <c r="S201" t="s">
        <v>33</v>
      </c>
      <c r="T201" t="s">
        <v>40</v>
      </c>
    </row>
    <row r="202" spans="1:20" ht="16.5" x14ac:dyDescent="0.45">
      <c r="A202">
        <v>1201</v>
      </c>
      <c r="B202" t="s">
        <v>568</v>
      </c>
      <c r="C202" t="s">
        <v>36</v>
      </c>
      <c r="D202" t="s">
        <v>42</v>
      </c>
      <c r="E202">
        <v>651991</v>
      </c>
      <c r="F202" s="1">
        <v>45432</v>
      </c>
      <c r="G202" s="1"/>
      <c r="I202">
        <v>4162</v>
      </c>
      <c r="K202">
        <v>2</v>
      </c>
      <c r="L202">
        <v>4</v>
      </c>
      <c r="M202" t="s">
        <v>62</v>
      </c>
      <c r="N202">
        <v>2023</v>
      </c>
      <c r="O202">
        <v>7</v>
      </c>
      <c r="P202">
        <v>3</v>
      </c>
      <c r="Q202" t="s">
        <v>38</v>
      </c>
      <c r="R202" t="s">
        <v>569</v>
      </c>
      <c r="S202" t="s">
        <v>33</v>
      </c>
      <c r="T202" t="s">
        <v>570</v>
      </c>
    </row>
    <row r="203" spans="1:20" ht="16.5" x14ac:dyDescent="0.45">
      <c r="A203">
        <v>1202</v>
      </c>
      <c r="B203" t="s">
        <v>571</v>
      </c>
      <c r="C203" t="s">
        <v>20</v>
      </c>
      <c r="D203" t="s">
        <v>21</v>
      </c>
      <c r="E203">
        <v>471808</v>
      </c>
      <c r="F203" s="1">
        <v>45640</v>
      </c>
      <c r="G203" s="1"/>
      <c r="I203">
        <v>3394</v>
      </c>
      <c r="K203">
        <v>3</v>
      </c>
      <c r="L203">
        <v>2</v>
      </c>
      <c r="M203" t="s">
        <v>30</v>
      </c>
      <c r="N203">
        <v>2006</v>
      </c>
      <c r="O203">
        <v>3</v>
      </c>
      <c r="P203">
        <v>1</v>
      </c>
      <c r="Q203" t="s">
        <v>31</v>
      </c>
      <c r="R203" t="s">
        <v>572</v>
      </c>
      <c r="S203" t="s">
        <v>33</v>
      </c>
      <c r="T203" t="s">
        <v>73</v>
      </c>
    </row>
    <row r="204" spans="1:20" ht="16.5" x14ac:dyDescent="0.45">
      <c r="A204">
        <v>1203</v>
      </c>
      <c r="B204" t="s">
        <v>573</v>
      </c>
      <c r="C204" t="s">
        <v>28</v>
      </c>
      <c r="D204" t="s">
        <v>42</v>
      </c>
      <c r="E204">
        <v>633730</v>
      </c>
      <c r="F204" s="1">
        <v>45337</v>
      </c>
      <c r="G204" s="1">
        <v>45601</v>
      </c>
      <c r="H204">
        <v>664422</v>
      </c>
      <c r="I204">
        <v>2775</v>
      </c>
      <c r="J204" s="5">
        <v>1843771050</v>
      </c>
      <c r="K204">
        <v>2</v>
      </c>
      <c r="L204">
        <v>4</v>
      </c>
      <c r="M204" t="s">
        <v>30</v>
      </c>
      <c r="N204">
        <v>2011</v>
      </c>
      <c r="O204">
        <v>7</v>
      </c>
      <c r="P204">
        <v>3</v>
      </c>
      <c r="Q204" t="s">
        <v>86</v>
      </c>
      <c r="R204" t="s">
        <v>574</v>
      </c>
      <c r="S204" t="s">
        <v>25</v>
      </c>
      <c r="T204" t="s">
        <v>575</v>
      </c>
    </row>
    <row r="205" spans="1:20" ht="16.5" x14ac:dyDescent="0.45">
      <c r="A205">
        <v>1204</v>
      </c>
      <c r="B205" t="s">
        <v>576</v>
      </c>
      <c r="C205" t="s">
        <v>20</v>
      </c>
      <c r="D205" t="s">
        <v>21</v>
      </c>
      <c r="E205">
        <v>938804</v>
      </c>
      <c r="F205" s="1">
        <v>45462</v>
      </c>
      <c r="G205" s="1">
        <v>45598</v>
      </c>
      <c r="H205">
        <v>971303</v>
      </c>
      <c r="I205">
        <v>2248</v>
      </c>
      <c r="J205" s="5">
        <v>2183489144</v>
      </c>
      <c r="K205">
        <v>6</v>
      </c>
      <c r="L205">
        <v>4</v>
      </c>
      <c r="M205" t="s">
        <v>30</v>
      </c>
      <c r="N205">
        <v>2001</v>
      </c>
      <c r="O205">
        <v>1</v>
      </c>
      <c r="P205">
        <v>2</v>
      </c>
      <c r="Q205" t="s">
        <v>58</v>
      </c>
      <c r="R205" t="s">
        <v>577</v>
      </c>
      <c r="S205" t="s">
        <v>25</v>
      </c>
      <c r="T205" t="s">
        <v>578</v>
      </c>
    </row>
    <row r="206" spans="1:20" ht="16.5" x14ac:dyDescent="0.45">
      <c r="A206">
        <v>1205</v>
      </c>
      <c r="B206" t="s">
        <v>579</v>
      </c>
      <c r="C206" t="s">
        <v>47</v>
      </c>
      <c r="D206" t="s">
        <v>29</v>
      </c>
      <c r="E206">
        <v>922822</v>
      </c>
      <c r="F206" s="1">
        <v>45394</v>
      </c>
      <c r="G206" s="1"/>
      <c r="I206">
        <v>1919</v>
      </c>
      <c r="K206">
        <v>4</v>
      </c>
      <c r="L206">
        <v>5</v>
      </c>
      <c r="M206" t="s">
        <v>30</v>
      </c>
      <c r="N206">
        <v>2007</v>
      </c>
      <c r="O206">
        <v>1</v>
      </c>
      <c r="P206">
        <v>4</v>
      </c>
      <c r="Q206" t="s">
        <v>93</v>
      </c>
      <c r="R206" t="s">
        <v>580</v>
      </c>
      <c r="S206" t="s">
        <v>33</v>
      </c>
      <c r="T206" t="s">
        <v>581</v>
      </c>
    </row>
    <row r="207" spans="1:20" ht="16.5" x14ac:dyDescent="0.45">
      <c r="A207">
        <v>1206</v>
      </c>
      <c r="B207" t="s">
        <v>582</v>
      </c>
      <c r="C207" t="s">
        <v>28</v>
      </c>
      <c r="D207" t="s">
        <v>29</v>
      </c>
      <c r="E207">
        <v>593349</v>
      </c>
      <c r="F207" s="1">
        <v>45506</v>
      </c>
      <c r="G207" s="1"/>
      <c r="I207">
        <v>2476</v>
      </c>
      <c r="K207">
        <v>6</v>
      </c>
      <c r="L207">
        <v>4</v>
      </c>
      <c r="M207" t="s">
        <v>22</v>
      </c>
      <c r="N207">
        <v>2005</v>
      </c>
      <c r="P207">
        <v>1</v>
      </c>
      <c r="Q207" t="s">
        <v>132</v>
      </c>
      <c r="R207" t="s">
        <v>583</v>
      </c>
      <c r="S207" t="s">
        <v>33</v>
      </c>
      <c r="T207" t="s">
        <v>584</v>
      </c>
    </row>
    <row r="208" spans="1:20" ht="16.5" x14ac:dyDescent="0.45">
      <c r="A208">
        <v>1207</v>
      </c>
      <c r="B208" t="s">
        <v>585</v>
      </c>
      <c r="C208" t="s">
        <v>51</v>
      </c>
      <c r="D208" t="s">
        <v>21</v>
      </c>
      <c r="E208">
        <v>382396</v>
      </c>
      <c r="F208" s="1">
        <v>45344</v>
      </c>
      <c r="G208" s="1"/>
      <c r="I208">
        <v>3212</v>
      </c>
      <c r="K208">
        <v>4</v>
      </c>
      <c r="L208">
        <v>3</v>
      </c>
      <c r="M208" t="s">
        <v>62</v>
      </c>
      <c r="N208">
        <v>2019</v>
      </c>
      <c r="O208">
        <v>2</v>
      </c>
      <c r="P208">
        <v>3</v>
      </c>
      <c r="Q208" t="s">
        <v>86</v>
      </c>
      <c r="R208" t="s">
        <v>586</v>
      </c>
      <c r="S208" t="s">
        <v>33</v>
      </c>
      <c r="T208" t="s">
        <v>587</v>
      </c>
    </row>
    <row r="209" spans="1:20" ht="16.5" x14ac:dyDescent="0.45">
      <c r="A209">
        <v>1208</v>
      </c>
      <c r="B209" t="s">
        <v>588</v>
      </c>
      <c r="C209" t="s">
        <v>28</v>
      </c>
      <c r="D209" t="s">
        <v>29</v>
      </c>
      <c r="E209">
        <v>351876</v>
      </c>
      <c r="F209" s="1">
        <v>45332</v>
      </c>
      <c r="G209" s="1">
        <v>45502</v>
      </c>
      <c r="H209">
        <v>380921</v>
      </c>
      <c r="I209">
        <v>2446</v>
      </c>
      <c r="J209" s="5">
        <v>931732766</v>
      </c>
      <c r="K209">
        <v>2</v>
      </c>
      <c r="L209">
        <v>5</v>
      </c>
      <c r="M209" t="s">
        <v>62</v>
      </c>
      <c r="N209">
        <v>2000</v>
      </c>
      <c r="O209">
        <v>10</v>
      </c>
      <c r="P209">
        <v>1</v>
      </c>
      <c r="Q209" t="s">
        <v>43</v>
      </c>
      <c r="R209" t="s">
        <v>589</v>
      </c>
      <c r="S209" t="s">
        <v>25</v>
      </c>
      <c r="T209" t="s">
        <v>183</v>
      </c>
    </row>
    <row r="210" spans="1:20" ht="16.5" x14ac:dyDescent="0.45">
      <c r="A210">
        <v>1209</v>
      </c>
      <c r="B210" t="s">
        <v>590</v>
      </c>
      <c r="C210" t="s">
        <v>51</v>
      </c>
      <c r="D210" t="s">
        <v>29</v>
      </c>
      <c r="E210">
        <v>455478</v>
      </c>
      <c r="F210" s="1">
        <v>45422</v>
      </c>
      <c r="G210" s="1">
        <v>45464</v>
      </c>
      <c r="H210">
        <v>472342</v>
      </c>
      <c r="I210">
        <v>4782</v>
      </c>
      <c r="J210" s="5">
        <v>2258739444</v>
      </c>
      <c r="K210">
        <v>5</v>
      </c>
      <c r="L210">
        <v>5</v>
      </c>
      <c r="M210" t="s">
        <v>30</v>
      </c>
      <c r="N210">
        <v>2011</v>
      </c>
      <c r="O210">
        <v>3</v>
      </c>
      <c r="P210">
        <v>2</v>
      </c>
      <c r="Q210" t="s">
        <v>75</v>
      </c>
      <c r="R210" t="s">
        <v>591</v>
      </c>
      <c r="S210" t="s">
        <v>25</v>
      </c>
      <c r="T210" t="s">
        <v>592</v>
      </c>
    </row>
    <row r="211" spans="1:20" ht="16.5" x14ac:dyDescent="0.45">
      <c r="A211">
        <v>1210</v>
      </c>
      <c r="B211" t="s">
        <v>593</v>
      </c>
      <c r="C211" t="s">
        <v>20</v>
      </c>
      <c r="D211" t="s">
        <v>21</v>
      </c>
      <c r="E211">
        <v>713282</v>
      </c>
      <c r="F211" s="1">
        <v>45591</v>
      </c>
      <c r="G211" s="1"/>
      <c r="I211">
        <v>2046</v>
      </c>
      <c r="K211">
        <v>5</v>
      </c>
      <c r="L211">
        <v>5</v>
      </c>
      <c r="M211" t="s">
        <v>22</v>
      </c>
      <c r="N211">
        <v>2015</v>
      </c>
      <c r="P211">
        <v>1</v>
      </c>
      <c r="Q211" t="s">
        <v>162</v>
      </c>
      <c r="R211" t="s">
        <v>594</v>
      </c>
      <c r="S211" t="s">
        <v>33</v>
      </c>
      <c r="T211" t="s">
        <v>595</v>
      </c>
    </row>
    <row r="212" spans="1:20" ht="16.5" x14ac:dyDescent="0.45">
      <c r="A212">
        <v>1211</v>
      </c>
      <c r="B212" t="s">
        <v>596</v>
      </c>
      <c r="C212" t="s">
        <v>36</v>
      </c>
      <c r="D212" t="s">
        <v>29</v>
      </c>
      <c r="E212">
        <v>545352</v>
      </c>
      <c r="F212" s="1">
        <v>45322</v>
      </c>
      <c r="G212" s="1">
        <v>45625</v>
      </c>
      <c r="H212">
        <v>592365</v>
      </c>
      <c r="I212">
        <v>2450</v>
      </c>
      <c r="J212" s="5">
        <v>1451294250</v>
      </c>
      <c r="K212">
        <v>3</v>
      </c>
      <c r="L212">
        <v>2</v>
      </c>
      <c r="M212" t="s">
        <v>62</v>
      </c>
      <c r="N212">
        <v>2000</v>
      </c>
      <c r="O212">
        <v>7</v>
      </c>
      <c r="P212">
        <v>1</v>
      </c>
      <c r="Q212" t="s">
        <v>23</v>
      </c>
      <c r="R212" t="s">
        <v>597</v>
      </c>
      <c r="S212" t="s">
        <v>25</v>
      </c>
      <c r="T212" t="s">
        <v>137</v>
      </c>
    </row>
    <row r="213" spans="1:20" ht="16.5" x14ac:dyDescent="0.45">
      <c r="A213">
        <v>1212</v>
      </c>
      <c r="B213" t="s">
        <v>598</v>
      </c>
      <c r="C213" t="s">
        <v>28</v>
      </c>
      <c r="D213" t="s">
        <v>21</v>
      </c>
      <c r="E213">
        <v>906375</v>
      </c>
      <c r="F213" s="1">
        <v>45489</v>
      </c>
      <c r="G213" s="1"/>
      <c r="I213">
        <v>1070</v>
      </c>
      <c r="K213">
        <v>6</v>
      </c>
      <c r="L213">
        <v>3</v>
      </c>
      <c r="M213" t="s">
        <v>22</v>
      </c>
      <c r="N213">
        <v>2020</v>
      </c>
      <c r="P213">
        <v>1</v>
      </c>
      <c r="Q213" t="s">
        <v>38</v>
      </c>
      <c r="R213" t="s">
        <v>599</v>
      </c>
      <c r="S213" t="s">
        <v>33</v>
      </c>
      <c r="T213" t="s">
        <v>600</v>
      </c>
    </row>
    <row r="214" spans="1:20" ht="16.5" x14ac:dyDescent="0.45">
      <c r="A214">
        <v>1213</v>
      </c>
      <c r="B214" t="s">
        <v>601</v>
      </c>
      <c r="C214" t="s">
        <v>20</v>
      </c>
      <c r="D214" t="s">
        <v>42</v>
      </c>
      <c r="E214">
        <v>787756</v>
      </c>
      <c r="F214" s="1">
        <v>45498</v>
      </c>
      <c r="G214" s="1">
        <v>45508</v>
      </c>
      <c r="H214">
        <v>797830</v>
      </c>
      <c r="I214">
        <v>4118</v>
      </c>
      <c r="J214" s="5">
        <v>3285463940</v>
      </c>
      <c r="K214">
        <v>2</v>
      </c>
      <c r="L214">
        <v>2</v>
      </c>
      <c r="M214" t="s">
        <v>37</v>
      </c>
      <c r="N214">
        <v>2017</v>
      </c>
      <c r="O214">
        <v>2</v>
      </c>
      <c r="P214">
        <v>4</v>
      </c>
      <c r="Q214" t="s">
        <v>132</v>
      </c>
      <c r="R214" t="s">
        <v>602</v>
      </c>
      <c r="S214" t="s">
        <v>25</v>
      </c>
      <c r="T214" t="s">
        <v>603</v>
      </c>
    </row>
    <row r="215" spans="1:20" ht="16.5" x14ac:dyDescent="0.45">
      <c r="A215">
        <v>1214</v>
      </c>
      <c r="B215" t="s">
        <v>604</v>
      </c>
      <c r="C215" t="s">
        <v>28</v>
      </c>
      <c r="D215" t="s">
        <v>42</v>
      </c>
      <c r="E215">
        <v>854084</v>
      </c>
      <c r="F215" s="1">
        <v>45302</v>
      </c>
      <c r="G215" s="1"/>
      <c r="I215">
        <v>2028</v>
      </c>
      <c r="K215">
        <v>6</v>
      </c>
      <c r="L215">
        <v>3</v>
      </c>
      <c r="M215" t="s">
        <v>62</v>
      </c>
      <c r="N215">
        <v>2008</v>
      </c>
      <c r="O215">
        <v>9</v>
      </c>
      <c r="P215">
        <v>4</v>
      </c>
      <c r="Q215" t="s">
        <v>31</v>
      </c>
      <c r="R215" t="s">
        <v>605</v>
      </c>
      <c r="S215" t="s">
        <v>33</v>
      </c>
      <c r="T215" t="s">
        <v>172</v>
      </c>
    </row>
    <row r="216" spans="1:20" ht="16.5" x14ac:dyDescent="0.45">
      <c r="A216">
        <v>1215</v>
      </c>
      <c r="B216" t="s">
        <v>606</v>
      </c>
      <c r="C216" t="s">
        <v>36</v>
      </c>
      <c r="D216" t="s">
        <v>29</v>
      </c>
      <c r="E216">
        <v>350964</v>
      </c>
      <c r="F216" s="1">
        <v>45387</v>
      </c>
      <c r="G216" s="1">
        <v>45442</v>
      </c>
      <c r="H216">
        <v>392125</v>
      </c>
      <c r="I216">
        <v>4106</v>
      </c>
      <c r="J216" s="5">
        <v>1610065250</v>
      </c>
      <c r="K216">
        <v>4</v>
      </c>
      <c r="L216">
        <v>5</v>
      </c>
      <c r="M216" t="s">
        <v>37</v>
      </c>
      <c r="N216">
        <v>2023</v>
      </c>
      <c r="O216">
        <v>2</v>
      </c>
      <c r="P216">
        <v>3</v>
      </c>
      <c r="Q216" t="s">
        <v>43</v>
      </c>
      <c r="R216" t="s">
        <v>607</v>
      </c>
      <c r="S216" t="s">
        <v>25</v>
      </c>
      <c r="T216" t="s">
        <v>53</v>
      </c>
    </row>
    <row r="217" spans="1:20" ht="16.5" x14ac:dyDescent="0.45">
      <c r="A217">
        <v>1216</v>
      </c>
      <c r="B217" t="s">
        <v>608</v>
      </c>
      <c r="C217" t="s">
        <v>51</v>
      </c>
      <c r="D217" t="s">
        <v>21</v>
      </c>
      <c r="E217">
        <v>365251</v>
      </c>
      <c r="F217" s="1">
        <v>45362</v>
      </c>
      <c r="G217" s="1"/>
      <c r="I217">
        <v>1992</v>
      </c>
      <c r="K217">
        <v>2</v>
      </c>
      <c r="L217">
        <v>3</v>
      </c>
      <c r="M217" t="s">
        <v>30</v>
      </c>
      <c r="N217">
        <v>2005</v>
      </c>
      <c r="O217">
        <v>8</v>
      </c>
      <c r="P217">
        <v>4</v>
      </c>
      <c r="Q217" t="s">
        <v>43</v>
      </c>
      <c r="R217" t="s">
        <v>609</v>
      </c>
      <c r="S217" t="s">
        <v>33</v>
      </c>
      <c r="T217" t="s">
        <v>91</v>
      </c>
    </row>
    <row r="218" spans="1:20" ht="16.5" x14ac:dyDescent="0.45">
      <c r="A218">
        <v>1217</v>
      </c>
      <c r="B218" t="s">
        <v>610</v>
      </c>
      <c r="C218" t="s">
        <v>47</v>
      </c>
      <c r="D218" t="s">
        <v>42</v>
      </c>
      <c r="E218">
        <v>351109</v>
      </c>
      <c r="F218" s="1">
        <v>45468</v>
      </c>
      <c r="G218" s="1">
        <v>45299</v>
      </c>
      <c r="H218">
        <v>368040</v>
      </c>
      <c r="I218">
        <v>4339</v>
      </c>
      <c r="J218" s="5">
        <v>1596925560</v>
      </c>
      <c r="K218">
        <v>2</v>
      </c>
      <c r="L218">
        <v>4</v>
      </c>
      <c r="M218" t="s">
        <v>62</v>
      </c>
      <c r="N218">
        <v>2021</v>
      </c>
      <c r="O218">
        <v>8</v>
      </c>
      <c r="P218">
        <v>2</v>
      </c>
      <c r="Q218" t="s">
        <v>162</v>
      </c>
      <c r="R218" t="s">
        <v>611</v>
      </c>
      <c r="S218" t="s">
        <v>25</v>
      </c>
      <c r="T218" t="s">
        <v>612</v>
      </c>
    </row>
    <row r="219" spans="1:20" ht="16.5" x14ac:dyDescent="0.45">
      <c r="A219">
        <v>1218</v>
      </c>
      <c r="B219" t="s">
        <v>613</v>
      </c>
      <c r="C219" t="s">
        <v>36</v>
      </c>
      <c r="D219" t="s">
        <v>29</v>
      </c>
      <c r="E219">
        <v>918232</v>
      </c>
      <c r="F219" s="1">
        <v>45642</v>
      </c>
      <c r="G219" s="1">
        <v>45529</v>
      </c>
      <c r="H219">
        <v>967788</v>
      </c>
      <c r="I219">
        <v>2150</v>
      </c>
      <c r="J219" s="5">
        <v>2080744200</v>
      </c>
      <c r="K219">
        <v>2</v>
      </c>
      <c r="L219">
        <v>2</v>
      </c>
      <c r="M219" t="s">
        <v>37</v>
      </c>
      <c r="N219">
        <v>2019</v>
      </c>
      <c r="O219">
        <v>7</v>
      </c>
      <c r="P219">
        <v>1</v>
      </c>
      <c r="Q219" t="s">
        <v>31</v>
      </c>
      <c r="R219" t="s">
        <v>614</v>
      </c>
      <c r="S219" t="s">
        <v>25</v>
      </c>
      <c r="T219" t="s">
        <v>615</v>
      </c>
    </row>
    <row r="220" spans="1:20" ht="16.5" x14ac:dyDescent="0.45">
      <c r="A220">
        <v>1219</v>
      </c>
      <c r="B220" t="s">
        <v>616</v>
      </c>
      <c r="C220" t="s">
        <v>20</v>
      </c>
      <c r="D220" t="s">
        <v>29</v>
      </c>
      <c r="E220">
        <v>582156</v>
      </c>
      <c r="F220" s="1">
        <v>45457</v>
      </c>
      <c r="G220" s="1"/>
      <c r="I220">
        <v>4030</v>
      </c>
      <c r="K220">
        <v>6</v>
      </c>
      <c r="L220">
        <v>5</v>
      </c>
      <c r="M220" t="s">
        <v>62</v>
      </c>
      <c r="N220">
        <v>2012</v>
      </c>
      <c r="O220">
        <v>1</v>
      </c>
      <c r="P220">
        <v>3</v>
      </c>
      <c r="Q220" t="s">
        <v>38</v>
      </c>
      <c r="R220" t="s">
        <v>617</v>
      </c>
      <c r="S220" t="s">
        <v>33</v>
      </c>
      <c r="T220" t="s">
        <v>618</v>
      </c>
    </row>
    <row r="221" spans="1:20" ht="16.5" x14ac:dyDescent="0.45">
      <c r="A221">
        <v>1220</v>
      </c>
      <c r="B221" t="s">
        <v>619</v>
      </c>
      <c r="C221" t="s">
        <v>20</v>
      </c>
      <c r="D221" t="s">
        <v>42</v>
      </c>
      <c r="E221">
        <v>537935</v>
      </c>
      <c r="F221" s="1">
        <v>45298</v>
      </c>
      <c r="G221" s="1"/>
      <c r="I221">
        <v>3818</v>
      </c>
      <c r="K221">
        <v>3</v>
      </c>
      <c r="L221">
        <v>4</v>
      </c>
      <c r="M221" t="s">
        <v>62</v>
      </c>
      <c r="N221">
        <v>2002</v>
      </c>
      <c r="O221">
        <v>2</v>
      </c>
      <c r="P221">
        <v>2</v>
      </c>
      <c r="Q221" t="s">
        <v>162</v>
      </c>
      <c r="R221" t="s">
        <v>620</v>
      </c>
      <c r="S221" t="s">
        <v>33</v>
      </c>
      <c r="T221" t="s">
        <v>621</v>
      </c>
    </row>
    <row r="222" spans="1:20" ht="16.5" x14ac:dyDescent="0.45">
      <c r="A222">
        <v>1221</v>
      </c>
      <c r="B222" t="s">
        <v>622</v>
      </c>
      <c r="C222" t="s">
        <v>20</v>
      </c>
      <c r="D222" t="s">
        <v>21</v>
      </c>
      <c r="E222">
        <v>811643</v>
      </c>
      <c r="F222" s="1">
        <v>45585</v>
      </c>
      <c r="G222" s="1"/>
      <c r="I222">
        <v>1364</v>
      </c>
      <c r="K222">
        <v>3</v>
      </c>
      <c r="L222">
        <v>3</v>
      </c>
      <c r="M222" t="s">
        <v>30</v>
      </c>
      <c r="N222">
        <v>2011</v>
      </c>
      <c r="O222">
        <v>2</v>
      </c>
      <c r="P222">
        <v>1</v>
      </c>
      <c r="Q222" t="s">
        <v>43</v>
      </c>
      <c r="R222" t="s">
        <v>623</v>
      </c>
      <c r="S222" t="s">
        <v>33</v>
      </c>
      <c r="T222" t="s">
        <v>624</v>
      </c>
    </row>
    <row r="223" spans="1:20" ht="16.5" x14ac:dyDescent="0.45">
      <c r="A223">
        <v>1222</v>
      </c>
      <c r="B223" t="s">
        <v>625</v>
      </c>
      <c r="C223" t="s">
        <v>20</v>
      </c>
      <c r="D223" t="s">
        <v>29</v>
      </c>
      <c r="E223">
        <v>482663</v>
      </c>
      <c r="F223" s="1">
        <v>45350</v>
      </c>
      <c r="G223" s="1"/>
      <c r="I223">
        <v>3632</v>
      </c>
      <c r="K223">
        <v>6</v>
      </c>
      <c r="L223">
        <v>4</v>
      </c>
      <c r="M223" t="s">
        <v>22</v>
      </c>
      <c r="N223">
        <v>2020</v>
      </c>
      <c r="P223">
        <v>2</v>
      </c>
      <c r="Q223" t="s">
        <v>162</v>
      </c>
      <c r="R223" t="s">
        <v>626</v>
      </c>
      <c r="S223" t="s">
        <v>33</v>
      </c>
      <c r="T223" t="s">
        <v>627</v>
      </c>
    </row>
    <row r="224" spans="1:20" ht="16.5" x14ac:dyDescent="0.45">
      <c r="A224">
        <v>1223</v>
      </c>
      <c r="B224" t="s">
        <v>628</v>
      </c>
      <c r="C224" t="s">
        <v>20</v>
      </c>
      <c r="D224" t="s">
        <v>29</v>
      </c>
      <c r="E224">
        <v>391005</v>
      </c>
      <c r="F224" s="1">
        <v>45462</v>
      </c>
      <c r="G224" s="1">
        <v>45640</v>
      </c>
      <c r="H224">
        <v>436339</v>
      </c>
      <c r="I224">
        <v>4939</v>
      </c>
      <c r="J224" s="5">
        <v>2155078321</v>
      </c>
      <c r="K224">
        <v>4</v>
      </c>
      <c r="L224">
        <v>4</v>
      </c>
      <c r="M224" t="s">
        <v>30</v>
      </c>
      <c r="N224">
        <v>2022</v>
      </c>
      <c r="O224">
        <v>4</v>
      </c>
      <c r="P224">
        <v>4</v>
      </c>
      <c r="Q224" t="s">
        <v>93</v>
      </c>
      <c r="R224" t="s">
        <v>629</v>
      </c>
      <c r="S224" t="s">
        <v>25</v>
      </c>
      <c r="T224" t="s">
        <v>137</v>
      </c>
    </row>
    <row r="225" spans="1:20" ht="16.5" x14ac:dyDescent="0.45">
      <c r="A225">
        <v>1224</v>
      </c>
      <c r="B225" t="s">
        <v>630</v>
      </c>
      <c r="C225" t="s">
        <v>47</v>
      </c>
      <c r="D225" t="s">
        <v>42</v>
      </c>
      <c r="E225">
        <v>935186</v>
      </c>
      <c r="F225" s="1">
        <v>45307</v>
      </c>
      <c r="G225" s="1">
        <v>45287</v>
      </c>
      <c r="H225">
        <v>976940</v>
      </c>
      <c r="I225">
        <v>1661</v>
      </c>
      <c r="J225" s="5">
        <v>1622697340</v>
      </c>
      <c r="K225">
        <v>2</v>
      </c>
      <c r="L225">
        <v>4</v>
      </c>
      <c r="M225" t="s">
        <v>62</v>
      </c>
      <c r="N225">
        <v>2001</v>
      </c>
      <c r="O225">
        <v>4</v>
      </c>
      <c r="P225">
        <v>3</v>
      </c>
      <c r="Q225" t="s">
        <v>93</v>
      </c>
      <c r="R225" t="s">
        <v>631</v>
      </c>
      <c r="S225" t="s">
        <v>25</v>
      </c>
      <c r="T225" t="s">
        <v>632</v>
      </c>
    </row>
    <row r="226" spans="1:20" ht="16.5" x14ac:dyDescent="0.45">
      <c r="A226">
        <v>1225</v>
      </c>
      <c r="B226" t="s">
        <v>633</v>
      </c>
      <c r="C226" t="s">
        <v>20</v>
      </c>
      <c r="D226" t="s">
        <v>42</v>
      </c>
      <c r="E226">
        <v>319070</v>
      </c>
      <c r="F226" s="1">
        <v>45495</v>
      </c>
      <c r="G226" s="1">
        <v>45609</v>
      </c>
      <c r="H226">
        <v>356977</v>
      </c>
      <c r="I226">
        <v>4599</v>
      </c>
      <c r="J226" s="5">
        <v>1641737223</v>
      </c>
      <c r="K226">
        <v>4</v>
      </c>
      <c r="L226">
        <v>5</v>
      </c>
      <c r="M226" t="s">
        <v>22</v>
      </c>
      <c r="N226">
        <v>2002</v>
      </c>
      <c r="P226">
        <v>2</v>
      </c>
      <c r="Q226" t="s">
        <v>86</v>
      </c>
      <c r="R226" t="s">
        <v>634</v>
      </c>
      <c r="S226" t="s">
        <v>25</v>
      </c>
      <c r="T226" t="s">
        <v>635</v>
      </c>
    </row>
    <row r="227" spans="1:20" ht="16.5" x14ac:dyDescent="0.45">
      <c r="A227">
        <v>1226</v>
      </c>
      <c r="B227" t="s">
        <v>636</v>
      </c>
      <c r="C227" t="s">
        <v>51</v>
      </c>
      <c r="D227" t="s">
        <v>21</v>
      </c>
      <c r="E227">
        <v>753850</v>
      </c>
      <c r="F227" s="1">
        <v>45612</v>
      </c>
      <c r="G227" s="1"/>
      <c r="I227">
        <v>2922</v>
      </c>
      <c r="K227">
        <v>5</v>
      </c>
      <c r="L227">
        <v>5</v>
      </c>
      <c r="M227" t="s">
        <v>30</v>
      </c>
      <c r="N227">
        <v>2021</v>
      </c>
      <c r="O227">
        <v>1</v>
      </c>
      <c r="P227">
        <v>1</v>
      </c>
      <c r="Q227" t="s">
        <v>132</v>
      </c>
      <c r="R227" t="s">
        <v>243</v>
      </c>
      <c r="S227" t="s">
        <v>33</v>
      </c>
      <c r="T227" t="s">
        <v>637</v>
      </c>
    </row>
    <row r="228" spans="1:20" ht="16.5" x14ac:dyDescent="0.45">
      <c r="A228">
        <v>1227</v>
      </c>
      <c r="B228" t="s">
        <v>638</v>
      </c>
      <c r="C228" t="s">
        <v>28</v>
      </c>
      <c r="D228" t="s">
        <v>21</v>
      </c>
      <c r="E228">
        <v>378856</v>
      </c>
      <c r="F228" s="1">
        <v>45481</v>
      </c>
      <c r="G228" s="1"/>
      <c r="I228">
        <v>2750</v>
      </c>
      <c r="K228">
        <v>6</v>
      </c>
      <c r="L228">
        <v>2</v>
      </c>
      <c r="M228" t="s">
        <v>37</v>
      </c>
      <c r="N228">
        <v>2020</v>
      </c>
      <c r="O228">
        <v>1</v>
      </c>
      <c r="P228">
        <v>4</v>
      </c>
      <c r="Q228" t="s">
        <v>23</v>
      </c>
      <c r="R228" t="s">
        <v>639</v>
      </c>
      <c r="S228" t="s">
        <v>33</v>
      </c>
      <c r="T228" t="s">
        <v>640</v>
      </c>
    </row>
    <row r="229" spans="1:20" ht="16.5" x14ac:dyDescent="0.45">
      <c r="A229">
        <v>1228</v>
      </c>
      <c r="B229" t="s">
        <v>641</v>
      </c>
      <c r="C229" t="s">
        <v>36</v>
      </c>
      <c r="D229" t="s">
        <v>42</v>
      </c>
      <c r="E229">
        <v>354266</v>
      </c>
      <c r="F229" s="1">
        <v>45353</v>
      </c>
      <c r="G229" s="1">
        <v>45420</v>
      </c>
      <c r="H229">
        <v>380144</v>
      </c>
      <c r="I229">
        <v>2790</v>
      </c>
      <c r="J229" s="5">
        <v>1060601760</v>
      </c>
      <c r="K229">
        <v>5</v>
      </c>
      <c r="L229">
        <v>3</v>
      </c>
      <c r="M229" t="s">
        <v>22</v>
      </c>
      <c r="N229">
        <v>2007</v>
      </c>
      <c r="P229">
        <v>2</v>
      </c>
      <c r="Q229" t="s">
        <v>43</v>
      </c>
      <c r="R229" t="s">
        <v>642</v>
      </c>
      <c r="S229" t="s">
        <v>25</v>
      </c>
      <c r="T229" t="s">
        <v>643</v>
      </c>
    </row>
    <row r="230" spans="1:20" ht="16.5" x14ac:dyDescent="0.45">
      <c r="A230">
        <v>1229</v>
      </c>
      <c r="B230" t="s">
        <v>644</v>
      </c>
      <c r="C230" t="s">
        <v>47</v>
      </c>
      <c r="D230" t="s">
        <v>42</v>
      </c>
      <c r="E230">
        <v>909613</v>
      </c>
      <c r="F230" s="1">
        <v>45477</v>
      </c>
      <c r="G230" s="1"/>
      <c r="I230">
        <v>2588</v>
      </c>
      <c r="K230">
        <v>4</v>
      </c>
      <c r="L230">
        <v>5</v>
      </c>
      <c r="M230" t="s">
        <v>22</v>
      </c>
      <c r="N230">
        <v>2015</v>
      </c>
      <c r="P230">
        <v>2</v>
      </c>
      <c r="Q230" t="s">
        <v>75</v>
      </c>
      <c r="R230" t="s">
        <v>645</v>
      </c>
      <c r="S230" t="s">
        <v>33</v>
      </c>
      <c r="T230" t="s">
        <v>180</v>
      </c>
    </row>
    <row r="231" spans="1:20" ht="16.5" x14ac:dyDescent="0.45">
      <c r="A231">
        <v>1230</v>
      </c>
      <c r="B231" t="s">
        <v>646</v>
      </c>
      <c r="C231" t="s">
        <v>36</v>
      </c>
      <c r="D231" t="s">
        <v>21</v>
      </c>
      <c r="E231">
        <v>384295</v>
      </c>
      <c r="F231" s="1">
        <v>45344</v>
      </c>
      <c r="G231" s="1"/>
      <c r="I231">
        <v>3237</v>
      </c>
      <c r="K231">
        <v>5</v>
      </c>
      <c r="L231">
        <v>2</v>
      </c>
      <c r="M231" t="s">
        <v>62</v>
      </c>
      <c r="N231">
        <v>2001</v>
      </c>
      <c r="O231">
        <v>1</v>
      </c>
      <c r="P231">
        <v>3</v>
      </c>
      <c r="Q231" t="s">
        <v>58</v>
      </c>
      <c r="R231" t="s">
        <v>647</v>
      </c>
      <c r="S231" t="s">
        <v>33</v>
      </c>
      <c r="T231" t="s">
        <v>648</v>
      </c>
    </row>
    <row r="232" spans="1:20" ht="16.5" x14ac:dyDescent="0.45">
      <c r="A232">
        <v>1231</v>
      </c>
      <c r="B232" t="s">
        <v>649</v>
      </c>
      <c r="C232" t="s">
        <v>20</v>
      </c>
      <c r="D232" t="s">
        <v>42</v>
      </c>
      <c r="E232">
        <v>451496</v>
      </c>
      <c r="F232" s="1">
        <v>45310</v>
      </c>
      <c r="G232" s="1"/>
      <c r="I232">
        <v>4016</v>
      </c>
      <c r="K232">
        <v>5</v>
      </c>
      <c r="L232">
        <v>5</v>
      </c>
      <c r="M232" t="s">
        <v>62</v>
      </c>
      <c r="N232">
        <v>2001</v>
      </c>
      <c r="O232">
        <v>10</v>
      </c>
      <c r="P232">
        <v>1</v>
      </c>
      <c r="Q232" t="s">
        <v>38</v>
      </c>
      <c r="R232" t="s">
        <v>650</v>
      </c>
      <c r="S232" t="s">
        <v>33</v>
      </c>
      <c r="T232" t="s">
        <v>651</v>
      </c>
    </row>
    <row r="233" spans="1:20" ht="16.5" x14ac:dyDescent="0.45">
      <c r="A233">
        <v>1232</v>
      </c>
      <c r="B233" t="s">
        <v>652</v>
      </c>
      <c r="C233" t="s">
        <v>51</v>
      </c>
      <c r="D233" t="s">
        <v>42</v>
      </c>
      <c r="E233">
        <v>900070</v>
      </c>
      <c r="F233" s="1">
        <v>45485</v>
      </c>
      <c r="G233" s="1">
        <v>45399</v>
      </c>
      <c r="H233">
        <v>918414</v>
      </c>
      <c r="I233">
        <v>1913</v>
      </c>
      <c r="J233" s="5">
        <v>1756925982</v>
      </c>
      <c r="K233">
        <v>6</v>
      </c>
      <c r="L233">
        <v>4</v>
      </c>
      <c r="M233" t="s">
        <v>62</v>
      </c>
      <c r="N233">
        <v>2022</v>
      </c>
      <c r="O233">
        <v>9</v>
      </c>
      <c r="P233">
        <v>1</v>
      </c>
      <c r="Q233" t="s">
        <v>86</v>
      </c>
      <c r="R233" t="s">
        <v>653</v>
      </c>
      <c r="S233" t="s">
        <v>25</v>
      </c>
      <c r="T233" t="s">
        <v>137</v>
      </c>
    </row>
    <row r="234" spans="1:20" ht="16.5" x14ac:dyDescent="0.45">
      <c r="A234">
        <v>1233</v>
      </c>
      <c r="B234" t="s">
        <v>654</v>
      </c>
      <c r="C234" t="s">
        <v>20</v>
      </c>
      <c r="D234" t="s">
        <v>42</v>
      </c>
      <c r="E234">
        <v>331489</v>
      </c>
      <c r="F234" s="1">
        <v>45496</v>
      </c>
      <c r="G234" s="1"/>
      <c r="I234">
        <v>3062</v>
      </c>
      <c r="K234">
        <v>3</v>
      </c>
      <c r="L234">
        <v>5</v>
      </c>
      <c r="M234" t="s">
        <v>37</v>
      </c>
      <c r="N234">
        <v>2013</v>
      </c>
      <c r="O234">
        <v>10</v>
      </c>
      <c r="P234">
        <v>1</v>
      </c>
      <c r="Q234" t="s">
        <v>162</v>
      </c>
      <c r="R234" t="s">
        <v>655</v>
      </c>
      <c r="S234" t="s">
        <v>33</v>
      </c>
      <c r="T234" t="s">
        <v>656</v>
      </c>
    </row>
    <row r="235" spans="1:20" ht="16.5" x14ac:dyDescent="0.45">
      <c r="A235">
        <v>1234</v>
      </c>
      <c r="B235" t="s">
        <v>657</v>
      </c>
      <c r="C235" t="s">
        <v>36</v>
      </c>
      <c r="D235" t="s">
        <v>21</v>
      </c>
      <c r="E235">
        <v>520218</v>
      </c>
      <c r="F235" s="1">
        <v>45510</v>
      </c>
      <c r="G235" s="1">
        <v>45292</v>
      </c>
      <c r="H235">
        <v>545885</v>
      </c>
      <c r="I235">
        <v>1018</v>
      </c>
      <c r="J235" s="5">
        <v>555710930</v>
      </c>
      <c r="K235">
        <v>6</v>
      </c>
      <c r="L235">
        <v>2</v>
      </c>
      <c r="M235" t="s">
        <v>22</v>
      </c>
      <c r="N235">
        <v>2005</v>
      </c>
      <c r="P235">
        <v>2</v>
      </c>
      <c r="Q235" t="s">
        <v>93</v>
      </c>
      <c r="R235" t="s">
        <v>658</v>
      </c>
      <c r="S235" t="s">
        <v>25</v>
      </c>
      <c r="T235" t="s">
        <v>592</v>
      </c>
    </row>
    <row r="236" spans="1:20" ht="16.5" x14ac:dyDescent="0.45">
      <c r="A236">
        <v>1235</v>
      </c>
      <c r="B236" t="s">
        <v>659</v>
      </c>
      <c r="C236" t="s">
        <v>51</v>
      </c>
      <c r="D236" t="s">
        <v>42</v>
      </c>
      <c r="E236">
        <v>533486</v>
      </c>
      <c r="F236" s="1">
        <v>45484</v>
      </c>
      <c r="G236" s="1">
        <v>45605</v>
      </c>
      <c r="H236">
        <v>574090</v>
      </c>
      <c r="I236">
        <v>1496</v>
      </c>
      <c r="J236" s="5">
        <v>858838640</v>
      </c>
      <c r="K236">
        <v>2</v>
      </c>
      <c r="L236">
        <v>2</v>
      </c>
      <c r="M236" t="s">
        <v>62</v>
      </c>
      <c r="N236">
        <v>2005</v>
      </c>
      <c r="O236">
        <v>8</v>
      </c>
      <c r="P236">
        <v>4</v>
      </c>
      <c r="Q236" t="s">
        <v>58</v>
      </c>
      <c r="R236" t="s">
        <v>660</v>
      </c>
      <c r="S236" t="s">
        <v>25</v>
      </c>
      <c r="T236" t="s">
        <v>45</v>
      </c>
    </row>
    <row r="237" spans="1:20" ht="16.5" x14ac:dyDescent="0.45">
      <c r="A237">
        <v>1236</v>
      </c>
      <c r="B237" t="s">
        <v>661</v>
      </c>
      <c r="C237" t="s">
        <v>20</v>
      </c>
      <c r="D237" t="s">
        <v>42</v>
      </c>
      <c r="E237">
        <v>626315</v>
      </c>
      <c r="F237" s="1">
        <v>45476</v>
      </c>
      <c r="G237" s="1"/>
      <c r="I237">
        <v>2280</v>
      </c>
      <c r="K237">
        <v>5</v>
      </c>
      <c r="L237">
        <v>3</v>
      </c>
      <c r="M237" t="s">
        <v>37</v>
      </c>
      <c r="N237">
        <v>2015</v>
      </c>
      <c r="O237">
        <v>8</v>
      </c>
      <c r="P237">
        <v>1</v>
      </c>
      <c r="Q237" t="s">
        <v>162</v>
      </c>
      <c r="R237" t="s">
        <v>662</v>
      </c>
      <c r="S237" t="s">
        <v>33</v>
      </c>
      <c r="T237" t="s">
        <v>70</v>
      </c>
    </row>
    <row r="238" spans="1:20" ht="16.5" x14ac:dyDescent="0.45">
      <c r="A238">
        <v>1237</v>
      </c>
      <c r="B238" t="s">
        <v>663</v>
      </c>
      <c r="C238" t="s">
        <v>47</v>
      </c>
      <c r="D238" t="s">
        <v>42</v>
      </c>
      <c r="E238">
        <v>579591</v>
      </c>
      <c r="F238" s="1">
        <v>45525</v>
      </c>
      <c r="G238" s="1">
        <v>45344</v>
      </c>
      <c r="H238">
        <v>619475</v>
      </c>
      <c r="I238">
        <v>3233</v>
      </c>
      <c r="J238" s="5">
        <v>2002762675</v>
      </c>
      <c r="K238">
        <v>6</v>
      </c>
      <c r="L238">
        <v>5</v>
      </c>
      <c r="M238" t="s">
        <v>22</v>
      </c>
      <c r="N238">
        <v>2015</v>
      </c>
      <c r="P238">
        <v>4</v>
      </c>
      <c r="Q238" t="s">
        <v>132</v>
      </c>
      <c r="R238" t="s">
        <v>664</v>
      </c>
      <c r="S238" t="s">
        <v>25</v>
      </c>
      <c r="T238" t="s">
        <v>665</v>
      </c>
    </row>
    <row r="239" spans="1:20" ht="16.5" x14ac:dyDescent="0.45">
      <c r="A239">
        <v>1238</v>
      </c>
      <c r="B239" t="s">
        <v>666</v>
      </c>
      <c r="C239" t="s">
        <v>51</v>
      </c>
      <c r="D239" t="s">
        <v>21</v>
      </c>
      <c r="E239">
        <v>622203</v>
      </c>
      <c r="F239" s="1">
        <v>45553</v>
      </c>
      <c r="G239" s="1"/>
      <c r="I239">
        <v>3410</v>
      </c>
      <c r="K239">
        <v>2</v>
      </c>
      <c r="L239">
        <v>2</v>
      </c>
      <c r="M239" t="s">
        <v>22</v>
      </c>
      <c r="N239">
        <v>2000</v>
      </c>
      <c r="P239">
        <v>2</v>
      </c>
      <c r="Q239" t="s">
        <v>132</v>
      </c>
      <c r="R239" t="s">
        <v>667</v>
      </c>
      <c r="S239" t="s">
        <v>33</v>
      </c>
      <c r="T239" t="s">
        <v>668</v>
      </c>
    </row>
    <row r="240" spans="1:20" ht="16.5" x14ac:dyDescent="0.45">
      <c r="A240">
        <v>1239</v>
      </c>
      <c r="B240" t="s">
        <v>669</v>
      </c>
      <c r="C240" t="s">
        <v>47</v>
      </c>
      <c r="D240" t="s">
        <v>42</v>
      </c>
      <c r="E240">
        <v>806927</v>
      </c>
      <c r="F240" s="1">
        <v>45569</v>
      </c>
      <c r="G240" s="1">
        <v>45551</v>
      </c>
      <c r="H240">
        <v>820954</v>
      </c>
      <c r="I240">
        <v>3191</v>
      </c>
      <c r="J240" s="5">
        <v>2619664214</v>
      </c>
      <c r="K240">
        <v>4</v>
      </c>
      <c r="L240">
        <v>5</v>
      </c>
      <c r="M240" t="s">
        <v>30</v>
      </c>
      <c r="N240">
        <v>2008</v>
      </c>
      <c r="O240">
        <v>2</v>
      </c>
      <c r="P240">
        <v>3</v>
      </c>
      <c r="Q240" t="s">
        <v>43</v>
      </c>
      <c r="R240" t="s">
        <v>670</v>
      </c>
      <c r="S240" t="s">
        <v>25</v>
      </c>
      <c r="T240" t="s">
        <v>671</v>
      </c>
    </row>
    <row r="241" spans="1:20" ht="16.5" x14ac:dyDescent="0.45">
      <c r="A241">
        <v>1240</v>
      </c>
      <c r="B241" t="s">
        <v>672</v>
      </c>
      <c r="C241" t="s">
        <v>51</v>
      </c>
      <c r="D241" t="s">
        <v>29</v>
      </c>
      <c r="E241">
        <v>770859</v>
      </c>
      <c r="F241" s="1">
        <v>45518</v>
      </c>
      <c r="G241" s="1"/>
      <c r="I241">
        <v>4566</v>
      </c>
      <c r="K241">
        <v>3</v>
      </c>
      <c r="L241">
        <v>4</v>
      </c>
      <c r="M241" t="s">
        <v>37</v>
      </c>
      <c r="N241">
        <v>2018</v>
      </c>
      <c r="O241">
        <v>7</v>
      </c>
      <c r="P241">
        <v>3</v>
      </c>
      <c r="Q241" t="s">
        <v>132</v>
      </c>
      <c r="R241" t="s">
        <v>673</v>
      </c>
      <c r="S241" t="s">
        <v>33</v>
      </c>
      <c r="T241" t="s">
        <v>674</v>
      </c>
    </row>
    <row r="242" spans="1:20" ht="16.5" x14ac:dyDescent="0.45">
      <c r="A242">
        <v>1241</v>
      </c>
      <c r="B242" t="s">
        <v>675</v>
      </c>
      <c r="C242" t="s">
        <v>28</v>
      </c>
      <c r="D242" t="s">
        <v>29</v>
      </c>
      <c r="E242">
        <v>766884</v>
      </c>
      <c r="F242" s="1">
        <v>45623</v>
      </c>
      <c r="G242" s="1"/>
      <c r="I242">
        <v>4897</v>
      </c>
      <c r="K242">
        <v>6</v>
      </c>
      <c r="L242">
        <v>4</v>
      </c>
      <c r="M242" t="s">
        <v>37</v>
      </c>
      <c r="N242">
        <v>2020</v>
      </c>
      <c r="O242">
        <v>5</v>
      </c>
      <c r="P242">
        <v>4</v>
      </c>
      <c r="Q242" t="s">
        <v>86</v>
      </c>
      <c r="R242" t="s">
        <v>676</v>
      </c>
      <c r="S242" t="s">
        <v>33</v>
      </c>
      <c r="T242" t="s">
        <v>128</v>
      </c>
    </row>
    <row r="243" spans="1:20" ht="16.5" x14ac:dyDescent="0.45">
      <c r="A243">
        <v>1242</v>
      </c>
      <c r="B243" t="s">
        <v>677</v>
      </c>
      <c r="C243" t="s">
        <v>28</v>
      </c>
      <c r="D243" t="s">
        <v>42</v>
      </c>
      <c r="E243">
        <v>419557</v>
      </c>
      <c r="F243" s="1">
        <v>45574</v>
      </c>
      <c r="G243" s="1"/>
      <c r="I243">
        <v>3646</v>
      </c>
      <c r="K243">
        <v>4</v>
      </c>
      <c r="L243">
        <v>5</v>
      </c>
      <c r="M243" t="s">
        <v>37</v>
      </c>
      <c r="N243">
        <v>2005</v>
      </c>
      <c r="O243">
        <v>9</v>
      </c>
      <c r="P243">
        <v>3</v>
      </c>
      <c r="Q243" t="s">
        <v>75</v>
      </c>
      <c r="R243" t="s">
        <v>678</v>
      </c>
      <c r="S243" t="s">
        <v>33</v>
      </c>
      <c r="T243" t="s">
        <v>91</v>
      </c>
    </row>
    <row r="244" spans="1:20" ht="16.5" x14ac:dyDescent="0.45">
      <c r="A244">
        <v>1243</v>
      </c>
      <c r="B244" t="s">
        <v>679</v>
      </c>
      <c r="C244" t="s">
        <v>28</v>
      </c>
      <c r="D244" t="s">
        <v>29</v>
      </c>
      <c r="E244">
        <v>487179</v>
      </c>
      <c r="F244" s="1">
        <v>45413</v>
      </c>
      <c r="G244" s="1">
        <v>45486</v>
      </c>
      <c r="H244">
        <v>502239</v>
      </c>
      <c r="I244">
        <v>3422</v>
      </c>
      <c r="J244" s="5">
        <v>1718661858</v>
      </c>
      <c r="K244">
        <v>6</v>
      </c>
      <c r="L244">
        <v>2</v>
      </c>
      <c r="M244" t="s">
        <v>37</v>
      </c>
      <c r="N244">
        <v>2021</v>
      </c>
      <c r="O244">
        <v>6</v>
      </c>
      <c r="P244">
        <v>2</v>
      </c>
      <c r="Q244" t="s">
        <v>38</v>
      </c>
      <c r="R244" t="s">
        <v>680</v>
      </c>
      <c r="S244" t="s">
        <v>25</v>
      </c>
      <c r="T244" t="s">
        <v>681</v>
      </c>
    </row>
    <row r="245" spans="1:20" ht="16.5" x14ac:dyDescent="0.45">
      <c r="A245">
        <v>1244</v>
      </c>
      <c r="B245" t="s">
        <v>682</v>
      </c>
      <c r="C245" t="s">
        <v>51</v>
      </c>
      <c r="D245" t="s">
        <v>42</v>
      </c>
      <c r="E245">
        <v>816983</v>
      </c>
      <c r="F245" s="1">
        <v>45490</v>
      </c>
      <c r="G245" s="1"/>
      <c r="I245">
        <v>3938</v>
      </c>
      <c r="K245">
        <v>5</v>
      </c>
      <c r="L245">
        <v>2</v>
      </c>
      <c r="M245" t="s">
        <v>22</v>
      </c>
      <c r="N245">
        <v>2003</v>
      </c>
      <c r="P245">
        <v>2</v>
      </c>
      <c r="Q245" t="s">
        <v>23</v>
      </c>
      <c r="R245" t="s">
        <v>683</v>
      </c>
      <c r="S245" t="s">
        <v>33</v>
      </c>
      <c r="T245" t="s">
        <v>684</v>
      </c>
    </row>
    <row r="246" spans="1:20" ht="16.5" x14ac:dyDescent="0.45">
      <c r="A246">
        <v>1245</v>
      </c>
      <c r="B246" t="s">
        <v>685</v>
      </c>
      <c r="C246" t="s">
        <v>20</v>
      </c>
      <c r="D246" t="s">
        <v>42</v>
      </c>
      <c r="E246">
        <v>635529</v>
      </c>
      <c r="F246" s="1">
        <v>45404</v>
      </c>
      <c r="G246" s="1">
        <v>45402</v>
      </c>
      <c r="H246">
        <v>678182</v>
      </c>
      <c r="I246">
        <v>2974</v>
      </c>
      <c r="J246" s="5">
        <v>2016913268</v>
      </c>
      <c r="K246">
        <v>6</v>
      </c>
      <c r="L246">
        <v>3</v>
      </c>
      <c r="M246" t="s">
        <v>37</v>
      </c>
      <c r="N246">
        <v>2002</v>
      </c>
      <c r="O246">
        <v>2</v>
      </c>
      <c r="P246">
        <v>4</v>
      </c>
      <c r="Q246" t="s">
        <v>38</v>
      </c>
      <c r="R246" t="s">
        <v>686</v>
      </c>
      <c r="S246" t="s">
        <v>25</v>
      </c>
      <c r="T246" t="s">
        <v>687</v>
      </c>
    </row>
    <row r="247" spans="1:20" ht="16.5" x14ac:dyDescent="0.45">
      <c r="A247">
        <v>1246</v>
      </c>
      <c r="B247" t="s">
        <v>688</v>
      </c>
      <c r="C247" t="s">
        <v>20</v>
      </c>
      <c r="D247" t="s">
        <v>21</v>
      </c>
      <c r="E247">
        <v>836728</v>
      </c>
      <c r="F247" s="1">
        <v>45608</v>
      </c>
      <c r="G247" s="1"/>
      <c r="I247">
        <v>1243</v>
      </c>
      <c r="K247">
        <v>3</v>
      </c>
      <c r="L247">
        <v>2</v>
      </c>
      <c r="M247" t="s">
        <v>22</v>
      </c>
      <c r="N247">
        <v>2000</v>
      </c>
      <c r="P247">
        <v>1</v>
      </c>
      <c r="Q247" t="s">
        <v>86</v>
      </c>
      <c r="R247" t="s">
        <v>689</v>
      </c>
      <c r="S247" t="s">
        <v>33</v>
      </c>
      <c r="T247" t="s">
        <v>460</v>
      </c>
    </row>
    <row r="248" spans="1:20" ht="16.5" x14ac:dyDescent="0.45">
      <c r="A248">
        <v>1247</v>
      </c>
      <c r="B248" t="s">
        <v>690</v>
      </c>
      <c r="C248" t="s">
        <v>47</v>
      </c>
      <c r="D248" t="s">
        <v>42</v>
      </c>
      <c r="E248">
        <v>591793</v>
      </c>
      <c r="F248" s="1">
        <v>45468</v>
      </c>
      <c r="G248" s="1">
        <v>45627</v>
      </c>
      <c r="H248">
        <v>610855</v>
      </c>
      <c r="I248">
        <v>3818</v>
      </c>
      <c r="J248" s="5">
        <v>2332244390</v>
      </c>
      <c r="K248">
        <v>6</v>
      </c>
      <c r="L248">
        <v>3</v>
      </c>
      <c r="M248" t="s">
        <v>37</v>
      </c>
      <c r="N248">
        <v>2012</v>
      </c>
      <c r="O248">
        <v>7</v>
      </c>
      <c r="P248">
        <v>1</v>
      </c>
      <c r="Q248" t="s">
        <v>93</v>
      </c>
      <c r="R248" t="s">
        <v>691</v>
      </c>
      <c r="S248" t="s">
        <v>25</v>
      </c>
      <c r="T248" t="s">
        <v>692</v>
      </c>
    </row>
    <row r="249" spans="1:20" ht="16.5" x14ac:dyDescent="0.45">
      <c r="A249">
        <v>1248</v>
      </c>
      <c r="B249" t="s">
        <v>693</v>
      </c>
      <c r="C249" t="s">
        <v>28</v>
      </c>
      <c r="D249" t="s">
        <v>29</v>
      </c>
      <c r="E249">
        <v>489321</v>
      </c>
      <c r="F249" s="1">
        <v>45486</v>
      </c>
      <c r="G249" s="1">
        <v>45523</v>
      </c>
      <c r="H249">
        <v>512087</v>
      </c>
      <c r="I249">
        <v>2147</v>
      </c>
      <c r="J249" s="5">
        <v>1099450789</v>
      </c>
      <c r="K249">
        <v>4</v>
      </c>
      <c r="L249">
        <v>2</v>
      </c>
      <c r="M249" t="s">
        <v>37</v>
      </c>
      <c r="N249">
        <v>2001</v>
      </c>
      <c r="O249">
        <v>6</v>
      </c>
      <c r="P249">
        <v>3</v>
      </c>
      <c r="Q249" t="s">
        <v>38</v>
      </c>
      <c r="R249" t="s">
        <v>694</v>
      </c>
      <c r="S249" t="s">
        <v>25</v>
      </c>
      <c r="T249" t="s">
        <v>695</v>
      </c>
    </row>
    <row r="250" spans="1:20" ht="16.5" x14ac:dyDescent="0.45">
      <c r="A250">
        <v>1249</v>
      </c>
      <c r="B250" t="s">
        <v>696</v>
      </c>
      <c r="C250" t="s">
        <v>36</v>
      </c>
      <c r="D250" t="s">
        <v>21</v>
      </c>
      <c r="E250">
        <v>597073</v>
      </c>
      <c r="F250" s="1">
        <v>45552</v>
      </c>
      <c r="G250" s="1">
        <v>45622</v>
      </c>
      <c r="H250">
        <v>639274</v>
      </c>
      <c r="I250">
        <v>1936</v>
      </c>
      <c r="J250" s="5">
        <v>1237634464</v>
      </c>
      <c r="K250">
        <v>3</v>
      </c>
      <c r="L250">
        <v>3</v>
      </c>
      <c r="M250" t="s">
        <v>30</v>
      </c>
      <c r="N250">
        <v>2012</v>
      </c>
      <c r="O250">
        <v>10</v>
      </c>
      <c r="P250">
        <v>1</v>
      </c>
      <c r="Q250" t="s">
        <v>132</v>
      </c>
      <c r="R250" t="s">
        <v>697</v>
      </c>
      <c r="S250" t="s">
        <v>25</v>
      </c>
      <c r="T250" t="s">
        <v>698</v>
      </c>
    </row>
    <row r="251" spans="1:20" ht="16.5" x14ac:dyDescent="0.45">
      <c r="A251">
        <v>1250</v>
      </c>
      <c r="B251" t="s">
        <v>699</v>
      </c>
      <c r="C251" t="s">
        <v>28</v>
      </c>
      <c r="D251" t="s">
        <v>29</v>
      </c>
      <c r="E251">
        <v>434897</v>
      </c>
      <c r="F251" s="1">
        <v>45438</v>
      </c>
      <c r="G251" s="1"/>
      <c r="I251">
        <v>1927</v>
      </c>
      <c r="K251">
        <v>2</v>
      </c>
      <c r="L251">
        <v>2</v>
      </c>
      <c r="M251" t="s">
        <v>22</v>
      </c>
      <c r="N251">
        <v>2001</v>
      </c>
      <c r="P251">
        <v>3</v>
      </c>
      <c r="Q251" t="s">
        <v>86</v>
      </c>
      <c r="R251" t="s">
        <v>700</v>
      </c>
      <c r="S251" t="s">
        <v>33</v>
      </c>
      <c r="T251" t="s">
        <v>701</v>
      </c>
    </row>
    <row r="252" spans="1:20" ht="16.5" x14ac:dyDescent="0.45">
      <c r="A252">
        <v>1251</v>
      </c>
      <c r="B252" t="s">
        <v>702</v>
      </c>
      <c r="C252" t="s">
        <v>36</v>
      </c>
      <c r="D252" t="s">
        <v>21</v>
      </c>
      <c r="E252">
        <v>568008</v>
      </c>
      <c r="F252" s="1">
        <v>45304</v>
      </c>
      <c r="G252" s="1"/>
      <c r="I252">
        <v>2481</v>
      </c>
      <c r="K252">
        <v>3</v>
      </c>
      <c r="L252">
        <v>3</v>
      </c>
      <c r="M252" t="s">
        <v>30</v>
      </c>
      <c r="N252">
        <v>2018</v>
      </c>
      <c r="O252">
        <v>1</v>
      </c>
      <c r="P252">
        <v>4</v>
      </c>
      <c r="Q252" t="s">
        <v>38</v>
      </c>
      <c r="R252" t="s">
        <v>703</v>
      </c>
      <c r="S252" t="s">
        <v>33</v>
      </c>
      <c r="T252" t="s">
        <v>704</v>
      </c>
    </row>
    <row r="253" spans="1:20" ht="16.5" x14ac:dyDescent="0.45">
      <c r="A253">
        <v>1252</v>
      </c>
      <c r="B253" t="s">
        <v>705</v>
      </c>
      <c r="C253" t="s">
        <v>28</v>
      </c>
      <c r="D253" t="s">
        <v>42</v>
      </c>
      <c r="E253">
        <v>562886</v>
      </c>
      <c r="F253" s="1">
        <v>45429</v>
      </c>
      <c r="G253" s="1">
        <v>45400</v>
      </c>
      <c r="H253">
        <v>573957</v>
      </c>
      <c r="I253">
        <v>1166</v>
      </c>
      <c r="J253" s="5">
        <v>669233862</v>
      </c>
      <c r="K253">
        <v>6</v>
      </c>
      <c r="L253">
        <v>4</v>
      </c>
      <c r="M253" t="s">
        <v>22</v>
      </c>
      <c r="N253">
        <v>2000</v>
      </c>
      <c r="P253">
        <v>3</v>
      </c>
      <c r="Q253" t="s">
        <v>75</v>
      </c>
      <c r="R253" t="s">
        <v>706</v>
      </c>
      <c r="S253" t="s">
        <v>25</v>
      </c>
      <c r="T253" t="s">
        <v>70</v>
      </c>
    </row>
    <row r="254" spans="1:20" ht="16.5" x14ac:dyDescent="0.45">
      <c r="A254">
        <v>1253</v>
      </c>
      <c r="B254" t="s">
        <v>707</v>
      </c>
      <c r="C254" t="s">
        <v>51</v>
      </c>
      <c r="D254" t="s">
        <v>42</v>
      </c>
      <c r="E254">
        <v>309869</v>
      </c>
      <c r="F254" s="1">
        <v>45416</v>
      </c>
      <c r="G254" s="1">
        <v>45391</v>
      </c>
      <c r="H254">
        <v>353534</v>
      </c>
      <c r="I254">
        <v>1075</v>
      </c>
      <c r="J254" s="5">
        <v>380049050</v>
      </c>
      <c r="K254">
        <v>5</v>
      </c>
      <c r="L254">
        <v>5</v>
      </c>
      <c r="M254" t="s">
        <v>37</v>
      </c>
      <c r="N254">
        <v>2019</v>
      </c>
      <c r="O254">
        <v>8</v>
      </c>
      <c r="P254">
        <v>4</v>
      </c>
      <c r="Q254" t="s">
        <v>38</v>
      </c>
      <c r="R254" t="s">
        <v>708</v>
      </c>
      <c r="S254" t="s">
        <v>25</v>
      </c>
      <c r="T254" t="s">
        <v>128</v>
      </c>
    </row>
    <row r="255" spans="1:20" ht="16.5" x14ac:dyDescent="0.45">
      <c r="A255">
        <v>1254</v>
      </c>
      <c r="B255" t="s">
        <v>709</v>
      </c>
      <c r="C255" t="s">
        <v>20</v>
      </c>
      <c r="D255" t="s">
        <v>21</v>
      </c>
      <c r="E255">
        <v>817975</v>
      </c>
      <c r="F255" s="1">
        <v>45280</v>
      </c>
      <c r="G255" s="1"/>
      <c r="I255">
        <v>2471</v>
      </c>
      <c r="K255">
        <v>5</v>
      </c>
      <c r="L255">
        <v>4</v>
      </c>
      <c r="M255" t="s">
        <v>30</v>
      </c>
      <c r="N255">
        <v>2007</v>
      </c>
      <c r="O255">
        <v>10</v>
      </c>
      <c r="P255">
        <v>4</v>
      </c>
      <c r="Q255" t="s">
        <v>43</v>
      </c>
      <c r="R255" t="s">
        <v>710</v>
      </c>
      <c r="S255" t="s">
        <v>33</v>
      </c>
      <c r="T255" t="s">
        <v>70</v>
      </c>
    </row>
    <row r="256" spans="1:20" ht="16.5" x14ac:dyDescent="0.45">
      <c r="A256">
        <v>1255</v>
      </c>
      <c r="B256" t="s">
        <v>711</v>
      </c>
      <c r="C256" t="s">
        <v>47</v>
      </c>
      <c r="D256" t="s">
        <v>21</v>
      </c>
      <c r="E256">
        <v>378118</v>
      </c>
      <c r="F256" s="1">
        <v>45387</v>
      </c>
      <c r="G256" s="1"/>
      <c r="I256">
        <v>2583</v>
      </c>
      <c r="K256">
        <v>5</v>
      </c>
      <c r="L256">
        <v>5</v>
      </c>
      <c r="M256" t="s">
        <v>62</v>
      </c>
      <c r="N256">
        <v>2016</v>
      </c>
      <c r="O256">
        <v>8</v>
      </c>
      <c r="P256">
        <v>3</v>
      </c>
      <c r="Q256" t="s">
        <v>93</v>
      </c>
      <c r="R256" t="s">
        <v>712</v>
      </c>
      <c r="S256" t="s">
        <v>33</v>
      </c>
      <c r="T256" t="s">
        <v>91</v>
      </c>
    </row>
    <row r="257" spans="1:20" ht="16.5" x14ac:dyDescent="0.45">
      <c r="A257">
        <v>1256</v>
      </c>
      <c r="B257" t="s">
        <v>713</v>
      </c>
      <c r="C257" t="s">
        <v>47</v>
      </c>
      <c r="D257" t="s">
        <v>21</v>
      </c>
      <c r="E257">
        <v>300748</v>
      </c>
      <c r="F257" s="1">
        <v>45486</v>
      </c>
      <c r="G257" s="1"/>
      <c r="I257">
        <v>3459</v>
      </c>
      <c r="K257">
        <v>6</v>
      </c>
      <c r="L257">
        <v>3</v>
      </c>
      <c r="M257" t="s">
        <v>22</v>
      </c>
      <c r="N257">
        <v>2023</v>
      </c>
      <c r="P257">
        <v>4</v>
      </c>
      <c r="Q257" t="s">
        <v>58</v>
      </c>
      <c r="R257" t="s">
        <v>714</v>
      </c>
      <c r="S257" t="s">
        <v>33</v>
      </c>
      <c r="T257" t="s">
        <v>287</v>
      </c>
    </row>
    <row r="258" spans="1:20" ht="16.5" x14ac:dyDescent="0.45">
      <c r="A258">
        <v>1257</v>
      </c>
      <c r="B258" t="s">
        <v>715</v>
      </c>
      <c r="C258" t="s">
        <v>36</v>
      </c>
      <c r="D258" t="s">
        <v>42</v>
      </c>
      <c r="E258">
        <v>414379</v>
      </c>
      <c r="F258" s="1">
        <v>45616</v>
      </c>
      <c r="G258" s="1">
        <v>45521</v>
      </c>
      <c r="H258">
        <v>457142</v>
      </c>
      <c r="I258">
        <v>2783</v>
      </c>
      <c r="J258" s="5">
        <v>1272226186</v>
      </c>
      <c r="K258">
        <v>3</v>
      </c>
      <c r="L258">
        <v>4</v>
      </c>
      <c r="M258" t="s">
        <v>22</v>
      </c>
      <c r="N258">
        <v>2019</v>
      </c>
      <c r="P258">
        <v>1</v>
      </c>
      <c r="Q258" t="s">
        <v>23</v>
      </c>
      <c r="R258" t="s">
        <v>294</v>
      </c>
      <c r="S258" t="s">
        <v>25</v>
      </c>
      <c r="T258" t="s">
        <v>180</v>
      </c>
    </row>
    <row r="259" spans="1:20" ht="16.5" x14ac:dyDescent="0.45">
      <c r="A259">
        <v>1258</v>
      </c>
      <c r="B259" t="s">
        <v>716</v>
      </c>
      <c r="C259" t="s">
        <v>28</v>
      </c>
      <c r="D259" t="s">
        <v>42</v>
      </c>
      <c r="E259">
        <v>898701</v>
      </c>
      <c r="F259" s="1">
        <v>45433</v>
      </c>
      <c r="G259" s="1">
        <v>45479</v>
      </c>
      <c r="H259">
        <v>948533</v>
      </c>
      <c r="I259">
        <v>2503</v>
      </c>
      <c r="J259" s="5">
        <v>2374178099</v>
      </c>
      <c r="K259">
        <v>6</v>
      </c>
      <c r="L259">
        <v>5</v>
      </c>
      <c r="M259" t="s">
        <v>22</v>
      </c>
      <c r="N259">
        <v>2001</v>
      </c>
      <c r="P259">
        <v>1</v>
      </c>
      <c r="Q259" t="s">
        <v>93</v>
      </c>
      <c r="R259" t="s">
        <v>717</v>
      </c>
      <c r="S259" t="s">
        <v>25</v>
      </c>
      <c r="T259" t="s">
        <v>718</v>
      </c>
    </row>
    <row r="260" spans="1:20" ht="16.5" x14ac:dyDescent="0.45">
      <c r="A260">
        <v>1259</v>
      </c>
      <c r="B260" t="s">
        <v>719</v>
      </c>
      <c r="C260" t="s">
        <v>28</v>
      </c>
      <c r="D260" t="s">
        <v>42</v>
      </c>
      <c r="E260">
        <v>613313</v>
      </c>
      <c r="F260" s="1">
        <v>45622</v>
      </c>
      <c r="G260" s="1">
        <v>45608</v>
      </c>
      <c r="H260">
        <v>635645</v>
      </c>
      <c r="I260">
        <v>1169</v>
      </c>
      <c r="J260" s="5">
        <v>743069005</v>
      </c>
      <c r="K260">
        <v>5</v>
      </c>
      <c r="L260">
        <v>2</v>
      </c>
      <c r="M260" t="s">
        <v>62</v>
      </c>
      <c r="N260">
        <v>2012</v>
      </c>
      <c r="O260">
        <v>8</v>
      </c>
      <c r="P260">
        <v>2</v>
      </c>
      <c r="Q260" t="s">
        <v>162</v>
      </c>
      <c r="R260" t="s">
        <v>720</v>
      </c>
      <c r="S260" t="s">
        <v>25</v>
      </c>
      <c r="T260" t="s">
        <v>91</v>
      </c>
    </row>
    <row r="261" spans="1:20" ht="16.5" x14ac:dyDescent="0.45">
      <c r="A261">
        <v>1260</v>
      </c>
      <c r="B261" t="s">
        <v>721</v>
      </c>
      <c r="C261" t="s">
        <v>47</v>
      </c>
      <c r="D261" t="s">
        <v>21</v>
      </c>
      <c r="E261">
        <v>866625</v>
      </c>
      <c r="F261" s="1">
        <v>45368</v>
      </c>
      <c r="G261" s="1"/>
      <c r="I261">
        <v>3537</v>
      </c>
      <c r="K261">
        <v>5</v>
      </c>
      <c r="L261">
        <v>2</v>
      </c>
      <c r="M261" t="s">
        <v>22</v>
      </c>
      <c r="N261">
        <v>2018</v>
      </c>
      <c r="P261">
        <v>4</v>
      </c>
      <c r="Q261" t="s">
        <v>162</v>
      </c>
      <c r="R261" t="s">
        <v>722</v>
      </c>
      <c r="S261" t="s">
        <v>33</v>
      </c>
      <c r="T261" t="s">
        <v>723</v>
      </c>
    </row>
    <row r="262" spans="1:20" ht="16.5" x14ac:dyDescent="0.45">
      <c r="A262">
        <v>1261</v>
      </c>
      <c r="B262" t="s">
        <v>724</v>
      </c>
      <c r="C262" t="s">
        <v>51</v>
      </c>
      <c r="D262" t="s">
        <v>29</v>
      </c>
      <c r="E262">
        <v>450290</v>
      </c>
      <c r="F262" s="1">
        <v>45536</v>
      </c>
      <c r="G262" s="1">
        <v>45311</v>
      </c>
      <c r="H262">
        <v>496385</v>
      </c>
      <c r="I262">
        <v>4589</v>
      </c>
      <c r="J262" s="5">
        <v>2277910765</v>
      </c>
      <c r="K262">
        <v>3</v>
      </c>
      <c r="L262">
        <v>2</v>
      </c>
      <c r="M262" t="s">
        <v>30</v>
      </c>
      <c r="N262">
        <v>2000</v>
      </c>
      <c r="O262">
        <v>9</v>
      </c>
      <c r="P262">
        <v>2</v>
      </c>
      <c r="Q262" t="s">
        <v>93</v>
      </c>
      <c r="R262" t="s">
        <v>725</v>
      </c>
      <c r="S262" t="s">
        <v>25</v>
      </c>
      <c r="T262" t="s">
        <v>726</v>
      </c>
    </row>
    <row r="263" spans="1:20" ht="16.5" x14ac:dyDescent="0.45">
      <c r="A263">
        <v>1262</v>
      </c>
      <c r="B263" t="s">
        <v>727</v>
      </c>
      <c r="C263" t="s">
        <v>20</v>
      </c>
      <c r="D263" t="s">
        <v>21</v>
      </c>
      <c r="E263">
        <v>480095</v>
      </c>
      <c r="F263" s="1">
        <v>45315</v>
      </c>
      <c r="G263" s="1">
        <v>45511</v>
      </c>
      <c r="H263">
        <v>506842</v>
      </c>
      <c r="I263">
        <v>2021</v>
      </c>
      <c r="J263" s="5">
        <v>1024327682</v>
      </c>
      <c r="K263">
        <v>4</v>
      </c>
      <c r="L263">
        <v>5</v>
      </c>
      <c r="M263" t="s">
        <v>62</v>
      </c>
      <c r="N263">
        <v>2014</v>
      </c>
      <c r="O263">
        <v>3</v>
      </c>
      <c r="P263">
        <v>3</v>
      </c>
      <c r="Q263" t="s">
        <v>58</v>
      </c>
      <c r="R263" t="s">
        <v>728</v>
      </c>
      <c r="S263" t="s">
        <v>25</v>
      </c>
      <c r="T263" t="s">
        <v>91</v>
      </c>
    </row>
    <row r="264" spans="1:20" ht="16.5" x14ac:dyDescent="0.45">
      <c r="A264">
        <v>1263</v>
      </c>
      <c r="B264" t="s">
        <v>729</v>
      </c>
      <c r="C264" t="s">
        <v>20</v>
      </c>
      <c r="D264" t="s">
        <v>42</v>
      </c>
      <c r="E264">
        <v>459196</v>
      </c>
      <c r="F264" s="1">
        <v>45435</v>
      </c>
      <c r="G264" s="1">
        <v>45408</v>
      </c>
      <c r="H264">
        <v>487299</v>
      </c>
      <c r="I264">
        <v>3839</v>
      </c>
      <c r="J264" s="5">
        <v>1870740861</v>
      </c>
      <c r="K264">
        <v>4</v>
      </c>
      <c r="L264">
        <v>3</v>
      </c>
      <c r="M264" t="s">
        <v>22</v>
      </c>
      <c r="N264">
        <v>2014</v>
      </c>
      <c r="P264">
        <v>2</v>
      </c>
      <c r="Q264" t="s">
        <v>93</v>
      </c>
      <c r="R264" t="s">
        <v>730</v>
      </c>
      <c r="S264" t="s">
        <v>25</v>
      </c>
      <c r="T264" t="s">
        <v>344</v>
      </c>
    </row>
    <row r="265" spans="1:20" ht="16.5" x14ac:dyDescent="0.45">
      <c r="A265">
        <v>1264</v>
      </c>
      <c r="B265" t="s">
        <v>731</v>
      </c>
      <c r="C265" t="s">
        <v>20</v>
      </c>
      <c r="D265" t="s">
        <v>29</v>
      </c>
      <c r="E265">
        <v>561885</v>
      </c>
      <c r="F265" s="1">
        <v>45419</v>
      </c>
      <c r="G265" s="1"/>
      <c r="I265">
        <v>4944</v>
      </c>
      <c r="K265">
        <v>2</v>
      </c>
      <c r="L265">
        <v>2</v>
      </c>
      <c r="M265" t="s">
        <v>62</v>
      </c>
      <c r="N265">
        <v>2016</v>
      </c>
      <c r="O265">
        <v>6</v>
      </c>
      <c r="P265">
        <v>2</v>
      </c>
      <c r="Q265" t="s">
        <v>162</v>
      </c>
      <c r="R265" t="s">
        <v>732</v>
      </c>
      <c r="S265" t="s">
        <v>33</v>
      </c>
      <c r="T265" t="s">
        <v>726</v>
      </c>
    </row>
    <row r="266" spans="1:20" ht="16.5" x14ac:dyDescent="0.45">
      <c r="A266">
        <v>1265</v>
      </c>
      <c r="B266" t="s">
        <v>733</v>
      </c>
      <c r="C266" t="s">
        <v>36</v>
      </c>
      <c r="D266" t="s">
        <v>21</v>
      </c>
      <c r="E266">
        <v>961129</v>
      </c>
      <c r="F266" s="1">
        <v>45535</v>
      </c>
      <c r="G266" s="1"/>
      <c r="I266">
        <v>2919</v>
      </c>
      <c r="K266">
        <v>5</v>
      </c>
      <c r="L266">
        <v>5</v>
      </c>
      <c r="M266" t="s">
        <v>22</v>
      </c>
      <c r="N266">
        <v>2020</v>
      </c>
      <c r="P266">
        <v>2</v>
      </c>
      <c r="Q266" t="s">
        <v>38</v>
      </c>
      <c r="R266" t="s">
        <v>734</v>
      </c>
      <c r="S266" t="s">
        <v>33</v>
      </c>
      <c r="T266" t="s">
        <v>735</v>
      </c>
    </row>
    <row r="267" spans="1:20" ht="16.5" x14ac:dyDescent="0.45">
      <c r="A267">
        <v>1266</v>
      </c>
      <c r="B267" t="s">
        <v>736</v>
      </c>
      <c r="C267" t="s">
        <v>47</v>
      </c>
      <c r="D267" t="s">
        <v>29</v>
      </c>
      <c r="E267">
        <v>785049</v>
      </c>
      <c r="F267" s="1">
        <v>45607</v>
      </c>
      <c r="G267" s="1">
        <v>45642</v>
      </c>
      <c r="H267">
        <v>811413</v>
      </c>
      <c r="I267">
        <v>2937</v>
      </c>
      <c r="J267" s="5">
        <v>2383119981</v>
      </c>
      <c r="K267">
        <v>2</v>
      </c>
      <c r="L267">
        <v>3</v>
      </c>
      <c r="M267" t="s">
        <v>62</v>
      </c>
      <c r="N267">
        <v>2008</v>
      </c>
      <c r="O267">
        <v>3</v>
      </c>
      <c r="P267">
        <v>4</v>
      </c>
      <c r="Q267" t="s">
        <v>132</v>
      </c>
      <c r="R267" t="s">
        <v>737</v>
      </c>
      <c r="S267" t="s">
        <v>25</v>
      </c>
      <c r="T267" t="s">
        <v>453</v>
      </c>
    </row>
    <row r="268" spans="1:20" ht="16.5" x14ac:dyDescent="0.45">
      <c r="A268">
        <v>1267</v>
      </c>
      <c r="B268" t="s">
        <v>738</v>
      </c>
      <c r="C268" t="s">
        <v>36</v>
      </c>
      <c r="D268" t="s">
        <v>21</v>
      </c>
      <c r="E268">
        <v>485996</v>
      </c>
      <c r="F268" s="1">
        <v>45449</v>
      </c>
      <c r="G268" s="1">
        <v>45460</v>
      </c>
      <c r="H268">
        <v>502648</v>
      </c>
      <c r="I268">
        <v>1414</v>
      </c>
      <c r="J268" s="5">
        <v>710744272</v>
      </c>
      <c r="K268">
        <v>5</v>
      </c>
      <c r="L268">
        <v>4</v>
      </c>
      <c r="M268" t="s">
        <v>22</v>
      </c>
      <c r="N268">
        <v>2013</v>
      </c>
      <c r="P268">
        <v>2</v>
      </c>
      <c r="Q268" t="s">
        <v>86</v>
      </c>
      <c r="R268" t="s">
        <v>739</v>
      </c>
      <c r="S268" t="s">
        <v>25</v>
      </c>
      <c r="T268" t="s">
        <v>497</v>
      </c>
    </row>
    <row r="269" spans="1:20" ht="16.5" x14ac:dyDescent="0.45">
      <c r="A269">
        <v>1268</v>
      </c>
      <c r="B269" t="s">
        <v>740</v>
      </c>
      <c r="C269" t="s">
        <v>47</v>
      </c>
      <c r="D269" t="s">
        <v>42</v>
      </c>
      <c r="E269">
        <v>924296</v>
      </c>
      <c r="F269" s="1">
        <v>45511</v>
      </c>
      <c r="G269" s="1">
        <v>45524</v>
      </c>
      <c r="H269">
        <v>936823</v>
      </c>
      <c r="I269">
        <v>4824</v>
      </c>
      <c r="J269" s="5">
        <v>4519234152</v>
      </c>
      <c r="K269">
        <v>2</v>
      </c>
      <c r="L269">
        <v>3</v>
      </c>
      <c r="M269" t="s">
        <v>22</v>
      </c>
      <c r="N269">
        <v>2012</v>
      </c>
      <c r="P269">
        <v>2</v>
      </c>
      <c r="Q269" t="s">
        <v>86</v>
      </c>
      <c r="R269" t="s">
        <v>741</v>
      </c>
      <c r="S269" t="s">
        <v>25</v>
      </c>
      <c r="T269" t="s">
        <v>137</v>
      </c>
    </row>
    <row r="270" spans="1:20" ht="16.5" x14ac:dyDescent="0.45">
      <c r="A270">
        <v>1269</v>
      </c>
      <c r="B270" t="s">
        <v>742</v>
      </c>
      <c r="C270" t="s">
        <v>47</v>
      </c>
      <c r="D270" t="s">
        <v>42</v>
      </c>
      <c r="E270">
        <v>443711</v>
      </c>
      <c r="F270" s="1">
        <v>45401</v>
      </c>
      <c r="G270" s="1">
        <v>45587</v>
      </c>
      <c r="H270">
        <v>456217</v>
      </c>
      <c r="I270">
        <v>4468</v>
      </c>
      <c r="J270" s="5">
        <v>2038377556</v>
      </c>
      <c r="K270">
        <v>2</v>
      </c>
      <c r="L270">
        <v>3</v>
      </c>
      <c r="M270" t="s">
        <v>22</v>
      </c>
      <c r="N270">
        <v>2019</v>
      </c>
      <c r="P270">
        <v>1</v>
      </c>
      <c r="Q270" t="s">
        <v>75</v>
      </c>
      <c r="R270" t="s">
        <v>743</v>
      </c>
      <c r="S270" t="s">
        <v>25</v>
      </c>
      <c r="T270" t="s">
        <v>744</v>
      </c>
    </row>
    <row r="271" spans="1:20" ht="16.5" x14ac:dyDescent="0.45">
      <c r="A271">
        <v>1270</v>
      </c>
      <c r="B271" t="s">
        <v>745</v>
      </c>
      <c r="C271" t="s">
        <v>28</v>
      </c>
      <c r="D271" t="s">
        <v>21</v>
      </c>
      <c r="E271">
        <v>446468</v>
      </c>
      <c r="F271" s="1">
        <v>45614</v>
      </c>
      <c r="G271" s="1">
        <v>45444</v>
      </c>
      <c r="H271">
        <v>489050</v>
      </c>
      <c r="I271">
        <v>4242</v>
      </c>
      <c r="J271" s="5">
        <v>2074550100</v>
      </c>
      <c r="K271">
        <v>5</v>
      </c>
      <c r="L271">
        <v>3</v>
      </c>
      <c r="M271" t="s">
        <v>37</v>
      </c>
      <c r="N271">
        <v>2022</v>
      </c>
      <c r="O271">
        <v>3</v>
      </c>
      <c r="P271">
        <v>2</v>
      </c>
      <c r="Q271" t="s">
        <v>93</v>
      </c>
      <c r="R271" t="s">
        <v>746</v>
      </c>
      <c r="S271" t="s">
        <v>25</v>
      </c>
      <c r="T271" t="s">
        <v>747</v>
      </c>
    </row>
    <row r="272" spans="1:20" ht="16.5" x14ac:dyDescent="0.45">
      <c r="A272">
        <v>1271</v>
      </c>
      <c r="B272" t="s">
        <v>748</v>
      </c>
      <c r="C272" t="s">
        <v>47</v>
      </c>
      <c r="D272" t="s">
        <v>29</v>
      </c>
      <c r="E272">
        <v>556577</v>
      </c>
      <c r="F272" s="1">
        <v>45595</v>
      </c>
      <c r="G272" s="1"/>
      <c r="I272">
        <v>1413</v>
      </c>
      <c r="K272">
        <v>6</v>
      </c>
      <c r="L272">
        <v>2</v>
      </c>
      <c r="M272" t="s">
        <v>22</v>
      </c>
      <c r="N272">
        <v>2001</v>
      </c>
      <c r="P272">
        <v>2</v>
      </c>
      <c r="Q272" t="s">
        <v>162</v>
      </c>
      <c r="R272" t="s">
        <v>749</v>
      </c>
      <c r="S272" t="s">
        <v>33</v>
      </c>
      <c r="T272" t="s">
        <v>183</v>
      </c>
    </row>
    <row r="273" spans="1:20" ht="16.5" x14ac:dyDescent="0.45">
      <c r="A273">
        <v>1272</v>
      </c>
      <c r="B273" t="s">
        <v>750</v>
      </c>
      <c r="C273" t="s">
        <v>47</v>
      </c>
      <c r="D273" t="s">
        <v>29</v>
      </c>
      <c r="E273">
        <v>377319</v>
      </c>
      <c r="F273" s="1">
        <v>45637</v>
      </c>
      <c r="G273" s="1"/>
      <c r="I273">
        <v>4194</v>
      </c>
      <c r="K273">
        <v>2</v>
      </c>
      <c r="L273">
        <v>3</v>
      </c>
      <c r="M273" t="s">
        <v>62</v>
      </c>
      <c r="N273">
        <v>2010</v>
      </c>
      <c r="O273">
        <v>3</v>
      </c>
      <c r="P273">
        <v>1</v>
      </c>
      <c r="Q273" t="s">
        <v>132</v>
      </c>
      <c r="R273" t="s">
        <v>751</v>
      </c>
      <c r="S273" t="s">
        <v>33</v>
      </c>
      <c r="T273" t="s">
        <v>752</v>
      </c>
    </row>
    <row r="274" spans="1:20" ht="16.5" x14ac:dyDescent="0.45">
      <c r="A274">
        <v>1273</v>
      </c>
      <c r="B274" t="s">
        <v>753</v>
      </c>
      <c r="C274" t="s">
        <v>36</v>
      </c>
      <c r="D274" t="s">
        <v>29</v>
      </c>
      <c r="E274">
        <v>501203</v>
      </c>
      <c r="F274" s="1">
        <v>45515</v>
      </c>
      <c r="G274" s="1"/>
      <c r="I274">
        <v>2310</v>
      </c>
      <c r="K274">
        <v>6</v>
      </c>
      <c r="L274">
        <v>4</v>
      </c>
      <c r="M274" t="s">
        <v>62</v>
      </c>
      <c r="N274">
        <v>2001</v>
      </c>
      <c r="O274">
        <v>3</v>
      </c>
      <c r="P274">
        <v>1</v>
      </c>
      <c r="Q274" t="s">
        <v>75</v>
      </c>
      <c r="R274" t="s">
        <v>754</v>
      </c>
      <c r="S274" t="s">
        <v>33</v>
      </c>
      <c r="T274" t="s">
        <v>183</v>
      </c>
    </row>
    <row r="275" spans="1:20" ht="16.5" x14ac:dyDescent="0.45">
      <c r="A275">
        <v>1274</v>
      </c>
      <c r="B275" t="s">
        <v>755</v>
      </c>
      <c r="C275" t="s">
        <v>28</v>
      </c>
      <c r="D275" t="s">
        <v>21</v>
      </c>
      <c r="E275">
        <v>773285</v>
      </c>
      <c r="F275" s="1">
        <v>45324</v>
      </c>
      <c r="G275" s="1"/>
      <c r="I275">
        <v>4648</v>
      </c>
      <c r="K275">
        <v>3</v>
      </c>
      <c r="L275">
        <v>2</v>
      </c>
      <c r="M275" t="s">
        <v>37</v>
      </c>
      <c r="N275">
        <v>2002</v>
      </c>
      <c r="O275">
        <v>1</v>
      </c>
      <c r="P275">
        <v>2</v>
      </c>
      <c r="Q275" t="s">
        <v>43</v>
      </c>
      <c r="R275" t="s">
        <v>756</v>
      </c>
      <c r="S275" t="s">
        <v>33</v>
      </c>
      <c r="T275" t="s">
        <v>757</v>
      </c>
    </row>
    <row r="276" spans="1:20" ht="16.5" x14ac:dyDescent="0.45">
      <c r="A276">
        <v>1275</v>
      </c>
      <c r="B276" t="s">
        <v>758</v>
      </c>
      <c r="C276" t="s">
        <v>20</v>
      </c>
      <c r="D276" t="s">
        <v>21</v>
      </c>
      <c r="E276">
        <v>961766</v>
      </c>
      <c r="F276" s="1">
        <v>45358</v>
      </c>
      <c r="G276" s="1">
        <v>45505</v>
      </c>
      <c r="H276">
        <v>1007879</v>
      </c>
      <c r="I276">
        <v>3426</v>
      </c>
      <c r="J276" s="5">
        <v>3452993454</v>
      </c>
      <c r="K276">
        <v>3</v>
      </c>
      <c r="L276">
        <v>5</v>
      </c>
      <c r="M276" t="s">
        <v>22</v>
      </c>
      <c r="N276">
        <v>2011</v>
      </c>
      <c r="P276">
        <v>3</v>
      </c>
      <c r="Q276" t="s">
        <v>58</v>
      </c>
      <c r="R276" t="s">
        <v>759</v>
      </c>
      <c r="S276" t="s">
        <v>25</v>
      </c>
      <c r="T276" t="s">
        <v>375</v>
      </c>
    </row>
    <row r="277" spans="1:20" ht="16.5" x14ac:dyDescent="0.45">
      <c r="A277">
        <v>1276</v>
      </c>
      <c r="B277" t="s">
        <v>760</v>
      </c>
      <c r="C277" t="s">
        <v>47</v>
      </c>
      <c r="D277" t="s">
        <v>42</v>
      </c>
      <c r="E277">
        <v>533082</v>
      </c>
      <c r="F277" s="1">
        <v>45592</v>
      </c>
      <c r="G277" s="1">
        <v>45281</v>
      </c>
      <c r="H277">
        <v>554048</v>
      </c>
      <c r="I277">
        <v>4123</v>
      </c>
      <c r="J277" s="5">
        <v>2284339904</v>
      </c>
      <c r="K277">
        <v>3</v>
      </c>
      <c r="L277">
        <v>3</v>
      </c>
      <c r="M277" t="s">
        <v>37</v>
      </c>
      <c r="N277">
        <v>2013</v>
      </c>
      <c r="O277">
        <v>5</v>
      </c>
      <c r="P277">
        <v>3</v>
      </c>
      <c r="Q277" t="s">
        <v>75</v>
      </c>
      <c r="R277" t="s">
        <v>761</v>
      </c>
      <c r="S277" t="s">
        <v>25</v>
      </c>
      <c r="T277" t="s">
        <v>278</v>
      </c>
    </row>
    <row r="278" spans="1:20" ht="16.5" x14ac:dyDescent="0.45">
      <c r="A278">
        <v>1277</v>
      </c>
      <c r="B278" t="s">
        <v>762</v>
      </c>
      <c r="C278" t="s">
        <v>28</v>
      </c>
      <c r="D278" t="s">
        <v>21</v>
      </c>
      <c r="E278">
        <v>518573</v>
      </c>
      <c r="F278" s="1">
        <v>45434</v>
      </c>
      <c r="G278" s="1"/>
      <c r="I278">
        <v>3242</v>
      </c>
      <c r="K278">
        <v>3</v>
      </c>
      <c r="L278">
        <v>3</v>
      </c>
      <c r="M278" t="s">
        <v>62</v>
      </c>
      <c r="N278">
        <v>2021</v>
      </c>
      <c r="O278">
        <v>10</v>
      </c>
      <c r="P278">
        <v>1</v>
      </c>
      <c r="Q278" t="s">
        <v>93</v>
      </c>
      <c r="R278" t="s">
        <v>763</v>
      </c>
      <c r="S278" t="s">
        <v>33</v>
      </c>
      <c r="T278" t="s">
        <v>764</v>
      </c>
    </row>
    <row r="279" spans="1:20" ht="16.5" x14ac:dyDescent="0.45">
      <c r="A279">
        <v>1278</v>
      </c>
      <c r="B279" t="s">
        <v>765</v>
      </c>
      <c r="C279" t="s">
        <v>36</v>
      </c>
      <c r="D279" t="s">
        <v>42</v>
      </c>
      <c r="E279">
        <v>514201</v>
      </c>
      <c r="F279" s="1">
        <v>45570</v>
      </c>
      <c r="G279" s="1">
        <v>45359</v>
      </c>
      <c r="H279">
        <v>545231</v>
      </c>
      <c r="I279">
        <v>1960</v>
      </c>
      <c r="J279" s="5">
        <v>1068652760</v>
      </c>
      <c r="K279">
        <v>6</v>
      </c>
      <c r="L279">
        <v>4</v>
      </c>
      <c r="M279" t="s">
        <v>22</v>
      </c>
      <c r="N279">
        <v>2020</v>
      </c>
      <c r="P279">
        <v>2</v>
      </c>
      <c r="Q279" t="s">
        <v>93</v>
      </c>
      <c r="R279" t="s">
        <v>766</v>
      </c>
      <c r="S279" t="s">
        <v>25</v>
      </c>
      <c r="T279" t="s">
        <v>128</v>
      </c>
    </row>
    <row r="280" spans="1:20" ht="16.5" x14ac:dyDescent="0.45">
      <c r="A280">
        <v>1279</v>
      </c>
      <c r="B280" t="s">
        <v>767</v>
      </c>
      <c r="C280" t="s">
        <v>36</v>
      </c>
      <c r="D280" t="s">
        <v>42</v>
      </c>
      <c r="E280">
        <v>557485</v>
      </c>
      <c r="F280" s="1">
        <v>45507</v>
      </c>
      <c r="G280" s="1"/>
      <c r="I280">
        <v>2841</v>
      </c>
      <c r="K280">
        <v>4</v>
      </c>
      <c r="L280">
        <v>4</v>
      </c>
      <c r="M280" t="s">
        <v>30</v>
      </c>
      <c r="N280">
        <v>2001</v>
      </c>
      <c r="O280">
        <v>4</v>
      </c>
      <c r="P280">
        <v>3</v>
      </c>
      <c r="Q280" t="s">
        <v>93</v>
      </c>
      <c r="R280" t="s">
        <v>768</v>
      </c>
      <c r="S280" t="s">
        <v>33</v>
      </c>
      <c r="T280" t="s">
        <v>180</v>
      </c>
    </row>
    <row r="281" spans="1:20" ht="16.5" x14ac:dyDescent="0.45">
      <c r="A281">
        <v>1280</v>
      </c>
      <c r="B281" t="s">
        <v>769</v>
      </c>
      <c r="C281" t="s">
        <v>20</v>
      </c>
      <c r="D281" t="s">
        <v>21</v>
      </c>
      <c r="E281">
        <v>490045</v>
      </c>
      <c r="F281" s="1">
        <v>45399</v>
      </c>
      <c r="G281" s="1">
        <v>45495</v>
      </c>
      <c r="H281">
        <v>530862</v>
      </c>
      <c r="I281">
        <v>3182</v>
      </c>
      <c r="J281" s="5">
        <v>1689202884</v>
      </c>
      <c r="K281">
        <v>4</v>
      </c>
      <c r="L281">
        <v>4</v>
      </c>
      <c r="M281" t="s">
        <v>30</v>
      </c>
      <c r="N281">
        <v>2009</v>
      </c>
      <c r="O281">
        <v>4</v>
      </c>
      <c r="P281">
        <v>1</v>
      </c>
      <c r="Q281" t="s">
        <v>162</v>
      </c>
      <c r="R281" t="s">
        <v>770</v>
      </c>
      <c r="S281" t="s">
        <v>25</v>
      </c>
      <c r="T281" t="s">
        <v>595</v>
      </c>
    </row>
    <row r="282" spans="1:20" ht="16.5" x14ac:dyDescent="0.45">
      <c r="A282">
        <v>1281</v>
      </c>
      <c r="B282" t="s">
        <v>771</v>
      </c>
      <c r="C282" t="s">
        <v>20</v>
      </c>
      <c r="D282" t="s">
        <v>21</v>
      </c>
      <c r="E282">
        <v>320225</v>
      </c>
      <c r="F282" s="1">
        <v>45619</v>
      </c>
      <c r="G282" s="1">
        <v>45434</v>
      </c>
      <c r="H282">
        <v>344944</v>
      </c>
      <c r="I282">
        <v>3544</v>
      </c>
      <c r="J282" s="5">
        <v>1222481536</v>
      </c>
      <c r="K282">
        <v>5</v>
      </c>
      <c r="L282">
        <v>2</v>
      </c>
      <c r="M282" t="s">
        <v>37</v>
      </c>
      <c r="N282">
        <v>2009</v>
      </c>
      <c r="O282">
        <v>6</v>
      </c>
      <c r="P282">
        <v>2</v>
      </c>
      <c r="Q282" t="s">
        <v>58</v>
      </c>
      <c r="R282" t="s">
        <v>772</v>
      </c>
      <c r="S282" t="s">
        <v>25</v>
      </c>
      <c r="T282" t="s">
        <v>183</v>
      </c>
    </row>
    <row r="283" spans="1:20" ht="16.5" x14ac:dyDescent="0.45">
      <c r="A283">
        <v>1282</v>
      </c>
      <c r="B283" t="s">
        <v>773</v>
      </c>
      <c r="C283" t="s">
        <v>20</v>
      </c>
      <c r="D283" t="s">
        <v>42</v>
      </c>
      <c r="E283">
        <v>988741</v>
      </c>
      <c r="F283" s="1">
        <v>45371</v>
      </c>
      <c r="G283" s="1"/>
      <c r="I283">
        <v>4050</v>
      </c>
      <c r="K283">
        <v>5</v>
      </c>
      <c r="L283">
        <v>4</v>
      </c>
      <c r="M283" t="s">
        <v>22</v>
      </c>
      <c r="N283">
        <v>2013</v>
      </c>
      <c r="P283">
        <v>1</v>
      </c>
      <c r="Q283" t="s">
        <v>132</v>
      </c>
      <c r="R283" t="s">
        <v>774</v>
      </c>
      <c r="S283" t="s">
        <v>33</v>
      </c>
      <c r="T283" t="s">
        <v>70</v>
      </c>
    </row>
    <row r="284" spans="1:20" ht="16.5" x14ac:dyDescent="0.45">
      <c r="A284">
        <v>1283</v>
      </c>
      <c r="B284" t="s">
        <v>775</v>
      </c>
      <c r="C284" t="s">
        <v>20</v>
      </c>
      <c r="D284" t="s">
        <v>42</v>
      </c>
      <c r="E284">
        <v>648036</v>
      </c>
      <c r="F284" s="1">
        <v>45511</v>
      </c>
      <c r="G284" s="1"/>
      <c r="I284">
        <v>1732</v>
      </c>
      <c r="K284">
        <v>5</v>
      </c>
      <c r="L284">
        <v>4</v>
      </c>
      <c r="M284" t="s">
        <v>37</v>
      </c>
      <c r="N284">
        <v>2000</v>
      </c>
      <c r="O284">
        <v>3</v>
      </c>
      <c r="P284">
        <v>3</v>
      </c>
      <c r="Q284" t="s">
        <v>86</v>
      </c>
      <c r="R284" t="s">
        <v>776</v>
      </c>
      <c r="S284" t="s">
        <v>33</v>
      </c>
      <c r="T284" t="s">
        <v>77</v>
      </c>
    </row>
    <row r="285" spans="1:20" ht="16.5" x14ac:dyDescent="0.45">
      <c r="A285">
        <v>1284</v>
      </c>
      <c r="B285" t="s">
        <v>777</v>
      </c>
      <c r="C285" t="s">
        <v>28</v>
      </c>
      <c r="D285" t="s">
        <v>29</v>
      </c>
      <c r="E285">
        <v>940065</v>
      </c>
      <c r="F285" s="1">
        <v>45526</v>
      </c>
      <c r="G285" s="1"/>
      <c r="I285">
        <v>2088</v>
      </c>
      <c r="K285">
        <v>4</v>
      </c>
      <c r="L285">
        <v>4</v>
      </c>
      <c r="M285" t="s">
        <v>30</v>
      </c>
      <c r="N285">
        <v>2007</v>
      </c>
      <c r="O285">
        <v>4</v>
      </c>
      <c r="P285">
        <v>1</v>
      </c>
      <c r="Q285" t="s">
        <v>23</v>
      </c>
      <c r="R285" t="s">
        <v>778</v>
      </c>
      <c r="S285" t="s">
        <v>33</v>
      </c>
      <c r="T285" t="s">
        <v>779</v>
      </c>
    </row>
    <row r="286" spans="1:20" ht="16.5" x14ac:dyDescent="0.45">
      <c r="A286">
        <v>1285</v>
      </c>
      <c r="B286" t="s">
        <v>780</v>
      </c>
      <c r="C286" t="s">
        <v>20</v>
      </c>
      <c r="D286" t="s">
        <v>21</v>
      </c>
      <c r="E286">
        <v>358776</v>
      </c>
      <c r="F286" s="1">
        <v>45633</v>
      </c>
      <c r="G286" s="1">
        <v>45391</v>
      </c>
      <c r="H286">
        <v>400995</v>
      </c>
      <c r="I286">
        <v>3006</v>
      </c>
      <c r="J286" s="5">
        <v>1205390970</v>
      </c>
      <c r="K286">
        <v>2</v>
      </c>
      <c r="L286">
        <v>2</v>
      </c>
      <c r="M286" t="s">
        <v>30</v>
      </c>
      <c r="N286">
        <v>2018</v>
      </c>
      <c r="O286">
        <v>2</v>
      </c>
      <c r="P286">
        <v>2</v>
      </c>
      <c r="Q286" t="s">
        <v>58</v>
      </c>
      <c r="R286" t="s">
        <v>781</v>
      </c>
      <c r="S286" t="s">
        <v>25</v>
      </c>
      <c r="T286" t="s">
        <v>284</v>
      </c>
    </row>
    <row r="287" spans="1:20" ht="16.5" x14ac:dyDescent="0.45">
      <c r="A287">
        <v>1286</v>
      </c>
      <c r="B287" t="s">
        <v>782</v>
      </c>
      <c r="C287" t="s">
        <v>36</v>
      </c>
      <c r="D287" t="s">
        <v>29</v>
      </c>
      <c r="E287">
        <v>930096</v>
      </c>
      <c r="F287" s="1">
        <v>45576</v>
      </c>
      <c r="G287" s="1"/>
      <c r="I287">
        <v>2256</v>
      </c>
      <c r="K287">
        <v>2</v>
      </c>
      <c r="L287">
        <v>4</v>
      </c>
      <c r="M287" t="s">
        <v>22</v>
      </c>
      <c r="N287">
        <v>2010</v>
      </c>
      <c r="P287">
        <v>1</v>
      </c>
      <c r="Q287" t="s">
        <v>38</v>
      </c>
      <c r="R287" t="s">
        <v>783</v>
      </c>
      <c r="S287" t="s">
        <v>33</v>
      </c>
      <c r="T287" t="s">
        <v>784</v>
      </c>
    </row>
    <row r="288" spans="1:20" ht="16.5" x14ac:dyDescent="0.45">
      <c r="A288">
        <v>1287</v>
      </c>
      <c r="B288" t="s">
        <v>785</v>
      </c>
      <c r="C288" t="s">
        <v>36</v>
      </c>
      <c r="D288" t="s">
        <v>29</v>
      </c>
      <c r="E288">
        <v>931578</v>
      </c>
      <c r="F288" s="1">
        <v>45341</v>
      </c>
      <c r="G288" s="1">
        <v>45526</v>
      </c>
      <c r="H288">
        <v>960666</v>
      </c>
      <c r="I288">
        <v>2948</v>
      </c>
      <c r="J288" s="5">
        <v>2832043368</v>
      </c>
      <c r="K288">
        <v>6</v>
      </c>
      <c r="L288">
        <v>2</v>
      </c>
      <c r="M288" t="s">
        <v>37</v>
      </c>
      <c r="N288">
        <v>2009</v>
      </c>
      <c r="O288">
        <v>7</v>
      </c>
      <c r="P288">
        <v>2</v>
      </c>
      <c r="Q288" t="s">
        <v>75</v>
      </c>
      <c r="R288" t="s">
        <v>786</v>
      </c>
      <c r="S288" t="s">
        <v>25</v>
      </c>
      <c r="T288" t="s">
        <v>128</v>
      </c>
    </row>
    <row r="289" spans="1:20" ht="16.5" x14ac:dyDescent="0.45">
      <c r="A289">
        <v>1288</v>
      </c>
      <c r="B289" t="s">
        <v>787</v>
      </c>
      <c r="C289" t="s">
        <v>20</v>
      </c>
      <c r="D289" t="s">
        <v>29</v>
      </c>
      <c r="E289">
        <v>910507</v>
      </c>
      <c r="F289" s="1">
        <v>45445</v>
      </c>
      <c r="G289" s="1"/>
      <c r="I289">
        <v>1406</v>
      </c>
      <c r="K289">
        <v>2</v>
      </c>
      <c r="L289">
        <v>5</v>
      </c>
      <c r="M289" t="s">
        <v>30</v>
      </c>
      <c r="N289">
        <v>2000</v>
      </c>
      <c r="O289">
        <v>3</v>
      </c>
      <c r="P289">
        <v>4</v>
      </c>
      <c r="Q289" t="s">
        <v>23</v>
      </c>
      <c r="R289" t="s">
        <v>788</v>
      </c>
      <c r="S289" t="s">
        <v>33</v>
      </c>
      <c r="T289" t="s">
        <v>128</v>
      </c>
    </row>
    <row r="290" spans="1:20" ht="16.5" x14ac:dyDescent="0.45">
      <c r="A290">
        <v>1289</v>
      </c>
      <c r="B290" t="s">
        <v>789</v>
      </c>
      <c r="C290" t="s">
        <v>36</v>
      </c>
      <c r="D290" t="s">
        <v>29</v>
      </c>
      <c r="E290">
        <v>409826</v>
      </c>
      <c r="F290" s="1">
        <v>45465</v>
      </c>
      <c r="G290" s="1"/>
      <c r="I290">
        <v>2402</v>
      </c>
      <c r="K290">
        <v>2</v>
      </c>
      <c r="L290">
        <v>3</v>
      </c>
      <c r="M290" t="s">
        <v>22</v>
      </c>
      <c r="N290">
        <v>2012</v>
      </c>
      <c r="P290">
        <v>1</v>
      </c>
      <c r="Q290" t="s">
        <v>58</v>
      </c>
      <c r="R290" t="s">
        <v>790</v>
      </c>
      <c r="S290" t="s">
        <v>33</v>
      </c>
      <c r="T290" t="s">
        <v>441</v>
      </c>
    </row>
    <row r="291" spans="1:20" ht="16.5" x14ac:dyDescent="0.45">
      <c r="A291">
        <v>1290</v>
      </c>
      <c r="B291" t="s">
        <v>791</v>
      </c>
      <c r="C291" t="s">
        <v>51</v>
      </c>
      <c r="D291" t="s">
        <v>29</v>
      </c>
      <c r="E291">
        <v>506603</v>
      </c>
      <c r="F291" s="1">
        <v>45411</v>
      </c>
      <c r="G291" s="1">
        <v>45349</v>
      </c>
      <c r="H291">
        <v>524923</v>
      </c>
      <c r="I291">
        <v>4600</v>
      </c>
      <c r="J291" s="5">
        <v>2414645800</v>
      </c>
      <c r="K291">
        <v>2</v>
      </c>
      <c r="L291">
        <v>4</v>
      </c>
      <c r="M291" t="s">
        <v>22</v>
      </c>
      <c r="N291">
        <v>2019</v>
      </c>
      <c r="P291">
        <v>4</v>
      </c>
      <c r="Q291" t="s">
        <v>93</v>
      </c>
      <c r="R291" t="s">
        <v>792</v>
      </c>
      <c r="S291" t="s">
        <v>25</v>
      </c>
      <c r="T291" t="s">
        <v>793</v>
      </c>
    </row>
    <row r="292" spans="1:20" ht="16.5" x14ac:dyDescent="0.45">
      <c r="A292">
        <v>1291</v>
      </c>
      <c r="B292" t="s">
        <v>794</v>
      </c>
      <c r="C292" t="s">
        <v>47</v>
      </c>
      <c r="D292" t="s">
        <v>21</v>
      </c>
      <c r="E292">
        <v>374802</v>
      </c>
      <c r="F292" s="1">
        <v>45604</v>
      </c>
      <c r="G292" s="1">
        <v>45610</v>
      </c>
      <c r="H292">
        <v>394986</v>
      </c>
      <c r="I292">
        <v>2638</v>
      </c>
      <c r="J292" s="5">
        <v>1041973068</v>
      </c>
      <c r="K292">
        <v>3</v>
      </c>
      <c r="L292">
        <v>4</v>
      </c>
      <c r="M292" t="s">
        <v>22</v>
      </c>
      <c r="N292">
        <v>2018</v>
      </c>
      <c r="P292">
        <v>1</v>
      </c>
      <c r="Q292" t="s">
        <v>58</v>
      </c>
      <c r="R292" t="s">
        <v>795</v>
      </c>
      <c r="S292" t="s">
        <v>25</v>
      </c>
      <c r="T292" t="s">
        <v>77</v>
      </c>
    </row>
    <row r="293" spans="1:20" ht="16.5" x14ac:dyDescent="0.45">
      <c r="A293">
        <v>1292</v>
      </c>
      <c r="B293" t="s">
        <v>796</v>
      </c>
      <c r="C293" t="s">
        <v>51</v>
      </c>
      <c r="D293" t="s">
        <v>29</v>
      </c>
      <c r="E293">
        <v>890344</v>
      </c>
      <c r="F293" s="1">
        <v>45517</v>
      </c>
      <c r="G293" s="1">
        <v>45635</v>
      </c>
      <c r="H293">
        <v>935468</v>
      </c>
      <c r="I293">
        <v>2371</v>
      </c>
      <c r="J293" s="5">
        <v>2217994628</v>
      </c>
      <c r="K293">
        <v>6</v>
      </c>
      <c r="L293">
        <v>5</v>
      </c>
      <c r="M293" t="s">
        <v>30</v>
      </c>
      <c r="N293">
        <v>2004</v>
      </c>
      <c r="O293">
        <v>2</v>
      </c>
      <c r="P293">
        <v>1</v>
      </c>
      <c r="Q293" t="s">
        <v>162</v>
      </c>
      <c r="R293" t="s">
        <v>797</v>
      </c>
      <c r="S293" t="s">
        <v>25</v>
      </c>
      <c r="T293" t="s">
        <v>70</v>
      </c>
    </row>
    <row r="294" spans="1:20" ht="16.5" x14ac:dyDescent="0.45">
      <c r="A294">
        <v>1293</v>
      </c>
      <c r="B294" t="s">
        <v>798</v>
      </c>
      <c r="C294" t="s">
        <v>28</v>
      </c>
      <c r="D294" t="s">
        <v>42</v>
      </c>
      <c r="E294">
        <v>367924</v>
      </c>
      <c r="F294" s="1">
        <v>45349</v>
      </c>
      <c r="G294" s="1"/>
      <c r="I294">
        <v>3529</v>
      </c>
      <c r="K294">
        <v>4</v>
      </c>
      <c r="L294">
        <v>4</v>
      </c>
      <c r="M294" t="s">
        <v>37</v>
      </c>
      <c r="N294">
        <v>2022</v>
      </c>
      <c r="O294">
        <v>2</v>
      </c>
      <c r="P294">
        <v>2</v>
      </c>
      <c r="Q294" t="s">
        <v>75</v>
      </c>
      <c r="R294" t="s">
        <v>799</v>
      </c>
      <c r="S294" t="s">
        <v>33</v>
      </c>
      <c r="T294" t="s">
        <v>128</v>
      </c>
    </row>
    <row r="295" spans="1:20" ht="16.5" x14ac:dyDescent="0.45">
      <c r="A295">
        <v>1294</v>
      </c>
      <c r="B295" t="s">
        <v>800</v>
      </c>
      <c r="C295" t="s">
        <v>36</v>
      </c>
      <c r="D295" t="s">
        <v>29</v>
      </c>
      <c r="E295">
        <v>776040</v>
      </c>
      <c r="F295" s="1">
        <v>45557</v>
      </c>
      <c r="G295" s="1">
        <v>45578</v>
      </c>
      <c r="H295">
        <v>803455</v>
      </c>
      <c r="I295">
        <v>1124</v>
      </c>
      <c r="J295" s="5">
        <v>903083420</v>
      </c>
      <c r="K295">
        <v>3</v>
      </c>
      <c r="L295">
        <v>5</v>
      </c>
      <c r="M295" t="s">
        <v>30</v>
      </c>
      <c r="N295">
        <v>2009</v>
      </c>
      <c r="O295">
        <v>8</v>
      </c>
      <c r="P295">
        <v>1</v>
      </c>
      <c r="Q295" t="s">
        <v>58</v>
      </c>
      <c r="R295" t="s">
        <v>801</v>
      </c>
      <c r="S295" t="s">
        <v>25</v>
      </c>
      <c r="T295" t="s">
        <v>70</v>
      </c>
    </row>
    <row r="296" spans="1:20" ht="16.5" x14ac:dyDescent="0.45">
      <c r="A296">
        <v>1295</v>
      </c>
      <c r="B296" t="s">
        <v>802</v>
      </c>
      <c r="C296" t="s">
        <v>28</v>
      </c>
      <c r="D296" t="s">
        <v>29</v>
      </c>
      <c r="E296">
        <v>593230</v>
      </c>
      <c r="F296" s="1">
        <v>45344</v>
      </c>
      <c r="G296" s="1"/>
      <c r="I296">
        <v>2992</v>
      </c>
      <c r="K296">
        <v>3</v>
      </c>
      <c r="L296">
        <v>2</v>
      </c>
      <c r="M296" t="s">
        <v>30</v>
      </c>
      <c r="N296">
        <v>2023</v>
      </c>
      <c r="O296">
        <v>2</v>
      </c>
      <c r="P296">
        <v>1</v>
      </c>
      <c r="Q296" t="s">
        <v>43</v>
      </c>
      <c r="R296" t="s">
        <v>803</v>
      </c>
      <c r="S296" t="s">
        <v>33</v>
      </c>
      <c r="T296" t="s">
        <v>426</v>
      </c>
    </row>
    <row r="297" spans="1:20" ht="16.5" x14ac:dyDescent="0.45">
      <c r="A297">
        <v>1296</v>
      </c>
      <c r="B297" t="s">
        <v>804</v>
      </c>
      <c r="C297" t="s">
        <v>47</v>
      </c>
      <c r="D297" t="s">
        <v>21</v>
      </c>
      <c r="E297">
        <v>650973</v>
      </c>
      <c r="F297" s="1">
        <v>45629</v>
      </c>
      <c r="G297" s="1">
        <v>45438</v>
      </c>
      <c r="H297">
        <v>685626</v>
      </c>
      <c r="I297">
        <v>2872</v>
      </c>
      <c r="J297" s="5">
        <v>1969117872</v>
      </c>
      <c r="K297">
        <v>3</v>
      </c>
      <c r="L297">
        <v>5</v>
      </c>
      <c r="M297" t="s">
        <v>37</v>
      </c>
      <c r="N297">
        <v>2001</v>
      </c>
      <c r="O297">
        <v>1</v>
      </c>
      <c r="P297">
        <v>2</v>
      </c>
      <c r="Q297" t="s">
        <v>58</v>
      </c>
      <c r="R297" t="s">
        <v>59</v>
      </c>
      <c r="S297" t="s">
        <v>25</v>
      </c>
      <c r="T297" t="s">
        <v>805</v>
      </c>
    </row>
    <row r="298" spans="1:20" ht="16.5" x14ac:dyDescent="0.45">
      <c r="A298">
        <v>1297</v>
      </c>
      <c r="B298" t="s">
        <v>806</v>
      </c>
      <c r="C298" t="s">
        <v>51</v>
      </c>
      <c r="D298" t="s">
        <v>29</v>
      </c>
      <c r="E298">
        <v>336942</v>
      </c>
      <c r="F298" s="1">
        <v>45628</v>
      </c>
      <c r="G298" s="1"/>
      <c r="I298">
        <v>1749</v>
      </c>
      <c r="K298">
        <v>3</v>
      </c>
      <c r="L298">
        <v>2</v>
      </c>
      <c r="M298" t="s">
        <v>37</v>
      </c>
      <c r="N298">
        <v>2012</v>
      </c>
      <c r="O298">
        <v>2</v>
      </c>
      <c r="P298">
        <v>3</v>
      </c>
      <c r="Q298" t="s">
        <v>132</v>
      </c>
      <c r="R298" t="s">
        <v>807</v>
      </c>
      <c r="S298" t="s">
        <v>33</v>
      </c>
      <c r="T298" t="s">
        <v>808</v>
      </c>
    </row>
    <row r="299" spans="1:20" ht="16.5" x14ac:dyDescent="0.45">
      <c r="A299">
        <v>1298</v>
      </c>
      <c r="B299" t="s">
        <v>809</v>
      </c>
      <c r="C299" t="s">
        <v>47</v>
      </c>
      <c r="D299" t="s">
        <v>29</v>
      </c>
      <c r="E299">
        <v>473612</v>
      </c>
      <c r="F299" s="1">
        <v>45279</v>
      </c>
      <c r="G299" s="1"/>
      <c r="I299">
        <v>2885</v>
      </c>
      <c r="K299">
        <v>6</v>
      </c>
      <c r="L299">
        <v>4</v>
      </c>
      <c r="M299" t="s">
        <v>62</v>
      </c>
      <c r="N299">
        <v>2011</v>
      </c>
      <c r="O299">
        <v>10</v>
      </c>
      <c r="P299">
        <v>4</v>
      </c>
      <c r="Q299" t="s">
        <v>23</v>
      </c>
      <c r="R299" t="s">
        <v>810</v>
      </c>
      <c r="S299" t="s">
        <v>33</v>
      </c>
      <c r="T299" t="s">
        <v>137</v>
      </c>
    </row>
    <row r="300" spans="1:20" ht="16.5" x14ac:dyDescent="0.45">
      <c r="A300">
        <v>1299</v>
      </c>
      <c r="B300" t="s">
        <v>811</v>
      </c>
      <c r="C300" t="s">
        <v>20</v>
      </c>
      <c r="D300" t="s">
        <v>42</v>
      </c>
      <c r="E300">
        <v>661383</v>
      </c>
      <c r="F300" s="1">
        <v>45642</v>
      </c>
      <c r="G300" s="1"/>
      <c r="I300">
        <v>4730</v>
      </c>
      <c r="K300">
        <v>6</v>
      </c>
      <c r="L300">
        <v>4</v>
      </c>
      <c r="M300" t="s">
        <v>22</v>
      </c>
      <c r="N300">
        <v>2012</v>
      </c>
      <c r="P300">
        <v>1</v>
      </c>
      <c r="Q300" t="s">
        <v>43</v>
      </c>
      <c r="R300" t="s">
        <v>812</v>
      </c>
      <c r="S300" t="s">
        <v>33</v>
      </c>
      <c r="T300" t="s">
        <v>460</v>
      </c>
    </row>
    <row r="301" spans="1:20" ht="16.5" x14ac:dyDescent="0.45">
      <c r="A301">
        <v>1300</v>
      </c>
      <c r="B301" t="s">
        <v>813</v>
      </c>
      <c r="C301" t="s">
        <v>28</v>
      </c>
      <c r="D301" t="s">
        <v>29</v>
      </c>
      <c r="E301">
        <v>773938</v>
      </c>
      <c r="F301" s="1">
        <v>45451</v>
      </c>
      <c r="G301" s="1">
        <v>45524</v>
      </c>
      <c r="H301">
        <v>790382</v>
      </c>
      <c r="I301">
        <v>2920</v>
      </c>
      <c r="J301" s="5">
        <v>2307915440</v>
      </c>
      <c r="K301">
        <v>6</v>
      </c>
      <c r="L301">
        <v>4</v>
      </c>
      <c r="M301" t="s">
        <v>22</v>
      </c>
      <c r="N301">
        <v>2003</v>
      </c>
      <c r="P301">
        <v>4</v>
      </c>
      <c r="Q301" t="s">
        <v>93</v>
      </c>
      <c r="R301" t="s">
        <v>814</v>
      </c>
      <c r="S301" t="s">
        <v>25</v>
      </c>
      <c r="T301" t="s">
        <v>183</v>
      </c>
    </row>
    <row r="302" spans="1:20" ht="16.5" x14ac:dyDescent="0.45">
      <c r="A302">
        <v>1301</v>
      </c>
      <c r="B302" t="s">
        <v>815</v>
      </c>
      <c r="C302" t="s">
        <v>28</v>
      </c>
      <c r="D302" t="s">
        <v>21</v>
      </c>
      <c r="E302">
        <v>592525</v>
      </c>
      <c r="F302" s="1">
        <v>45471</v>
      </c>
      <c r="G302" s="1">
        <v>45535</v>
      </c>
      <c r="H302">
        <v>632029</v>
      </c>
      <c r="I302">
        <v>1976</v>
      </c>
      <c r="J302" s="5">
        <v>1248889304</v>
      </c>
      <c r="K302">
        <v>6</v>
      </c>
      <c r="L302">
        <v>5</v>
      </c>
      <c r="M302" t="s">
        <v>62</v>
      </c>
      <c r="N302">
        <v>2019</v>
      </c>
      <c r="O302">
        <v>1</v>
      </c>
      <c r="P302">
        <v>1</v>
      </c>
      <c r="Q302" t="s">
        <v>162</v>
      </c>
      <c r="R302" t="s">
        <v>816</v>
      </c>
      <c r="S302" t="s">
        <v>25</v>
      </c>
      <c r="T302" t="s">
        <v>817</v>
      </c>
    </row>
    <row r="303" spans="1:20" ht="16.5" x14ac:dyDescent="0.45">
      <c r="A303">
        <v>1302</v>
      </c>
      <c r="B303" t="s">
        <v>818</v>
      </c>
      <c r="C303" t="s">
        <v>20</v>
      </c>
      <c r="D303" t="s">
        <v>29</v>
      </c>
      <c r="E303">
        <v>328728</v>
      </c>
      <c r="F303" s="1">
        <v>45566</v>
      </c>
      <c r="G303" s="1">
        <v>45576</v>
      </c>
      <c r="H303">
        <v>340819</v>
      </c>
      <c r="I303">
        <v>3420</v>
      </c>
      <c r="J303" s="5">
        <v>1165600980</v>
      </c>
      <c r="K303">
        <v>2</v>
      </c>
      <c r="L303">
        <v>4</v>
      </c>
      <c r="M303" t="s">
        <v>37</v>
      </c>
      <c r="N303">
        <v>2020</v>
      </c>
      <c r="O303">
        <v>4</v>
      </c>
      <c r="P303">
        <v>3</v>
      </c>
      <c r="Q303" t="s">
        <v>58</v>
      </c>
      <c r="R303" t="s">
        <v>819</v>
      </c>
      <c r="S303" t="s">
        <v>25</v>
      </c>
      <c r="T303" t="s">
        <v>581</v>
      </c>
    </row>
    <row r="304" spans="1:20" ht="16.5" x14ac:dyDescent="0.45">
      <c r="A304">
        <v>1303</v>
      </c>
      <c r="B304" t="s">
        <v>820</v>
      </c>
      <c r="C304" t="s">
        <v>28</v>
      </c>
      <c r="D304" t="s">
        <v>29</v>
      </c>
      <c r="E304">
        <v>832032</v>
      </c>
      <c r="F304" s="1">
        <v>45369</v>
      </c>
      <c r="G304" s="1"/>
      <c r="I304">
        <v>2903</v>
      </c>
      <c r="K304">
        <v>3</v>
      </c>
      <c r="L304">
        <v>5</v>
      </c>
      <c r="M304" t="s">
        <v>62</v>
      </c>
      <c r="N304">
        <v>2023</v>
      </c>
      <c r="O304">
        <v>10</v>
      </c>
      <c r="P304">
        <v>2</v>
      </c>
      <c r="Q304" t="s">
        <v>86</v>
      </c>
      <c r="R304" t="s">
        <v>821</v>
      </c>
      <c r="S304" t="s">
        <v>33</v>
      </c>
      <c r="T304" t="s">
        <v>822</v>
      </c>
    </row>
    <row r="305" spans="1:20" ht="16.5" x14ac:dyDescent="0.45">
      <c r="A305">
        <v>1304</v>
      </c>
      <c r="B305" t="s">
        <v>823</v>
      </c>
      <c r="C305" t="s">
        <v>28</v>
      </c>
      <c r="D305" t="s">
        <v>42</v>
      </c>
      <c r="E305">
        <v>933090</v>
      </c>
      <c r="F305" s="1">
        <v>45515</v>
      </c>
      <c r="G305" s="1">
        <v>45477</v>
      </c>
      <c r="H305">
        <v>962298</v>
      </c>
      <c r="I305">
        <v>2171</v>
      </c>
      <c r="J305" s="5">
        <v>2089148958</v>
      </c>
      <c r="K305">
        <v>3</v>
      </c>
      <c r="L305">
        <v>2</v>
      </c>
      <c r="M305" t="s">
        <v>62</v>
      </c>
      <c r="N305">
        <v>2012</v>
      </c>
      <c r="O305">
        <v>5</v>
      </c>
      <c r="P305">
        <v>2</v>
      </c>
      <c r="Q305" t="s">
        <v>31</v>
      </c>
      <c r="R305" t="s">
        <v>824</v>
      </c>
      <c r="S305" t="s">
        <v>25</v>
      </c>
      <c r="T305" t="s">
        <v>825</v>
      </c>
    </row>
    <row r="306" spans="1:20" ht="16.5" x14ac:dyDescent="0.45">
      <c r="A306">
        <v>1305</v>
      </c>
      <c r="B306" t="s">
        <v>826</v>
      </c>
      <c r="C306" t="s">
        <v>51</v>
      </c>
      <c r="D306" t="s">
        <v>42</v>
      </c>
      <c r="E306">
        <v>729967</v>
      </c>
      <c r="F306" s="1">
        <v>45618</v>
      </c>
      <c r="G306" s="1">
        <v>45556</v>
      </c>
      <c r="H306">
        <v>777390</v>
      </c>
      <c r="I306">
        <v>2514</v>
      </c>
      <c r="J306" s="5">
        <v>1954358460</v>
      </c>
      <c r="K306">
        <v>3</v>
      </c>
      <c r="L306">
        <v>4</v>
      </c>
      <c r="M306" t="s">
        <v>37</v>
      </c>
      <c r="N306">
        <v>2008</v>
      </c>
      <c r="O306">
        <v>7</v>
      </c>
      <c r="P306">
        <v>3</v>
      </c>
      <c r="Q306" t="s">
        <v>43</v>
      </c>
      <c r="R306" t="s">
        <v>827</v>
      </c>
      <c r="S306" t="s">
        <v>25</v>
      </c>
      <c r="T306" t="s">
        <v>91</v>
      </c>
    </row>
    <row r="307" spans="1:20" ht="16.5" x14ac:dyDescent="0.45">
      <c r="A307">
        <v>1306</v>
      </c>
      <c r="B307" t="s">
        <v>828</v>
      </c>
      <c r="C307" t="s">
        <v>36</v>
      </c>
      <c r="D307" t="s">
        <v>29</v>
      </c>
      <c r="E307">
        <v>664054</v>
      </c>
      <c r="F307" s="1">
        <v>45440</v>
      </c>
      <c r="G307" s="1"/>
      <c r="I307">
        <v>2315</v>
      </c>
      <c r="K307">
        <v>6</v>
      </c>
      <c r="L307">
        <v>3</v>
      </c>
      <c r="M307" t="s">
        <v>22</v>
      </c>
      <c r="N307">
        <v>2007</v>
      </c>
      <c r="P307">
        <v>1</v>
      </c>
      <c r="Q307" t="s">
        <v>75</v>
      </c>
      <c r="R307" t="s">
        <v>829</v>
      </c>
      <c r="S307" t="s">
        <v>33</v>
      </c>
      <c r="T307" t="s">
        <v>830</v>
      </c>
    </row>
    <row r="308" spans="1:20" ht="16.5" x14ac:dyDescent="0.45">
      <c r="A308">
        <v>1307</v>
      </c>
      <c r="B308" t="s">
        <v>831</v>
      </c>
      <c r="C308" t="s">
        <v>36</v>
      </c>
      <c r="D308" t="s">
        <v>42</v>
      </c>
      <c r="E308">
        <v>425832</v>
      </c>
      <c r="F308" s="1">
        <v>45323</v>
      </c>
      <c r="G308" s="1"/>
      <c r="I308">
        <v>4702</v>
      </c>
      <c r="K308">
        <v>2</v>
      </c>
      <c r="L308">
        <v>3</v>
      </c>
      <c r="M308" t="s">
        <v>62</v>
      </c>
      <c r="N308">
        <v>2010</v>
      </c>
      <c r="O308">
        <v>8</v>
      </c>
      <c r="P308">
        <v>2</v>
      </c>
      <c r="Q308" t="s">
        <v>86</v>
      </c>
      <c r="R308" t="s">
        <v>832</v>
      </c>
      <c r="S308" t="s">
        <v>33</v>
      </c>
      <c r="T308" t="s">
        <v>833</v>
      </c>
    </row>
    <row r="309" spans="1:20" ht="16.5" x14ac:dyDescent="0.45">
      <c r="A309">
        <v>1308</v>
      </c>
      <c r="B309" t="s">
        <v>834</v>
      </c>
      <c r="C309" t="s">
        <v>36</v>
      </c>
      <c r="D309" t="s">
        <v>29</v>
      </c>
      <c r="E309">
        <v>839320</v>
      </c>
      <c r="F309" s="1">
        <v>45586</v>
      </c>
      <c r="G309" s="1">
        <v>45610</v>
      </c>
      <c r="H309">
        <v>884025</v>
      </c>
      <c r="I309">
        <v>3457</v>
      </c>
      <c r="J309" s="5">
        <v>3056074425</v>
      </c>
      <c r="K309">
        <v>4</v>
      </c>
      <c r="L309">
        <v>2</v>
      </c>
      <c r="M309" t="s">
        <v>37</v>
      </c>
      <c r="N309">
        <v>2017</v>
      </c>
      <c r="O309">
        <v>1</v>
      </c>
      <c r="P309">
        <v>4</v>
      </c>
      <c r="Q309" t="s">
        <v>43</v>
      </c>
      <c r="R309" t="s">
        <v>835</v>
      </c>
      <c r="S309" t="s">
        <v>25</v>
      </c>
      <c r="T309" t="s">
        <v>836</v>
      </c>
    </row>
    <row r="310" spans="1:20" ht="16.5" x14ac:dyDescent="0.45">
      <c r="A310">
        <v>1309</v>
      </c>
      <c r="B310" t="s">
        <v>837</v>
      </c>
      <c r="C310" t="s">
        <v>51</v>
      </c>
      <c r="D310" t="s">
        <v>21</v>
      </c>
      <c r="E310">
        <v>609958</v>
      </c>
      <c r="F310" s="1">
        <v>45373</v>
      </c>
      <c r="G310" s="1"/>
      <c r="I310">
        <v>1066</v>
      </c>
      <c r="K310">
        <v>4</v>
      </c>
      <c r="L310">
        <v>2</v>
      </c>
      <c r="M310" t="s">
        <v>22</v>
      </c>
      <c r="N310">
        <v>2003</v>
      </c>
      <c r="P310">
        <v>3</v>
      </c>
      <c r="Q310" t="s">
        <v>93</v>
      </c>
      <c r="R310" t="s">
        <v>838</v>
      </c>
      <c r="S310" t="s">
        <v>33</v>
      </c>
      <c r="T310" t="s">
        <v>839</v>
      </c>
    </row>
    <row r="311" spans="1:20" ht="16.5" x14ac:dyDescent="0.45">
      <c r="A311">
        <v>1310</v>
      </c>
      <c r="B311" t="s">
        <v>840</v>
      </c>
      <c r="C311" t="s">
        <v>20</v>
      </c>
      <c r="D311" t="s">
        <v>29</v>
      </c>
      <c r="E311">
        <v>746538</v>
      </c>
      <c r="F311" s="1">
        <v>45346</v>
      </c>
      <c r="G311" s="1">
        <v>45346</v>
      </c>
      <c r="H311">
        <v>771575</v>
      </c>
      <c r="I311">
        <v>2081</v>
      </c>
      <c r="J311" s="5">
        <v>1605647575</v>
      </c>
      <c r="K311">
        <v>4</v>
      </c>
      <c r="L311">
        <v>3</v>
      </c>
      <c r="M311" t="s">
        <v>62</v>
      </c>
      <c r="N311">
        <v>2017</v>
      </c>
      <c r="O311">
        <v>2</v>
      </c>
      <c r="P311">
        <v>3</v>
      </c>
      <c r="Q311" t="s">
        <v>86</v>
      </c>
      <c r="R311" t="s">
        <v>841</v>
      </c>
      <c r="S311" t="s">
        <v>25</v>
      </c>
      <c r="T311" t="s">
        <v>842</v>
      </c>
    </row>
    <row r="312" spans="1:20" ht="16.5" x14ac:dyDescent="0.45">
      <c r="A312">
        <v>1311</v>
      </c>
      <c r="B312" t="s">
        <v>843</v>
      </c>
      <c r="C312" t="s">
        <v>47</v>
      </c>
      <c r="D312" t="s">
        <v>42</v>
      </c>
      <c r="E312">
        <v>958108</v>
      </c>
      <c r="F312" s="1">
        <v>45510</v>
      </c>
      <c r="G312" s="1"/>
      <c r="I312">
        <v>1571</v>
      </c>
      <c r="K312">
        <v>6</v>
      </c>
      <c r="L312">
        <v>2</v>
      </c>
      <c r="M312" t="s">
        <v>62</v>
      </c>
      <c r="N312">
        <v>2003</v>
      </c>
      <c r="O312">
        <v>7</v>
      </c>
      <c r="P312">
        <v>4</v>
      </c>
      <c r="Q312" t="s">
        <v>43</v>
      </c>
      <c r="R312" t="s">
        <v>844</v>
      </c>
      <c r="S312" t="s">
        <v>33</v>
      </c>
      <c r="T312" t="s">
        <v>845</v>
      </c>
    </row>
    <row r="313" spans="1:20" ht="16.5" x14ac:dyDescent="0.45">
      <c r="A313">
        <v>1312</v>
      </c>
      <c r="B313" t="s">
        <v>846</v>
      </c>
      <c r="C313" t="s">
        <v>36</v>
      </c>
      <c r="D313" t="s">
        <v>29</v>
      </c>
      <c r="E313">
        <v>658612</v>
      </c>
      <c r="F313" s="1">
        <v>45348</v>
      </c>
      <c r="G313" s="1">
        <v>45329</v>
      </c>
      <c r="H313">
        <v>682376</v>
      </c>
      <c r="I313">
        <v>4027</v>
      </c>
      <c r="J313" s="5">
        <v>2747928152</v>
      </c>
      <c r="K313">
        <v>2</v>
      </c>
      <c r="L313">
        <v>2</v>
      </c>
      <c r="M313" t="s">
        <v>30</v>
      </c>
      <c r="N313">
        <v>2007</v>
      </c>
      <c r="O313">
        <v>3</v>
      </c>
      <c r="P313">
        <v>1</v>
      </c>
      <c r="Q313" t="s">
        <v>86</v>
      </c>
      <c r="R313" t="s">
        <v>847</v>
      </c>
      <c r="S313" t="s">
        <v>25</v>
      </c>
      <c r="T313" t="s">
        <v>388</v>
      </c>
    </row>
    <row r="314" spans="1:20" ht="16.5" x14ac:dyDescent="0.45">
      <c r="A314">
        <v>1313</v>
      </c>
      <c r="B314" t="s">
        <v>848</v>
      </c>
      <c r="C314" t="s">
        <v>51</v>
      </c>
      <c r="D314" t="s">
        <v>42</v>
      </c>
      <c r="E314">
        <v>931295</v>
      </c>
      <c r="F314" s="1">
        <v>45371</v>
      </c>
      <c r="G314" s="1">
        <v>45311</v>
      </c>
      <c r="H314">
        <v>958648</v>
      </c>
      <c r="I314">
        <v>1836</v>
      </c>
      <c r="J314" s="5">
        <v>1760077728</v>
      </c>
      <c r="K314">
        <v>2</v>
      </c>
      <c r="L314">
        <v>4</v>
      </c>
      <c r="M314" t="s">
        <v>30</v>
      </c>
      <c r="N314">
        <v>2005</v>
      </c>
      <c r="O314">
        <v>8</v>
      </c>
      <c r="P314">
        <v>1</v>
      </c>
      <c r="Q314" t="s">
        <v>93</v>
      </c>
      <c r="R314" t="s">
        <v>849</v>
      </c>
      <c r="S314" t="s">
        <v>25</v>
      </c>
      <c r="T314" t="s">
        <v>284</v>
      </c>
    </row>
    <row r="315" spans="1:20" ht="16.5" x14ac:dyDescent="0.45">
      <c r="A315">
        <v>1314</v>
      </c>
      <c r="B315" t="s">
        <v>850</v>
      </c>
      <c r="C315" t="s">
        <v>20</v>
      </c>
      <c r="D315" t="s">
        <v>42</v>
      </c>
      <c r="E315">
        <v>428193</v>
      </c>
      <c r="F315" s="1">
        <v>45453</v>
      </c>
      <c r="G315" s="1">
        <v>45619</v>
      </c>
      <c r="H315">
        <v>455184</v>
      </c>
      <c r="I315">
        <v>4202</v>
      </c>
      <c r="J315" s="5">
        <v>1912683168</v>
      </c>
      <c r="K315">
        <v>3</v>
      </c>
      <c r="L315">
        <v>2</v>
      </c>
      <c r="M315" t="s">
        <v>22</v>
      </c>
      <c r="N315">
        <v>2010</v>
      </c>
      <c r="P315">
        <v>4</v>
      </c>
      <c r="Q315" t="s">
        <v>23</v>
      </c>
      <c r="R315" t="s">
        <v>851</v>
      </c>
      <c r="S315" t="s">
        <v>25</v>
      </c>
      <c r="T315" t="s">
        <v>137</v>
      </c>
    </row>
    <row r="316" spans="1:20" ht="16.5" x14ac:dyDescent="0.45">
      <c r="A316">
        <v>1315</v>
      </c>
      <c r="B316" t="s">
        <v>852</v>
      </c>
      <c r="C316" t="s">
        <v>47</v>
      </c>
      <c r="D316" t="s">
        <v>42</v>
      </c>
      <c r="E316">
        <v>756885</v>
      </c>
      <c r="F316" s="1">
        <v>45286</v>
      </c>
      <c r="G316" s="1"/>
      <c r="I316">
        <v>3273</v>
      </c>
      <c r="K316">
        <v>4</v>
      </c>
      <c r="L316">
        <v>2</v>
      </c>
      <c r="M316" t="s">
        <v>37</v>
      </c>
      <c r="N316">
        <v>2020</v>
      </c>
      <c r="O316">
        <v>5</v>
      </c>
      <c r="P316">
        <v>3</v>
      </c>
      <c r="Q316" t="s">
        <v>93</v>
      </c>
      <c r="R316" t="s">
        <v>853</v>
      </c>
      <c r="S316" t="s">
        <v>33</v>
      </c>
      <c r="T316" t="s">
        <v>854</v>
      </c>
    </row>
    <row r="317" spans="1:20" ht="16.5" x14ac:dyDescent="0.45">
      <c r="A317">
        <v>1316</v>
      </c>
      <c r="B317" t="s">
        <v>855</v>
      </c>
      <c r="C317" t="s">
        <v>47</v>
      </c>
      <c r="D317" t="s">
        <v>29</v>
      </c>
      <c r="E317">
        <v>449396</v>
      </c>
      <c r="F317" s="1">
        <v>45443</v>
      </c>
      <c r="G317" s="1">
        <v>45338</v>
      </c>
      <c r="H317">
        <v>485003</v>
      </c>
      <c r="I317">
        <v>4482</v>
      </c>
      <c r="J317" s="5">
        <v>2173783446</v>
      </c>
      <c r="K317">
        <v>4</v>
      </c>
      <c r="L317">
        <v>4</v>
      </c>
      <c r="M317" t="s">
        <v>62</v>
      </c>
      <c r="N317">
        <v>2005</v>
      </c>
      <c r="O317">
        <v>6</v>
      </c>
      <c r="P317">
        <v>3</v>
      </c>
      <c r="Q317" t="s">
        <v>75</v>
      </c>
      <c r="R317" t="s">
        <v>856</v>
      </c>
      <c r="S317" t="s">
        <v>25</v>
      </c>
      <c r="T317" t="s">
        <v>107</v>
      </c>
    </row>
    <row r="318" spans="1:20" ht="16.5" x14ac:dyDescent="0.45">
      <c r="A318">
        <v>1317</v>
      </c>
      <c r="B318" t="s">
        <v>857</v>
      </c>
      <c r="C318" t="s">
        <v>20</v>
      </c>
      <c r="D318" t="s">
        <v>29</v>
      </c>
      <c r="E318">
        <v>501505</v>
      </c>
      <c r="F318" s="1">
        <v>45579</v>
      </c>
      <c r="G318" s="1">
        <v>45403</v>
      </c>
      <c r="H318">
        <v>516756</v>
      </c>
      <c r="I318">
        <v>2669</v>
      </c>
      <c r="J318" s="5">
        <v>1379221764</v>
      </c>
      <c r="K318">
        <v>6</v>
      </c>
      <c r="L318">
        <v>3</v>
      </c>
      <c r="M318" t="s">
        <v>62</v>
      </c>
      <c r="N318">
        <v>2004</v>
      </c>
      <c r="O318">
        <v>8</v>
      </c>
      <c r="P318">
        <v>2</v>
      </c>
      <c r="Q318" t="s">
        <v>86</v>
      </c>
      <c r="R318" t="s">
        <v>858</v>
      </c>
      <c r="S318" t="s">
        <v>25</v>
      </c>
      <c r="T318" t="s">
        <v>859</v>
      </c>
    </row>
    <row r="319" spans="1:20" ht="16.5" x14ac:dyDescent="0.45">
      <c r="A319">
        <v>1318</v>
      </c>
      <c r="B319" t="s">
        <v>860</v>
      </c>
      <c r="C319" t="s">
        <v>36</v>
      </c>
      <c r="D319" t="s">
        <v>29</v>
      </c>
      <c r="E319">
        <v>579707</v>
      </c>
      <c r="F319" s="1">
        <v>45308</v>
      </c>
      <c r="G319" s="1"/>
      <c r="I319">
        <v>4016</v>
      </c>
      <c r="K319">
        <v>4</v>
      </c>
      <c r="L319">
        <v>2</v>
      </c>
      <c r="M319" t="s">
        <v>22</v>
      </c>
      <c r="N319">
        <v>2019</v>
      </c>
      <c r="P319">
        <v>2</v>
      </c>
      <c r="Q319" t="s">
        <v>58</v>
      </c>
      <c r="R319" t="s">
        <v>861</v>
      </c>
      <c r="S319" t="s">
        <v>33</v>
      </c>
      <c r="T319" t="s">
        <v>177</v>
      </c>
    </row>
    <row r="320" spans="1:20" ht="16.5" x14ac:dyDescent="0.45">
      <c r="A320">
        <v>1319</v>
      </c>
      <c r="B320" t="s">
        <v>862</v>
      </c>
      <c r="C320" t="s">
        <v>20</v>
      </c>
      <c r="D320" t="s">
        <v>21</v>
      </c>
      <c r="E320">
        <v>752299</v>
      </c>
      <c r="F320" s="1">
        <v>45410</v>
      </c>
      <c r="G320" s="1"/>
      <c r="I320">
        <v>2164</v>
      </c>
      <c r="K320">
        <v>2</v>
      </c>
      <c r="L320">
        <v>4</v>
      </c>
      <c r="M320" t="s">
        <v>30</v>
      </c>
      <c r="N320">
        <v>2003</v>
      </c>
      <c r="O320">
        <v>6</v>
      </c>
      <c r="P320">
        <v>3</v>
      </c>
      <c r="Q320" t="s">
        <v>58</v>
      </c>
      <c r="R320" t="s">
        <v>863</v>
      </c>
      <c r="S320" t="s">
        <v>33</v>
      </c>
      <c r="T320" t="s">
        <v>550</v>
      </c>
    </row>
    <row r="321" spans="1:20" ht="16.5" x14ac:dyDescent="0.45">
      <c r="A321">
        <v>1320</v>
      </c>
      <c r="B321" t="s">
        <v>864</v>
      </c>
      <c r="C321" t="s">
        <v>36</v>
      </c>
      <c r="D321" t="s">
        <v>42</v>
      </c>
      <c r="E321">
        <v>559001</v>
      </c>
      <c r="F321" s="1">
        <v>45362</v>
      </c>
      <c r="G321" s="1">
        <v>45454</v>
      </c>
      <c r="H321">
        <v>606433</v>
      </c>
      <c r="I321">
        <v>4970</v>
      </c>
      <c r="J321" s="5">
        <v>3013972010</v>
      </c>
      <c r="K321">
        <v>4</v>
      </c>
      <c r="L321">
        <v>4</v>
      </c>
      <c r="M321" t="s">
        <v>30</v>
      </c>
      <c r="N321">
        <v>2008</v>
      </c>
      <c r="O321">
        <v>8</v>
      </c>
      <c r="P321">
        <v>2</v>
      </c>
      <c r="Q321" t="s">
        <v>23</v>
      </c>
      <c r="R321" t="s">
        <v>865</v>
      </c>
      <c r="S321" t="s">
        <v>25</v>
      </c>
      <c r="T321" t="s">
        <v>866</v>
      </c>
    </row>
    <row r="322" spans="1:20" ht="16.5" x14ac:dyDescent="0.45">
      <c r="A322">
        <v>1321</v>
      </c>
      <c r="B322" t="s">
        <v>867</v>
      </c>
      <c r="C322" t="s">
        <v>47</v>
      </c>
      <c r="D322" t="s">
        <v>29</v>
      </c>
      <c r="E322">
        <v>306004</v>
      </c>
      <c r="F322" s="1">
        <v>45515</v>
      </c>
      <c r="G322" s="1">
        <v>45326</v>
      </c>
      <c r="H322">
        <v>320344</v>
      </c>
      <c r="I322">
        <v>1836</v>
      </c>
      <c r="J322" s="5">
        <v>588151584</v>
      </c>
      <c r="K322">
        <v>4</v>
      </c>
      <c r="L322">
        <v>3</v>
      </c>
      <c r="M322" t="s">
        <v>30</v>
      </c>
      <c r="N322">
        <v>2012</v>
      </c>
      <c r="O322">
        <v>1</v>
      </c>
      <c r="P322">
        <v>1</v>
      </c>
      <c r="Q322" t="s">
        <v>162</v>
      </c>
      <c r="R322" t="s">
        <v>868</v>
      </c>
      <c r="S322" t="s">
        <v>25</v>
      </c>
      <c r="T322" t="s">
        <v>475</v>
      </c>
    </row>
    <row r="323" spans="1:20" ht="16.5" x14ac:dyDescent="0.45">
      <c r="A323">
        <v>1322</v>
      </c>
      <c r="B323" t="s">
        <v>869</v>
      </c>
      <c r="C323" t="s">
        <v>20</v>
      </c>
      <c r="D323" t="s">
        <v>21</v>
      </c>
      <c r="E323">
        <v>883859</v>
      </c>
      <c r="F323" s="1">
        <v>45524</v>
      </c>
      <c r="G323" s="1">
        <v>45333</v>
      </c>
      <c r="H323">
        <v>905738</v>
      </c>
      <c r="I323">
        <v>4164</v>
      </c>
      <c r="J323" s="5">
        <v>3771493032</v>
      </c>
      <c r="K323">
        <v>6</v>
      </c>
      <c r="L323">
        <v>5</v>
      </c>
      <c r="M323" t="s">
        <v>37</v>
      </c>
      <c r="N323">
        <v>2003</v>
      </c>
      <c r="O323">
        <v>4</v>
      </c>
      <c r="P323">
        <v>1</v>
      </c>
      <c r="Q323" t="s">
        <v>93</v>
      </c>
      <c r="R323" t="s">
        <v>870</v>
      </c>
      <c r="S323" t="s">
        <v>25</v>
      </c>
      <c r="T323" t="s">
        <v>550</v>
      </c>
    </row>
    <row r="324" spans="1:20" ht="16.5" x14ac:dyDescent="0.45">
      <c r="A324">
        <v>1323</v>
      </c>
      <c r="B324" t="s">
        <v>871</v>
      </c>
      <c r="C324" t="s">
        <v>47</v>
      </c>
      <c r="D324" t="s">
        <v>42</v>
      </c>
      <c r="E324">
        <v>808812</v>
      </c>
      <c r="F324" s="1">
        <v>45363</v>
      </c>
      <c r="G324" s="1">
        <v>45390</v>
      </c>
      <c r="H324">
        <v>840855</v>
      </c>
      <c r="I324">
        <v>1530</v>
      </c>
      <c r="J324" s="5">
        <v>1286508150</v>
      </c>
      <c r="K324">
        <v>2</v>
      </c>
      <c r="L324">
        <v>4</v>
      </c>
      <c r="M324" t="s">
        <v>30</v>
      </c>
      <c r="N324">
        <v>2004</v>
      </c>
      <c r="O324">
        <v>1</v>
      </c>
      <c r="P324">
        <v>3</v>
      </c>
      <c r="Q324" t="s">
        <v>58</v>
      </c>
      <c r="R324" t="s">
        <v>872</v>
      </c>
      <c r="S324" t="s">
        <v>25</v>
      </c>
      <c r="T324" t="s">
        <v>873</v>
      </c>
    </row>
    <row r="325" spans="1:20" ht="16.5" x14ac:dyDescent="0.45">
      <c r="A325">
        <v>1324</v>
      </c>
      <c r="B325" t="s">
        <v>874</v>
      </c>
      <c r="C325" t="s">
        <v>51</v>
      </c>
      <c r="D325" t="s">
        <v>21</v>
      </c>
      <c r="E325">
        <v>639146</v>
      </c>
      <c r="F325" s="1">
        <v>45636</v>
      </c>
      <c r="G325" s="1">
        <v>45418</v>
      </c>
      <c r="H325">
        <v>682662</v>
      </c>
      <c r="I325">
        <v>2831</v>
      </c>
      <c r="J325" s="5">
        <v>1932616122</v>
      </c>
      <c r="K325">
        <v>5</v>
      </c>
      <c r="L325">
        <v>3</v>
      </c>
      <c r="M325" t="s">
        <v>30</v>
      </c>
      <c r="N325">
        <v>2002</v>
      </c>
      <c r="O325">
        <v>6</v>
      </c>
      <c r="P325">
        <v>3</v>
      </c>
      <c r="Q325" t="s">
        <v>58</v>
      </c>
      <c r="R325" t="s">
        <v>875</v>
      </c>
      <c r="S325" t="s">
        <v>25</v>
      </c>
      <c r="T325" t="s">
        <v>180</v>
      </c>
    </row>
    <row r="326" spans="1:20" ht="16.5" x14ac:dyDescent="0.45">
      <c r="A326">
        <v>1325</v>
      </c>
      <c r="B326" t="s">
        <v>876</v>
      </c>
      <c r="C326" t="s">
        <v>47</v>
      </c>
      <c r="D326" t="s">
        <v>42</v>
      </c>
      <c r="E326">
        <v>863273</v>
      </c>
      <c r="F326" s="1">
        <v>45455</v>
      </c>
      <c r="G326" s="1"/>
      <c r="I326">
        <v>4882</v>
      </c>
      <c r="K326">
        <v>2</v>
      </c>
      <c r="L326">
        <v>2</v>
      </c>
      <c r="M326" t="s">
        <v>62</v>
      </c>
      <c r="N326">
        <v>2002</v>
      </c>
      <c r="O326">
        <v>2</v>
      </c>
      <c r="P326">
        <v>4</v>
      </c>
      <c r="Q326" t="s">
        <v>38</v>
      </c>
      <c r="R326" t="s">
        <v>877</v>
      </c>
      <c r="S326" t="s">
        <v>33</v>
      </c>
      <c r="T326" t="s">
        <v>878</v>
      </c>
    </row>
    <row r="327" spans="1:20" ht="16.5" x14ac:dyDescent="0.45">
      <c r="A327">
        <v>1326</v>
      </c>
      <c r="B327" t="s">
        <v>879</v>
      </c>
      <c r="C327" t="s">
        <v>20</v>
      </c>
      <c r="D327" t="s">
        <v>21</v>
      </c>
      <c r="E327">
        <v>345313</v>
      </c>
      <c r="F327" s="1">
        <v>45591</v>
      </c>
      <c r="G327" s="1">
        <v>45469</v>
      </c>
      <c r="H327">
        <v>361399</v>
      </c>
      <c r="I327">
        <v>3438</v>
      </c>
      <c r="J327" s="5">
        <v>1242489762</v>
      </c>
      <c r="K327">
        <v>5</v>
      </c>
      <c r="L327">
        <v>5</v>
      </c>
      <c r="M327" t="s">
        <v>62</v>
      </c>
      <c r="N327">
        <v>2011</v>
      </c>
      <c r="O327">
        <v>10</v>
      </c>
      <c r="P327">
        <v>3</v>
      </c>
      <c r="Q327" t="s">
        <v>31</v>
      </c>
      <c r="R327" t="s">
        <v>880</v>
      </c>
      <c r="S327" t="s">
        <v>25</v>
      </c>
      <c r="T327" t="s">
        <v>881</v>
      </c>
    </row>
    <row r="328" spans="1:20" ht="16.5" x14ac:dyDescent="0.45">
      <c r="A328">
        <v>1327</v>
      </c>
      <c r="B328" t="s">
        <v>882</v>
      </c>
      <c r="C328" t="s">
        <v>20</v>
      </c>
      <c r="D328" t="s">
        <v>29</v>
      </c>
      <c r="E328">
        <v>684311</v>
      </c>
      <c r="F328" s="1">
        <v>45564</v>
      </c>
      <c r="G328" s="1"/>
      <c r="I328">
        <v>1563</v>
      </c>
      <c r="K328">
        <v>6</v>
      </c>
      <c r="L328">
        <v>5</v>
      </c>
      <c r="M328" t="s">
        <v>37</v>
      </c>
      <c r="N328">
        <v>2021</v>
      </c>
      <c r="O328">
        <v>9</v>
      </c>
      <c r="P328">
        <v>1</v>
      </c>
      <c r="Q328" t="s">
        <v>93</v>
      </c>
      <c r="R328" t="s">
        <v>883</v>
      </c>
      <c r="S328" t="s">
        <v>33</v>
      </c>
      <c r="T328" t="s">
        <v>287</v>
      </c>
    </row>
    <row r="329" spans="1:20" ht="16.5" x14ac:dyDescent="0.45">
      <c r="A329">
        <v>1328</v>
      </c>
      <c r="B329" t="s">
        <v>884</v>
      </c>
      <c r="C329" t="s">
        <v>20</v>
      </c>
      <c r="D329" t="s">
        <v>42</v>
      </c>
      <c r="E329">
        <v>506153</v>
      </c>
      <c r="F329" s="1">
        <v>45468</v>
      </c>
      <c r="G329" s="1">
        <v>45419</v>
      </c>
      <c r="H329">
        <v>529110</v>
      </c>
      <c r="I329">
        <v>2313</v>
      </c>
      <c r="J329" s="5">
        <v>1223831430</v>
      </c>
      <c r="K329">
        <v>4</v>
      </c>
      <c r="L329">
        <v>4</v>
      </c>
      <c r="M329" t="s">
        <v>22</v>
      </c>
      <c r="N329">
        <v>2017</v>
      </c>
      <c r="P329">
        <v>3</v>
      </c>
      <c r="Q329" t="s">
        <v>23</v>
      </c>
      <c r="R329" t="s">
        <v>885</v>
      </c>
      <c r="S329" t="s">
        <v>25</v>
      </c>
      <c r="T329" t="s">
        <v>91</v>
      </c>
    </row>
    <row r="330" spans="1:20" ht="16.5" x14ac:dyDescent="0.45">
      <c r="A330">
        <v>1329</v>
      </c>
      <c r="B330" t="s">
        <v>886</v>
      </c>
      <c r="C330" t="s">
        <v>47</v>
      </c>
      <c r="D330" t="s">
        <v>29</v>
      </c>
      <c r="E330">
        <v>616942</v>
      </c>
      <c r="F330" s="1">
        <v>45342</v>
      </c>
      <c r="G330" s="1"/>
      <c r="I330">
        <v>4528</v>
      </c>
      <c r="K330">
        <v>3</v>
      </c>
      <c r="L330">
        <v>4</v>
      </c>
      <c r="M330" t="s">
        <v>62</v>
      </c>
      <c r="N330">
        <v>2007</v>
      </c>
      <c r="O330">
        <v>2</v>
      </c>
      <c r="P330">
        <v>1</v>
      </c>
      <c r="Q330" t="s">
        <v>93</v>
      </c>
      <c r="R330" t="s">
        <v>887</v>
      </c>
      <c r="S330" t="s">
        <v>33</v>
      </c>
      <c r="T330" t="s">
        <v>888</v>
      </c>
    </row>
    <row r="331" spans="1:20" ht="16.5" x14ac:dyDescent="0.45">
      <c r="A331">
        <v>1330</v>
      </c>
      <c r="B331" t="s">
        <v>889</v>
      </c>
      <c r="C331" t="s">
        <v>47</v>
      </c>
      <c r="D331" t="s">
        <v>21</v>
      </c>
      <c r="E331">
        <v>574415</v>
      </c>
      <c r="F331" s="1">
        <v>45534</v>
      </c>
      <c r="G331" s="1">
        <v>45319</v>
      </c>
      <c r="H331">
        <v>600208</v>
      </c>
      <c r="I331">
        <v>3215</v>
      </c>
      <c r="J331" s="5">
        <v>1929668720</v>
      </c>
      <c r="K331">
        <v>3</v>
      </c>
      <c r="L331">
        <v>2</v>
      </c>
      <c r="M331" t="s">
        <v>37</v>
      </c>
      <c r="N331">
        <v>2022</v>
      </c>
      <c r="O331">
        <v>8</v>
      </c>
      <c r="P331">
        <v>4</v>
      </c>
      <c r="Q331" t="s">
        <v>38</v>
      </c>
      <c r="R331" t="s">
        <v>890</v>
      </c>
      <c r="S331" t="s">
        <v>25</v>
      </c>
      <c r="T331" t="s">
        <v>891</v>
      </c>
    </row>
    <row r="332" spans="1:20" ht="16.5" x14ac:dyDescent="0.45">
      <c r="A332">
        <v>1331</v>
      </c>
      <c r="B332" t="s">
        <v>892</v>
      </c>
      <c r="C332" t="s">
        <v>20</v>
      </c>
      <c r="D332" t="s">
        <v>42</v>
      </c>
      <c r="E332">
        <v>554965</v>
      </c>
      <c r="F332" s="1">
        <v>45487</v>
      </c>
      <c r="G332" s="1"/>
      <c r="I332">
        <v>1350</v>
      </c>
      <c r="K332">
        <v>3</v>
      </c>
      <c r="L332">
        <v>4</v>
      </c>
      <c r="M332" t="s">
        <v>22</v>
      </c>
      <c r="N332">
        <v>2017</v>
      </c>
      <c r="P332">
        <v>3</v>
      </c>
      <c r="Q332" t="s">
        <v>38</v>
      </c>
      <c r="R332" t="s">
        <v>893</v>
      </c>
      <c r="S332" t="s">
        <v>33</v>
      </c>
      <c r="T332" t="s">
        <v>723</v>
      </c>
    </row>
    <row r="333" spans="1:20" ht="16.5" x14ac:dyDescent="0.45">
      <c r="A333">
        <v>1332</v>
      </c>
      <c r="B333" t="s">
        <v>894</v>
      </c>
      <c r="C333" t="s">
        <v>20</v>
      </c>
      <c r="D333" t="s">
        <v>42</v>
      </c>
      <c r="E333">
        <v>474408</v>
      </c>
      <c r="F333" s="1">
        <v>45367</v>
      </c>
      <c r="G333" s="1"/>
      <c r="I333">
        <v>4691</v>
      </c>
      <c r="K333">
        <v>6</v>
      </c>
      <c r="L333">
        <v>4</v>
      </c>
      <c r="M333" t="s">
        <v>30</v>
      </c>
      <c r="N333">
        <v>2021</v>
      </c>
      <c r="O333">
        <v>5</v>
      </c>
      <c r="P333">
        <v>2</v>
      </c>
      <c r="Q333" t="s">
        <v>31</v>
      </c>
      <c r="R333" t="s">
        <v>895</v>
      </c>
      <c r="S333" t="s">
        <v>33</v>
      </c>
      <c r="T333" t="s">
        <v>896</v>
      </c>
    </row>
    <row r="334" spans="1:20" ht="16.5" x14ac:dyDescent="0.45">
      <c r="A334">
        <v>1333</v>
      </c>
      <c r="B334" t="s">
        <v>897</v>
      </c>
      <c r="C334" t="s">
        <v>51</v>
      </c>
      <c r="D334" t="s">
        <v>42</v>
      </c>
      <c r="E334">
        <v>818761</v>
      </c>
      <c r="F334" s="1">
        <v>45388</v>
      </c>
      <c r="G334" s="1"/>
      <c r="I334">
        <v>4011</v>
      </c>
      <c r="K334">
        <v>6</v>
      </c>
      <c r="L334">
        <v>5</v>
      </c>
      <c r="M334" t="s">
        <v>62</v>
      </c>
      <c r="N334">
        <v>2007</v>
      </c>
      <c r="O334">
        <v>10</v>
      </c>
      <c r="P334">
        <v>2</v>
      </c>
      <c r="Q334" t="s">
        <v>75</v>
      </c>
      <c r="R334" t="s">
        <v>898</v>
      </c>
      <c r="S334" t="s">
        <v>33</v>
      </c>
      <c r="T334" t="s">
        <v>40</v>
      </c>
    </row>
    <row r="335" spans="1:20" ht="16.5" x14ac:dyDescent="0.45">
      <c r="A335">
        <v>1334</v>
      </c>
      <c r="B335" t="s">
        <v>899</v>
      </c>
      <c r="C335" t="s">
        <v>51</v>
      </c>
      <c r="D335" t="s">
        <v>42</v>
      </c>
      <c r="E335">
        <v>918858</v>
      </c>
      <c r="F335" s="1">
        <v>45413</v>
      </c>
      <c r="G335" s="1">
        <v>45399</v>
      </c>
      <c r="H335">
        <v>930124</v>
      </c>
      <c r="I335">
        <v>4254</v>
      </c>
      <c r="J335" s="5">
        <v>3956747496</v>
      </c>
      <c r="K335">
        <v>3</v>
      </c>
      <c r="L335">
        <v>4</v>
      </c>
      <c r="M335" t="s">
        <v>22</v>
      </c>
      <c r="N335">
        <v>2001</v>
      </c>
      <c r="P335">
        <v>1</v>
      </c>
      <c r="Q335" t="s">
        <v>132</v>
      </c>
      <c r="R335" t="s">
        <v>900</v>
      </c>
      <c r="S335" t="s">
        <v>25</v>
      </c>
      <c r="T335" t="s">
        <v>901</v>
      </c>
    </row>
    <row r="336" spans="1:20" ht="16.5" x14ac:dyDescent="0.45">
      <c r="A336">
        <v>1335</v>
      </c>
      <c r="B336" t="s">
        <v>902</v>
      </c>
      <c r="C336" t="s">
        <v>47</v>
      </c>
      <c r="D336" t="s">
        <v>21</v>
      </c>
      <c r="E336">
        <v>929245</v>
      </c>
      <c r="F336" s="1">
        <v>45345</v>
      </c>
      <c r="G336" s="1">
        <v>45476</v>
      </c>
      <c r="H336">
        <v>953065</v>
      </c>
      <c r="I336">
        <v>3784</v>
      </c>
      <c r="J336" s="5">
        <v>3606397960</v>
      </c>
      <c r="K336">
        <v>5</v>
      </c>
      <c r="L336">
        <v>2</v>
      </c>
      <c r="M336" t="s">
        <v>30</v>
      </c>
      <c r="N336">
        <v>2004</v>
      </c>
      <c r="O336">
        <v>6</v>
      </c>
      <c r="P336">
        <v>3</v>
      </c>
      <c r="Q336" t="s">
        <v>162</v>
      </c>
      <c r="R336" t="s">
        <v>903</v>
      </c>
      <c r="S336" t="s">
        <v>25</v>
      </c>
      <c r="T336" t="s">
        <v>904</v>
      </c>
    </row>
    <row r="337" spans="1:20" ht="16.5" x14ac:dyDescent="0.45">
      <c r="A337">
        <v>1336</v>
      </c>
      <c r="B337" t="s">
        <v>905</v>
      </c>
      <c r="C337" t="s">
        <v>51</v>
      </c>
      <c r="D337" t="s">
        <v>42</v>
      </c>
      <c r="E337">
        <v>404559</v>
      </c>
      <c r="F337" s="1">
        <v>45282</v>
      </c>
      <c r="G337" s="1"/>
      <c r="I337">
        <v>4713</v>
      </c>
      <c r="K337">
        <v>6</v>
      </c>
      <c r="L337">
        <v>5</v>
      </c>
      <c r="M337" t="s">
        <v>62</v>
      </c>
      <c r="N337">
        <v>2008</v>
      </c>
      <c r="O337">
        <v>8</v>
      </c>
      <c r="P337">
        <v>4</v>
      </c>
      <c r="Q337" t="s">
        <v>23</v>
      </c>
      <c r="R337" t="s">
        <v>906</v>
      </c>
      <c r="S337" t="s">
        <v>33</v>
      </c>
      <c r="T337" t="s">
        <v>907</v>
      </c>
    </row>
    <row r="338" spans="1:20" ht="16.5" x14ac:dyDescent="0.45">
      <c r="A338">
        <v>1337</v>
      </c>
      <c r="B338" t="s">
        <v>908</v>
      </c>
      <c r="C338" t="s">
        <v>28</v>
      </c>
      <c r="D338" t="s">
        <v>42</v>
      </c>
      <c r="E338">
        <v>592231</v>
      </c>
      <c r="F338" s="1">
        <v>45495</v>
      </c>
      <c r="G338" s="1"/>
      <c r="I338">
        <v>2136</v>
      </c>
      <c r="K338">
        <v>6</v>
      </c>
      <c r="L338">
        <v>5</v>
      </c>
      <c r="M338" t="s">
        <v>22</v>
      </c>
      <c r="N338">
        <v>2004</v>
      </c>
      <c r="P338">
        <v>1</v>
      </c>
      <c r="Q338" t="s">
        <v>31</v>
      </c>
      <c r="R338" t="s">
        <v>909</v>
      </c>
      <c r="S338" t="s">
        <v>33</v>
      </c>
      <c r="T338" t="s">
        <v>122</v>
      </c>
    </row>
    <row r="339" spans="1:20" ht="16.5" x14ac:dyDescent="0.45">
      <c r="A339">
        <v>1338</v>
      </c>
      <c r="B339" t="s">
        <v>910</v>
      </c>
      <c r="C339" t="s">
        <v>28</v>
      </c>
      <c r="D339" t="s">
        <v>29</v>
      </c>
      <c r="E339">
        <v>920199</v>
      </c>
      <c r="F339" s="1">
        <v>45328</v>
      </c>
      <c r="G339" s="1"/>
      <c r="I339">
        <v>1716</v>
      </c>
      <c r="K339">
        <v>6</v>
      </c>
      <c r="L339">
        <v>2</v>
      </c>
      <c r="M339" t="s">
        <v>22</v>
      </c>
      <c r="N339">
        <v>2005</v>
      </c>
      <c r="P339">
        <v>2</v>
      </c>
      <c r="Q339" t="s">
        <v>31</v>
      </c>
      <c r="R339" t="s">
        <v>911</v>
      </c>
      <c r="S339" t="s">
        <v>33</v>
      </c>
      <c r="T339" t="s">
        <v>912</v>
      </c>
    </row>
    <row r="340" spans="1:20" ht="16.5" x14ac:dyDescent="0.45">
      <c r="A340">
        <v>1339</v>
      </c>
      <c r="B340" t="s">
        <v>913</v>
      </c>
      <c r="C340" t="s">
        <v>20</v>
      </c>
      <c r="D340" t="s">
        <v>29</v>
      </c>
      <c r="E340">
        <v>620985</v>
      </c>
      <c r="F340" s="1">
        <v>45450</v>
      </c>
      <c r="G340" s="1">
        <v>45328</v>
      </c>
      <c r="H340">
        <v>670646</v>
      </c>
      <c r="I340">
        <v>1228</v>
      </c>
      <c r="J340" s="5">
        <v>823553288</v>
      </c>
      <c r="K340">
        <v>2</v>
      </c>
      <c r="L340">
        <v>3</v>
      </c>
      <c r="M340" t="s">
        <v>22</v>
      </c>
      <c r="N340">
        <v>2017</v>
      </c>
      <c r="P340">
        <v>1</v>
      </c>
      <c r="Q340" t="s">
        <v>58</v>
      </c>
      <c r="R340" t="s">
        <v>914</v>
      </c>
      <c r="S340" t="s">
        <v>25</v>
      </c>
      <c r="T340" t="s">
        <v>915</v>
      </c>
    </row>
    <row r="341" spans="1:20" ht="16.5" x14ac:dyDescent="0.45">
      <c r="A341">
        <v>1340</v>
      </c>
      <c r="B341" t="s">
        <v>916</v>
      </c>
      <c r="C341" t="s">
        <v>47</v>
      </c>
      <c r="D341" t="s">
        <v>21</v>
      </c>
      <c r="E341">
        <v>640581</v>
      </c>
      <c r="F341" s="1">
        <v>45545</v>
      </c>
      <c r="G341" s="1"/>
      <c r="I341">
        <v>1735</v>
      </c>
      <c r="K341">
        <v>4</v>
      </c>
      <c r="L341">
        <v>5</v>
      </c>
      <c r="M341" t="s">
        <v>37</v>
      </c>
      <c r="N341">
        <v>2020</v>
      </c>
      <c r="O341">
        <v>3</v>
      </c>
      <c r="P341">
        <v>2</v>
      </c>
      <c r="Q341" t="s">
        <v>58</v>
      </c>
      <c r="R341" t="s">
        <v>917</v>
      </c>
      <c r="S341" t="s">
        <v>33</v>
      </c>
      <c r="T341" t="s">
        <v>128</v>
      </c>
    </row>
    <row r="342" spans="1:20" ht="16.5" x14ac:dyDescent="0.45">
      <c r="A342">
        <v>1341</v>
      </c>
      <c r="B342" t="s">
        <v>918</v>
      </c>
      <c r="C342" t="s">
        <v>20</v>
      </c>
      <c r="D342" t="s">
        <v>29</v>
      </c>
      <c r="E342">
        <v>864551</v>
      </c>
      <c r="F342" s="1">
        <v>45614</v>
      </c>
      <c r="G342" s="1">
        <v>45635</v>
      </c>
      <c r="H342">
        <v>890560</v>
      </c>
      <c r="I342">
        <v>2805</v>
      </c>
      <c r="J342" s="5">
        <v>2498020800</v>
      </c>
      <c r="K342">
        <v>4</v>
      </c>
      <c r="L342">
        <v>4</v>
      </c>
      <c r="M342" t="s">
        <v>30</v>
      </c>
      <c r="N342">
        <v>2020</v>
      </c>
      <c r="O342">
        <v>7</v>
      </c>
      <c r="P342">
        <v>1</v>
      </c>
      <c r="Q342" t="s">
        <v>43</v>
      </c>
      <c r="R342" t="s">
        <v>919</v>
      </c>
      <c r="S342" t="s">
        <v>25</v>
      </c>
      <c r="T342" t="s">
        <v>91</v>
      </c>
    </row>
    <row r="343" spans="1:20" ht="16.5" x14ac:dyDescent="0.45">
      <c r="A343">
        <v>1342</v>
      </c>
      <c r="B343" t="s">
        <v>920</v>
      </c>
      <c r="C343" t="s">
        <v>47</v>
      </c>
      <c r="D343" t="s">
        <v>29</v>
      </c>
      <c r="E343">
        <v>483146</v>
      </c>
      <c r="F343" s="1">
        <v>45391</v>
      </c>
      <c r="G343" s="1">
        <v>45340</v>
      </c>
      <c r="H343">
        <v>499772</v>
      </c>
      <c r="I343">
        <v>2060</v>
      </c>
      <c r="J343" s="5">
        <v>1029530320</v>
      </c>
      <c r="K343">
        <v>6</v>
      </c>
      <c r="L343">
        <v>3</v>
      </c>
      <c r="M343" t="s">
        <v>37</v>
      </c>
      <c r="N343">
        <v>2023</v>
      </c>
      <c r="O343">
        <v>7</v>
      </c>
      <c r="P343">
        <v>3</v>
      </c>
      <c r="Q343" t="s">
        <v>23</v>
      </c>
      <c r="R343" t="s">
        <v>921</v>
      </c>
      <c r="S343" t="s">
        <v>25</v>
      </c>
      <c r="T343" t="s">
        <v>922</v>
      </c>
    </row>
    <row r="344" spans="1:20" ht="16.5" x14ac:dyDescent="0.45">
      <c r="A344">
        <v>1343</v>
      </c>
      <c r="B344" t="s">
        <v>923</v>
      </c>
      <c r="C344" t="s">
        <v>28</v>
      </c>
      <c r="D344" t="s">
        <v>29</v>
      </c>
      <c r="E344">
        <v>406781</v>
      </c>
      <c r="F344" s="1">
        <v>45481</v>
      </c>
      <c r="G344" s="1">
        <v>45503</v>
      </c>
      <c r="H344">
        <v>446631</v>
      </c>
      <c r="I344">
        <v>1845</v>
      </c>
      <c r="J344" s="5">
        <v>824034195</v>
      </c>
      <c r="K344">
        <v>2</v>
      </c>
      <c r="L344">
        <v>5</v>
      </c>
      <c r="M344" t="s">
        <v>62</v>
      </c>
      <c r="N344">
        <v>2012</v>
      </c>
      <c r="O344">
        <v>6</v>
      </c>
      <c r="P344">
        <v>4</v>
      </c>
      <c r="Q344" t="s">
        <v>43</v>
      </c>
      <c r="R344" t="s">
        <v>924</v>
      </c>
      <c r="S344" t="s">
        <v>25</v>
      </c>
      <c r="T344" t="s">
        <v>925</v>
      </c>
    </row>
    <row r="345" spans="1:20" ht="16.5" x14ac:dyDescent="0.45">
      <c r="A345">
        <v>1344</v>
      </c>
      <c r="B345" t="s">
        <v>926</v>
      </c>
      <c r="C345" t="s">
        <v>28</v>
      </c>
      <c r="D345" t="s">
        <v>42</v>
      </c>
      <c r="E345">
        <v>386554</v>
      </c>
      <c r="F345" s="1">
        <v>45622</v>
      </c>
      <c r="G345" s="1"/>
      <c r="I345">
        <v>1470</v>
      </c>
      <c r="K345">
        <v>3</v>
      </c>
      <c r="L345">
        <v>4</v>
      </c>
      <c r="M345" t="s">
        <v>37</v>
      </c>
      <c r="N345">
        <v>2015</v>
      </c>
      <c r="O345">
        <v>4</v>
      </c>
      <c r="P345">
        <v>4</v>
      </c>
      <c r="Q345" t="s">
        <v>23</v>
      </c>
      <c r="R345" t="s">
        <v>927</v>
      </c>
      <c r="S345" t="s">
        <v>33</v>
      </c>
      <c r="T345" t="s">
        <v>928</v>
      </c>
    </row>
    <row r="346" spans="1:20" ht="16.5" x14ac:dyDescent="0.45">
      <c r="A346">
        <v>1345</v>
      </c>
      <c r="B346" t="s">
        <v>929</v>
      </c>
      <c r="C346" t="s">
        <v>36</v>
      </c>
      <c r="D346" t="s">
        <v>21</v>
      </c>
      <c r="E346">
        <v>692587</v>
      </c>
      <c r="F346" s="1">
        <v>45567</v>
      </c>
      <c r="G346" s="1"/>
      <c r="I346">
        <v>3539</v>
      </c>
      <c r="K346">
        <v>3</v>
      </c>
      <c r="L346">
        <v>5</v>
      </c>
      <c r="M346" t="s">
        <v>37</v>
      </c>
      <c r="N346">
        <v>2007</v>
      </c>
      <c r="O346">
        <v>10</v>
      </c>
      <c r="P346">
        <v>1</v>
      </c>
      <c r="Q346" t="s">
        <v>86</v>
      </c>
      <c r="R346" t="s">
        <v>930</v>
      </c>
      <c r="S346" t="s">
        <v>33</v>
      </c>
      <c r="T346" t="s">
        <v>931</v>
      </c>
    </row>
    <row r="347" spans="1:20" ht="16.5" x14ac:dyDescent="0.45">
      <c r="A347">
        <v>1346</v>
      </c>
      <c r="B347" t="s">
        <v>932</v>
      </c>
      <c r="C347" t="s">
        <v>36</v>
      </c>
      <c r="D347" t="s">
        <v>42</v>
      </c>
      <c r="E347">
        <v>489727</v>
      </c>
      <c r="F347" s="1">
        <v>45601</v>
      </c>
      <c r="G347" s="1">
        <v>45623</v>
      </c>
      <c r="H347">
        <v>520275</v>
      </c>
      <c r="I347">
        <v>4012</v>
      </c>
      <c r="J347" s="5">
        <v>2087343300</v>
      </c>
      <c r="K347">
        <v>4</v>
      </c>
      <c r="L347">
        <v>4</v>
      </c>
      <c r="M347" t="s">
        <v>30</v>
      </c>
      <c r="N347">
        <v>2017</v>
      </c>
      <c r="O347">
        <v>2</v>
      </c>
      <c r="P347">
        <v>1</v>
      </c>
      <c r="Q347" t="s">
        <v>23</v>
      </c>
      <c r="R347" t="s">
        <v>933</v>
      </c>
      <c r="S347" t="s">
        <v>25</v>
      </c>
      <c r="T347" t="s">
        <v>934</v>
      </c>
    </row>
    <row r="348" spans="1:20" ht="16.5" x14ac:dyDescent="0.45">
      <c r="A348">
        <v>1347</v>
      </c>
      <c r="B348" t="s">
        <v>935</v>
      </c>
      <c r="C348" t="s">
        <v>47</v>
      </c>
      <c r="D348" t="s">
        <v>42</v>
      </c>
      <c r="E348">
        <v>585251</v>
      </c>
      <c r="F348" s="1">
        <v>45459</v>
      </c>
      <c r="G348" s="1">
        <v>45350</v>
      </c>
      <c r="H348">
        <v>618415</v>
      </c>
      <c r="I348">
        <v>1799</v>
      </c>
      <c r="J348" s="5">
        <v>1112528585</v>
      </c>
      <c r="K348">
        <v>3</v>
      </c>
      <c r="L348">
        <v>4</v>
      </c>
      <c r="M348" t="s">
        <v>37</v>
      </c>
      <c r="N348">
        <v>2005</v>
      </c>
      <c r="O348">
        <v>5</v>
      </c>
      <c r="P348">
        <v>2</v>
      </c>
      <c r="Q348" t="s">
        <v>132</v>
      </c>
      <c r="R348" t="s">
        <v>936</v>
      </c>
      <c r="S348" t="s">
        <v>25</v>
      </c>
      <c r="T348" t="s">
        <v>183</v>
      </c>
    </row>
    <row r="349" spans="1:20" ht="16.5" x14ac:dyDescent="0.45">
      <c r="A349">
        <v>1348</v>
      </c>
      <c r="B349" t="s">
        <v>937</v>
      </c>
      <c r="C349" t="s">
        <v>51</v>
      </c>
      <c r="D349" t="s">
        <v>29</v>
      </c>
      <c r="E349">
        <v>924632</v>
      </c>
      <c r="F349" s="1">
        <v>45534</v>
      </c>
      <c r="G349" s="1"/>
      <c r="I349">
        <v>1564</v>
      </c>
      <c r="K349">
        <v>4</v>
      </c>
      <c r="L349">
        <v>2</v>
      </c>
      <c r="M349" t="s">
        <v>37</v>
      </c>
      <c r="N349">
        <v>2022</v>
      </c>
      <c r="O349">
        <v>4</v>
      </c>
      <c r="P349">
        <v>3</v>
      </c>
      <c r="Q349" t="s">
        <v>58</v>
      </c>
      <c r="R349" t="s">
        <v>938</v>
      </c>
      <c r="S349" t="s">
        <v>33</v>
      </c>
      <c r="T349" t="s">
        <v>939</v>
      </c>
    </row>
    <row r="350" spans="1:20" ht="16.5" x14ac:dyDescent="0.45">
      <c r="A350">
        <v>1349</v>
      </c>
      <c r="B350" t="s">
        <v>940</v>
      </c>
      <c r="C350" t="s">
        <v>28</v>
      </c>
      <c r="D350" t="s">
        <v>29</v>
      </c>
      <c r="E350">
        <v>397521</v>
      </c>
      <c r="F350" s="1">
        <v>45596</v>
      </c>
      <c r="G350" s="1"/>
      <c r="I350">
        <v>1120</v>
      </c>
      <c r="K350">
        <v>5</v>
      </c>
      <c r="L350">
        <v>3</v>
      </c>
      <c r="M350" t="s">
        <v>62</v>
      </c>
      <c r="N350">
        <v>2011</v>
      </c>
      <c r="O350">
        <v>10</v>
      </c>
      <c r="P350">
        <v>3</v>
      </c>
      <c r="Q350" t="s">
        <v>58</v>
      </c>
      <c r="R350" t="s">
        <v>941</v>
      </c>
      <c r="S350" t="s">
        <v>33</v>
      </c>
      <c r="T350" t="s">
        <v>91</v>
      </c>
    </row>
    <row r="351" spans="1:20" ht="16.5" x14ac:dyDescent="0.45">
      <c r="A351">
        <v>1350</v>
      </c>
      <c r="B351" t="s">
        <v>942</v>
      </c>
      <c r="C351" t="s">
        <v>36</v>
      </c>
      <c r="D351" t="s">
        <v>29</v>
      </c>
      <c r="E351">
        <v>814091</v>
      </c>
      <c r="F351" s="1">
        <v>45505</v>
      </c>
      <c r="G351" s="1"/>
      <c r="I351">
        <v>3458</v>
      </c>
      <c r="K351">
        <v>3</v>
      </c>
      <c r="L351">
        <v>5</v>
      </c>
      <c r="M351" t="s">
        <v>62</v>
      </c>
      <c r="N351">
        <v>2021</v>
      </c>
      <c r="O351">
        <v>5</v>
      </c>
      <c r="P351">
        <v>4</v>
      </c>
      <c r="Q351" t="s">
        <v>75</v>
      </c>
      <c r="R351" t="s">
        <v>572</v>
      </c>
      <c r="S351" t="s">
        <v>33</v>
      </c>
      <c r="T351" t="s">
        <v>943</v>
      </c>
    </row>
    <row r="352" spans="1:20" ht="16.5" x14ac:dyDescent="0.45">
      <c r="A352">
        <v>1351</v>
      </c>
      <c r="B352" t="s">
        <v>944</v>
      </c>
      <c r="C352" t="s">
        <v>20</v>
      </c>
      <c r="D352" t="s">
        <v>42</v>
      </c>
      <c r="E352">
        <v>632549</v>
      </c>
      <c r="F352" s="1">
        <v>45492</v>
      </c>
      <c r="G352" s="1"/>
      <c r="I352">
        <v>1982</v>
      </c>
      <c r="K352">
        <v>4</v>
      </c>
      <c r="L352">
        <v>3</v>
      </c>
      <c r="M352" t="s">
        <v>62</v>
      </c>
      <c r="N352">
        <v>2016</v>
      </c>
      <c r="O352">
        <v>10</v>
      </c>
      <c r="P352">
        <v>1</v>
      </c>
      <c r="Q352" t="s">
        <v>38</v>
      </c>
      <c r="R352" t="s">
        <v>945</v>
      </c>
      <c r="S352" t="s">
        <v>33</v>
      </c>
      <c r="T352" t="s">
        <v>946</v>
      </c>
    </row>
    <row r="353" spans="1:20" ht="16.5" x14ac:dyDescent="0.45">
      <c r="A353">
        <v>1352</v>
      </c>
      <c r="B353" t="s">
        <v>947</v>
      </c>
      <c r="C353" t="s">
        <v>20</v>
      </c>
      <c r="D353" t="s">
        <v>21</v>
      </c>
      <c r="E353">
        <v>806612</v>
      </c>
      <c r="F353" s="1">
        <v>45438</v>
      </c>
      <c r="G353" s="1"/>
      <c r="I353">
        <v>1592</v>
      </c>
      <c r="K353">
        <v>3</v>
      </c>
      <c r="L353">
        <v>2</v>
      </c>
      <c r="M353" t="s">
        <v>30</v>
      </c>
      <c r="N353">
        <v>2008</v>
      </c>
      <c r="O353">
        <v>1</v>
      </c>
      <c r="P353">
        <v>1</v>
      </c>
      <c r="Q353" t="s">
        <v>43</v>
      </c>
      <c r="R353" t="s">
        <v>759</v>
      </c>
      <c r="S353" t="s">
        <v>33</v>
      </c>
      <c r="T353" t="s">
        <v>444</v>
      </c>
    </row>
    <row r="354" spans="1:20" ht="16.5" x14ac:dyDescent="0.45">
      <c r="A354">
        <v>1353</v>
      </c>
      <c r="B354" t="s">
        <v>948</v>
      </c>
      <c r="C354" t="s">
        <v>47</v>
      </c>
      <c r="D354" t="s">
        <v>29</v>
      </c>
      <c r="E354">
        <v>427000</v>
      </c>
      <c r="F354" s="1">
        <v>45472</v>
      </c>
      <c r="G354" s="1"/>
      <c r="I354">
        <v>1454</v>
      </c>
      <c r="K354">
        <v>5</v>
      </c>
      <c r="L354">
        <v>4</v>
      </c>
      <c r="M354" t="s">
        <v>30</v>
      </c>
      <c r="N354">
        <v>2002</v>
      </c>
      <c r="O354">
        <v>1</v>
      </c>
      <c r="P354">
        <v>4</v>
      </c>
      <c r="Q354" t="s">
        <v>23</v>
      </c>
      <c r="R354" t="s">
        <v>949</v>
      </c>
      <c r="S354" t="s">
        <v>33</v>
      </c>
      <c r="T354" t="s">
        <v>950</v>
      </c>
    </row>
    <row r="355" spans="1:20" ht="16.5" x14ac:dyDescent="0.45">
      <c r="A355">
        <v>1354</v>
      </c>
      <c r="B355" t="s">
        <v>951</v>
      </c>
      <c r="C355" t="s">
        <v>51</v>
      </c>
      <c r="D355" t="s">
        <v>21</v>
      </c>
      <c r="E355">
        <v>426016</v>
      </c>
      <c r="F355" s="1">
        <v>45391</v>
      </c>
      <c r="G355" s="1">
        <v>45334</v>
      </c>
      <c r="H355">
        <v>459506</v>
      </c>
      <c r="I355">
        <v>1968</v>
      </c>
      <c r="J355" s="5">
        <v>904307808</v>
      </c>
      <c r="K355">
        <v>3</v>
      </c>
      <c r="L355">
        <v>5</v>
      </c>
      <c r="M355" t="s">
        <v>37</v>
      </c>
      <c r="N355">
        <v>2006</v>
      </c>
      <c r="O355">
        <v>7</v>
      </c>
      <c r="P355">
        <v>3</v>
      </c>
      <c r="Q355" t="s">
        <v>38</v>
      </c>
      <c r="R355" t="s">
        <v>952</v>
      </c>
      <c r="S355" t="s">
        <v>25</v>
      </c>
      <c r="T355" t="s">
        <v>77</v>
      </c>
    </row>
    <row r="356" spans="1:20" ht="16.5" x14ac:dyDescent="0.45">
      <c r="A356">
        <v>1355</v>
      </c>
      <c r="B356" t="s">
        <v>953</v>
      </c>
      <c r="C356" t="s">
        <v>36</v>
      </c>
      <c r="D356" t="s">
        <v>29</v>
      </c>
      <c r="E356">
        <v>485987</v>
      </c>
      <c r="F356" s="1">
        <v>45516</v>
      </c>
      <c r="G356" s="1">
        <v>45331</v>
      </c>
      <c r="H356">
        <v>513433</v>
      </c>
      <c r="I356">
        <v>4449</v>
      </c>
      <c r="J356" s="5">
        <v>2284263417</v>
      </c>
      <c r="K356">
        <v>3</v>
      </c>
      <c r="L356">
        <v>4</v>
      </c>
      <c r="M356" t="s">
        <v>37</v>
      </c>
      <c r="N356">
        <v>2010</v>
      </c>
      <c r="O356">
        <v>5</v>
      </c>
      <c r="P356">
        <v>1</v>
      </c>
      <c r="Q356" t="s">
        <v>75</v>
      </c>
      <c r="R356" t="s">
        <v>954</v>
      </c>
      <c r="S356" t="s">
        <v>25</v>
      </c>
      <c r="T356" t="s">
        <v>955</v>
      </c>
    </row>
    <row r="357" spans="1:20" ht="16.5" x14ac:dyDescent="0.45">
      <c r="A357">
        <v>1356</v>
      </c>
      <c r="B357" t="s">
        <v>956</v>
      </c>
      <c r="C357" t="s">
        <v>20</v>
      </c>
      <c r="D357" t="s">
        <v>21</v>
      </c>
      <c r="E357">
        <v>881908</v>
      </c>
      <c r="F357" s="1">
        <v>45305</v>
      </c>
      <c r="G357" s="1">
        <v>45440</v>
      </c>
      <c r="H357">
        <v>915520</v>
      </c>
      <c r="I357">
        <v>3811</v>
      </c>
      <c r="J357" s="5">
        <v>3489046720</v>
      </c>
      <c r="K357">
        <v>6</v>
      </c>
      <c r="L357">
        <v>4</v>
      </c>
      <c r="M357" t="s">
        <v>37</v>
      </c>
      <c r="N357">
        <v>2005</v>
      </c>
      <c r="O357">
        <v>9</v>
      </c>
      <c r="P357">
        <v>4</v>
      </c>
      <c r="Q357" t="s">
        <v>75</v>
      </c>
      <c r="R357" t="s">
        <v>957</v>
      </c>
      <c r="S357" t="s">
        <v>25</v>
      </c>
      <c r="T357" t="s">
        <v>603</v>
      </c>
    </row>
    <row r="358" spans="1:20" ht="16.5" x14ac:dyDescent="0.45">
      <c r="A358">
        <v>1357</v>
      </c>
      <c r="B358" t="s">
        <v>958</v>
      </c>
      <c r="C358" t="s">
        <v>51</v>
      </c>
      <c r="D358" t="s">
        <v>21</v>
      </c>
      <c r="E358">
        <v>444818</v>
      </c>
      <c r="F358" s="1">
        <v>45343</v>
      </c>
      <c r="G358" s="1">
        <v>45374</v>
      </c>
      <c r="H358">
        <v>491170</v>
      </c>
      <c r="I358">
        <v>1177</v>
      </c>
      <c r="J358" s="5">
        <v>578107090</v>
      </c>
      <c r="K358">
        <v>6</v>
      </c>
      <c r="L358">
        <v>2</v>
      </c>
      <c r="M358" t="s">
        <v>22</v>
      </c>
      <c r="N358">
        <v>2011</v>
      </c>
      <c r="P358">
        <v>2</v>
      </c>
      <c r="Q358" t="s">
        <v>93</v>
      </c>
      <c r="R358" t="s">
        <v>959</v>
      </c>
      <c r="S358" t="s">
        <v>25</v>
      </c>
      <c r="T358" t="s">
        <v>460</v>
      </c>
    </row>
    <row r="359" spans="1:20" ht="16.5" x14ac:dyDescent="0.45">
      <c r="A359">
        <v>1358</v>
      </c>
      <c r="B359" t="s">
        <v>960</v>
      </c>
      <c r="C359" t="s">
        <v>20</v>
      </c>
      <c r="D359" t="s">
        <v>29</v>
      </c>
      <c r="E359">
        <v>335981</v>
      </c>
      <c r="F359" s="1">
        <v>45627</v>
      </c>
      <c r="G359" s="1"/>
      <c r="I359">
        <v>1186</v>
      </c>
      <c r="K359">
        <v>2</v>
      </c>
      <c r="L359">
        <v>5</v>
      </c>
      <c r="M359" t="s">
        <v>62</v>
      </c>
      <c r="N359">
        <v>2019</v>
      </c>
      <c r="O359">
        <v>8</v>
      </c>
      <c r="P359">
        <v>3</v>
      </c>
      <c r="Q359" t="s">
        <v>31</v>
      </c>
      <c r="R359" t="s">
        <v>961</v>
      </c>
      <c r="S359" t="s">
        <v>33</v>
      </c>
      <c r="T359" t="s">
        <v>183</v>
      </c>
    </row>
    <row r="360" spans="1:20" ht="16.5" x14ac:dyDescent="0.45">
      <c r="A360">
        <v>1359</v>
      </c>
      <c r="B360" t="s">
        <v>962</v>
      </c>
      <c r="C360" t="s">
        <v>28</v>
      </c>
      <c r="D360" t="s">
        <v>42</v>
      </c>
      <c r="E360">
        <v>890344</v>
      </c>
      <c r="F360" s="1">
        <v>45470</v>
      </c>
      <c r="G360" s="1">
        <v>45554</v>
      </c>
      <c r="H360">
        <v>921650</v>
      </c>
      <c r="I360">
        <v>3907</v>
      </c>
      <c r="J360" s="5">
        <v>3600886550</v>
      </c>
      <c r="K360">
        <v>5</v>
      </c>
      <c r="L360">
        <v>3</v>
      </c>
      <c r="M360" t="s">
        <v>22</v>
      </c>
      <c r="N360">
        <v>2020</v>
      </c>
      <c r="P360">
        <v>3</v>
      </c>
      <c r="Q360" t="s">
        <v>23</v>
      </c>
      <c r="R360" t="s">
        <v>963</v>
      </c>
      <c r="S360" t="s">
        <v>25</v>
      </c>
      <c r="T360" t="s">
        <v>964</v>
      </c>
    </row>
    <row r="361" spans="1:20" ht="16.5" x14ac:dyDescent="0.45">
      <c r="A361">
        <v>1360</v>
      </c>
      <c r="B361" t="s">
        <v>965</v>
      </c>
      <c r="C361" t="s">
        <v>47</v>
      </c>
      <c r="D361" t="s">
        <v>21</v>
      </c>
      <c r="E361">
        <v>625215</v>
      </c>
      <c r="F361" s="1">
        <v>45593</v>
      </c>
      <c r="G361" s="1">
        <v>45520</v>
      </c>
      <c r="H361">
        <v>661936</v>
      </c>
      <c r="I361">
        <v>4565</v>
      </c>
      <c r="J361" s="5">
        <v>3021737840</v>
      </c>
      <c r="K361">
        <v>3</v>
      </c>
      <c r="L361">
        <v>5</v>
      </c>
      <c r="M361" t="s">
        <v>37</v>
      </c>
      <c r="N361">
        <v>2001</v>
      </c>
      <c r="O361">
        <v>6</v>
      </c>
      <c r="P361">
        <v>1</v>
      </c>
      <c r="Q361" t="s">
        <v>132</v>
      </c>
      <c r="R361" t="s">
        <v>966</v>
      </c>
      <c r="S361" t="s">
        <v>25</v>
      </c>
      <c r="T361" t="s">
        <v>967</v>
      </c>
    </row>
    <row r="362" spans="1:20" ht="16.5" x14ac:dyDescent="0.45">
      <c r="A362">
        <v>1361</v>
      </c>
      <c r="B362" t="s">
        <v>968</v>
      </c>
      <c r="C362" t="s">
        <v>51</v>
      </c>
      <c r="D362" t="s">
        <v>29</v>
      </c>
      <c r="E362">
        <v>359826</v>
      </c>
      <c r="F362" s="1">
        <v>45439</v>
      </c>
      <c r="G362" s="1">
        <v>45383</v>
      </c>
      <c r="H362">
        <v>402025</v>
      </c>
      <c r="I362">
        <v>3031</v>
      </c>
      <c r="J362" s="5">
        <v>1218537775</v>
      </c>
      <c r="K362">
        <v>3</v>
      </c>
      <c r="L362">
        <v>2</v>
      </c>
      <c r="M362" t="s">
        <v>62</v>
      </c>
      <c r="N362">
        <v>2016</v>
      </c>
      <c r="O362">
        <v>6</v>
      </c>
      <c r="P362">
        <v>1</v>
      </c>
      <c r="Q362" t="s">
        <v>43</v>
      </c>
      <c r="R362" t="s">
        <v>969</v>
      </c>
      <c r="S362" t="s">
        <v>25</v>
      </c>
      <c r="T362" t="s">
        <v>970</v>
      </c>
    </row>
    <row r="363" spans="1:20" ht="16.5" x14ac:dyDescent="0.45">
      <c r="A363">
        <v>1362</v>
      </c>
      <c r="B363" t="s">
        <v>971</v>
      </c>
      <c r="C363" t="s">
        <v>51</v>
      </c>
      <c r="D363" t="s">
        <v>29</v>
      </c>
      <c r="E363">
        <v>458617</v>
      </c>
      <c r="F363" s="1">
        <v>45506</v>
      </c>
      <c r="G363" s="1">
        <v>45416</v>
      </c>
      <c r="H363">
        <v>468730</v>
      </c>
      <c r="I363">
        <v>1513</v>
      </c>
      <c r="J363" s="5">
        <v>709188490</v>
      </c>
      <c r="K363">
        <v>5</v>
      </c>
      <c r="L363">
        <v>4</v>
      </c>
      <c r="M363" t="s">
        <v>62</v>
      </c>
      <c r="N363">
        <v>2007</v>
      </c>
      <c r="O363">
        <v>8</v>
      </c>
      <c r="P363">
        <v>2</v>
      </c>
      <c r="Q363" t="s">
        <v>132</v>
      </c>
      <c r="R363" t="s">
        <v>580</v>
      </c>
      <c r="S363" t="s">
        <v>25</v>
      </c>
      <c r="T363" t="s">
        <v>972</v>
      </c>
    </row>
    <row r="364" spans="1:20" ht="16.5" x14ac:dyDescent="0.45">
      <c r="A364">
        <v>1363</v>
      </c>
      <c r="B364" t="s">
        <v>973</v>
      </c>
      <c r="C364" t="s">
        <v>28</v>
      </c>
      <c r="D364" t="s">
        <v>29</v>
      </c>
      <c r="E364">
        <v>356693</v>
      </c>
      <c r="F364" s="1">
        <v>45635</v>
      </c>
      <c r="G364" s="1">
        <v>45457</v>
      </c>
      <c r="H364">
        <v>368153</v>
      </c>
      <c r="I364">
        <v>2497</v>
      </c>
      <c r="J364" s="5">
        <v>919278041</v>
      </c>
      <c r="K364">
        <v>5</v>
      </c>
      <c r="L364">
        <v>5</v>
      </c>
      <c r="M364" t="s">
        <v>37</v>
      </c>
      <c r="N364">
        <v>2015</v>
      </c>
      <c r="O364">
        <v>5</v>
      </c>
      <c r="P364">
        <v>2</v>
      </c>
      <c r="Q364" t="s">
        <v>75</v>
      </c>
      <c r="R364" t="s">
        <v>974</v>
      </c>
      <c r="S364" t="s">
        <v>25</v>
      </c>
      <c r="T364" t="s">
        <v>137</v>
      </c>
    </row>
    <row r="365" spans="1:20" ht="16.5" x14ac:dyDescent="0.45">
      <c r="A365">
        <v>1364</v>
      </c>
      <c r="B365" t="s">
        <v>975</v>
      </c>
      <c r="C365" t="s">
        <v>20</v>
      </c>
      <c r="D365" t="s">
        <v>42</v>
      </c>
      <c r="E365">
        <v>802935</v>
      </c>
      <c r="F365" s="1">
        <v>45435</v>
      </c>
      <c r="G365" s="1">
        <v>45460</v>
      </c>
      <c r="H365">
        <v>840711</v>
      </c>
      <c r="I365">
        <v>3970</v>
      </c>
      <c r="J365" s="5">
        <v>3337622670</v>
      </c>
      <c r="K365">
        <v>2</v>
      </c>
      <c r="L365">
        <v>3</v>
      </c>
      <c r="M365" t="s">
        <v>22</v>
      </c>
      <c r="N365">
        <v>2009</v>
      </c>
      <c r="P365">
        <v>1</v>
      </c>
      <c r="Q365" t="s">
        <v>58</v>
      </c>
      <c r="R365" t="s">
        <v>976</v>
      </c>
      <c r="S365" t="s">
        <v>25</v>
      </c>
      <c r="T365" t="s">
        <v>70</v>
      </c>
    </row>
    <row r="366" spans="1:20" ht="16.5" x14ac:dyDescent="0.45">
      <c r="A366">
        <v>1365</v>
      </c>
      <c r="B366" t="s">
        <v>977</v>
      </c>
      <c r="C366" t="s">
        <v>20</v>
      </c>
      <c r="D366" t="s">
        <v>29</v>
      </c>
      <c r="E366">
        <v>391648</v>
      </c>
      <c r="F366" s="1">
        <v>45420</v>
      </c>
      <c r="G366" s="1">
        <v>45324</v>
      </c>
      <c r="H366">
        <v>416341</v>
      </c>
      <c r="I366">
        <v>3338</v>
      </c>
      <c r="J366" s="5">
        <v>1389746258</v>
      </c>
      <c r="K366">
        <v>3</v>
      </c>
      <c r="L366">
        <v>5</v>
      </c>
      <c r="M366" t="s">
        <v>37</v>
      </c>
      <c r="N366">
        <v>2003</v>
      </c>
      <c r="O366">
        <v>6</v>
      </c>
      <c r="P366">
        <v>2</v>
      </c>
      <c r="Q366" t="s">
        <v>162</v>
      </c>
      <c r="R366" t="s">
        <v>978</v>
      </c>
      <c r="S366" t="s">
        <v>25</v>
      </c>
      <c r="T366" t="s">
        <v>88</v>
      </c>
    </row>
    <row r="367" spans="1:20" ht="16.5" x14ac:dyDescent="0.45">
      <c r="A367">
        <v>1366</v>
      </c>
      <c r="B367" t="s">
        <v>979</v>
      </c>
      <c r="C367" t="s">
        <v>36</v>
      </c>
      <c r="D367" t="s">
        <v>21</v>
      </c>
      <c r="E367">
        <v>491517</v>
      </c>
      <c r="F367" s="1">
        <v>45341</v>
      </c>
      <c r="G367" s="1"/>
      <c r="I367">
        <v>2722</v>
      </c>
      <c r="K367">
        <v>6</v>
      </c>
      <c r="L367">
        <v>4</v>
      </c>
      <c r="M367" t="s">
        <v>22</v>
      </c>
      <c r="N367">
        <v>2021</v>
      </c>
      <c r="P367">
        <v>3</v>
      </c>
      <c r="Q367" t="s">
        <v>23</v>
      </c>
      <c r="R367" t="s">
        <v>980</v>
      </c>
      <c r="S367" t="s">
        <v>33</v>
      </c>
      <c r="T367" t="s">
        <v>45</v>
      </c>
    </row>
    <row r="368" spans="1:20" ht="16.5" x14ac:dyDescent="0.45">
      <c r="A368">
        <v>1367</v>
      </c>
      <c r="B368" t="s">
        <v>981</v>
      </c>
      <c r="C368" t="s">
        <v>20</v>
      </c>
      <c r="D368" t="s">
        <v>42</v>
      </c>
      <c r="E368">
        <v>717314</v>
      </c>
      <c r="F368" s="1">
        <v>45458</v>
      </c>
      <c r="G368" s="1">
        <v>45599</v>
      </c>
      <c r="H368">
        <v>761683</v>
      </c>
      <c r="I368">
        <v>4336</v>
      </c>
      <c r="J368" s="5">
        <v>3302657488</v>
      </c>
      <c r="K368">
        <v>2</v>
      </c>
      <c r="L368">
        <v>2</v>
      </c>
      <c r="M368" t="s">
        <v>22</v>
      </c>
      <c r="N368">
        <v>2008</v>
      </c>
      <c r="P368">
        <v>1</v>
      </c>
      <c r="Q368" t="s">
        <v>38</v>
      </c>
      <c r="R368" t="s">
        <v>982</v>
      </c>
      <c r="S368" t="s">
        <v>25</v>
      </c>
      <c r="T368" t="s">
        <v>983</v>
      </c>
    </row>
    <row r="369" spans="1:20" ht="16.5" x14ac:dyDescent="0.45">
      <c r="A369">
        <v>1368</v>
      </c>
      <c r="B369" t="s">
        <v>984</v>
      </c>
      <c r="C369" t="s">
        <v>36</v>
      </c>
      <c r="D369" t="s">
        <v>21</v>
      </c>
      <c r="E369">
        <v>750918</v>
      </c>
      <c r="F369" s="1">
        <v>45551</v>
      </c>
      <c r="G369" s="1">
        <v>45392</v>
      </c>
      <c r="H369">
        <v>797206</v>
      </c>
      <c r="I369">
        <v>4163</v>
      </c>
      <c r="J369" s="5">
        <v>3318768578</v>
      </c>
      <c r="K369">
        <v>6</v>
      </c>
      <c r="L369">
        <v>4</v>
      </c>
      <c r="M369" t="s">
        <v>30</v>
      </c>
      <c r="N369">
        <v>2015</v>
      </c>
      <c r="O369">
        <v>3</v>
      </c>
      <c r="P369">
        <v>1</v>
      </c>
      <c r="Q369" t="s">
        <v>162</v>
      </c>
      <c r="R369" t="s">
        <v>985</v>
      </c>
      <c r="S369" t="s">
        <v>25</v>
      </c>
      <c r="T369" t="s">
        <v>986</v>
      </c>
    </row>
    <row r="370" spans="1:20" ht="16.5" x14ac:dyDescent="0.45">
      <c r="A370">
        <v>1369</v>
      </c>
      <c r="B370" t="s">
        <v>987</v>
      </c>
      <c r="C370" t="s">
        <v>20</v>
      </c>
      <c r="D370" t="s">
        <v>21</v>
      </c>
      <c r="E370">
        <v>581768</v>
      </c>
      <c r="F370" s="1">
        <v>45565</v>
      </c>
      <c r="G370" s="1">
        <v>45303</v>
      </c>
      <c r="H370">
        <v>596899</v>
      </c>
      <c r="I370">
        <v>3849</v>
      </c>
      <c r="J370" s="5">
        <v>2297464251</v>
      </c>
      <c r="K370">
        <v>5</v>
      </c>
      <c r="L370">
        <v>2</v>
      </c>
      <c r="M370" t="s">
        <v>30</v>
      </c>
      <c r="N370">
        <v>2016</v>
      </c>
      <c r="O370">
        <v>8</v>
      </c>
      <c r="P370">
        <v>3</v>
      </c>
      <c r="Q370" t="s">
        <v>75</v>
      </c>
      <c r="R370" t="s">
        <v>988</v>
      </c>
      <c r="S370" t="s">
        <v>25</v>
      </c>
      <c r="T370" t="s">
        <v>989</v>
      </c>
    </row>
    <row r="371" spans="1:20" ht="16.5" x14ac:dyDescent="0.45">
      <c r="A371">
        <v>1370</v>
      </c>
      <c r="B371" t="s">
        <v>990</v>
      </c>
      <c r="C371" t="s">
        <v>20</v>
      </c>
      <c r="D371" t="s">
        <v>21</v>
      </c>
      <c r="E371">
        <v>961011</v>
      </c>
      <c r="F371" s="1">
        <v>45620</v>
      </c>
      <c r="G371" s="1">
        <v>45586</v>
      </c>
      <c r="H371">
        <v>1000875</v>
      </c>
      <c r="I371">
        <v>1434</v>
      </c>
      <c r="J371" s="5">
        <v>1435254750</v>
      </c>
      <c r="K371">
        <v>3</v>
      </c>
      <c r="L371">
        <v>5</v>
      </c>
      <c r="M371" t="s">
        <v>62</v>
      </c>
      <c r="N371">
        <v>2006</v>
      </c>
      <c r="O371">
        <v>1</v>
      </c>
      <c r="P371">
        <v>4</v>
      </c>
      <c r="Q371" t="s">
        <v>162</v>
      </c>
      <c r="R371" t="s">
        <v>991</v>
      </c>
      <c r="S371" t="s">
        <v>25</v>
      </c>
      <c r="T371" t="s">
        <v>137</v>
      </c>
    </row>
    <row r="372" spans="1:20" ht="16.5" x14ac:dyDescent="0.45">
      <c r="A372">
        <v>1371</v>
      </c>
      <c r="B372" t="s">
        <v>992</v>
      </c>
      <c r="C372" t="s">
        <v>51</v>
      </c>
      <c r="D372" t="s">
        <v>29</v>
      </c>
      <c r="E372">
        <v>841031</v>
      </c>
      <c r="F372" s="1">
        <v>45411</v>
      </c>
      <c r="G372" s="1"/>
      <c r="I372">
        <v>3600</v>
      </c>
      <c r="K372">
        <v>4</v>
      </c>
      <c r="L372">
        <v>2</v>
      </c>
      <c r="M372" t="s">
        <v>30</v>
      </c>
      <c r="N372">
        <v>2008</v>
      </c>
      <c r="O372">
        <v>9</v>
      </c>
      <c r="P372">
        <v>3</v>
      </c>
      <c r="Q372" t="s">
        <v>38</v>
      </c>
      <c r="R372" t="s">
        <v>48</v>
      </c>
      <c r="S372" t="s">
        <v>33</v>
      </c>
      <c r="T372" t="s">
        <v>993</v>
      </c>
    </row>
    <row r="373" spans="1:20" ht="16.5" x14ac:dyDescent="0.45">
      <c r="A373">
        <v>1372</v>
      </c>
      <c r="B373" t="s">
        <v>994</v>
      </c>
      <c r="C373" t="s">
        <v>47</v>
      </c>
      <c r="D373" t="s">
        <v>29</v>
      </c>
      <c r="E373">
        <v>697649</v>
      </c>
      <c r="F373" s="1">
        <v>45547</v>
      </c>
      <c r="G373" s="1">
        <v>45298</v>
      </c>
      <c r="H373">
        <v>746124</v>
      </c>
      <c r="I373">
        <v>1639</v>
      </c>
      <c r="J373" s="5">
        <v>1222897236</v>
      </c>
      <c r="K373">
        <v>5</v>
      </c>
      <c r="L373">
        <v>5</v>
      </c>
      <c r="M373" t="s">
        <v>62</v>
      </c>
      <c r="N373">
        <v>2009</v>
      </c>
      <c r="O373">
        <v>2</v>
      </c>
      <c r="P373">
        <v>3</v>
      </c>
      <c r="Q373" t="s">
        <v>132</v>
      </c>
      <c r="R373" t="s">
        <v>995</v>
      </c>
      <c r="S373" t="s">
        <v>25</v>
      </c>
      <c r="T373" t="s">
        <v>665</v>
      </c>
    </row>
    <row r="374" spans="1:20" ht="16.5" x14ac:dyDescent="0.45">
      <c r="A374">
        <v>1373</v>
      </c>
      <c r="B374" t="s">
        <v>996</v>
      </c>
      <c r="C374" t="s">
        <v>51</v>
      </c>
      <c r="D374" t="s">
        <v>42</v>
      </c>
      <c r="E374">
        <v>713018</v>
      </c>
      <c r="F374" s="1">
        <v>45545</v>
      </c>
      <c r="G374" s="1">
        <v>45534</v>
      </c>
      <c r="H374">
        <v>725283</v>
      </c>
      <c r="I374">
        <v>4061</v>
      </c>
      <c r="J374" s="5">
        <v>2945374263</v>
      </c>
      <c r="K374">
        <v>4</v>
      </c>
      <c r="L374">
        <v>3</v>
      </c>
      <c r="M374" t="s">
        <v>30</v>
      </c>
      <c r="N374">
        <v>2021</v>
      </c>
      <c r="O374">
        <v>9</v>
      </c>
      <c r="P374">
        <v>3</v>
      </c>
      <c r="Q374" t="s">
        <v>23</v>
      </c>
      <c r="R374" t="s">
        <v>997</v>
      </c>
      <c r="S374" t="s">
        <v>25</v>
      </c>
      <c r="T374" t="s">
        <v>998</v>
      </c>
    </row>
    <row r="375" spans="1:20" ht="16.5" x14ac:dyDescent="0.45">
      <c r="A375">
        <v>1374</v>
      </c>
      <c r="B375" t="s">
        <v>999</v>
      </c>
      <c r="C375" t="s">
        <v>51</v>
      </c>
      <c r="D375" t="s">
        <v>21</v>
      </c>
      <c r="E375">
        <v>774165</v>
      </c>
      <c r="F375" s="1">
        <v>45372</v>
      </c>
      <c r="G375" s="1">
        <v>45323</v>
      </c>
      <c r="H375">
        <v>805371</v>
      </c>
      <c r="I375">
        <v>4506</v>
      </c>
      <c r="J375" s="5">
        <v>3629001726</v>
      </c>
      <c r="K375">
        <v>4</v>
      </c>
      <c r="L375">
        <v>4</v>
      </c>
      <c r="M375" t="s">
        <v>62</v>
      </c>
      <c r="N375">
        <v>2017</v>
      </c>
      <c r="O375">
        <v>8</v>
      </c>
      <c r="P375">
        <v>1</v>
      </c>
      <c r="Q375" t="s">
        <v>132</v>
      </c>
      <c r="R375" t="s">
        <v>1000</v>
      </c>
      <c r="S375" t="s">
        <v>25</v>
      </c>
      <c r="T375" t="s">
        <v>581</v>
      </c>
    </row>
    <row r="376" spans="1:20" ht="16.5" x14ac:dyDescent="0.45">
      <c r="A376">
        <v>1375</v>
      </c>
      <c r="B376" t="s">
        <v>1001</v>
      </c>
      <c r="C376" t="s">
        <v>36</v>
      </c>
      <c r="D376" t="s">
        <v>42</v>
      </c>
      <c r="E376">
        <v>841330</v>
      </c>
      <c r="F376" s="1">
        <v>45288</v>
      </c>
      <c r="G376" s="1">
        <v>45530</v>
      </c>
      <c r="H376">
        <v>855531</v>
      </c>
      <c r="I376">
        <v>1209</v>
      </c>
      <c r="J376" s="5">
        <v>1034336979</v>
      </c>
      <c r="K376">
        <v>5</v>
      </c>
      <c r="L376">
        <v>4</v>
      </c>
      <c r="M376" t="s">
        <v>30</v>
      </c>
      <c r="N376">
        <v>2004</v>
      </c>
      <c r="O376">
        <v>10</v>
      </c>
      <c r="P376">
        <v>1</v>
      </c>
      <c r="Q376" t="s">
        <v>43</v>
      </c>
      <c r="R376" t="s">
        <v>1002</v>
      </c>
      <c r="S376" t="s">
        <v>25</v>
      </c>
      <c r="T376" t="s">
        <v>1003</v>
      </c>
    </row>
    <row r="377" spans="1:20" ht="16.5" x14ac:dyDescent="0.45">
      <c r="A377">
        <v>1376</v>
      </c>
      <c r="B377" t="s">
        <v>1004</v>
      </c>
      <c r="C377" t="s">
        <v>28</v>
      </c>
      <c r="D377" t="s">
        <v>29</v>
      </c>
      <c r="E377">
        <v>630770</v>
      </c>
      <c r="F377" s="1">
        <v>45307</v>
      </c>
      <c r="G377" s="1">
        <v>45542</v>
      </c>
      <c r="H377">
        <v>678621</v>
      </c>
      <c r="I377">
        <v>1749</v>
      </c>
      <c r="J377" s="5">
        <v>1186908129</v>
      </c>
      <c r="K377">
        <v>5</v>
      </c>
      <c r="L377">
        <v>5</v>
      </c>
      <c r="M377" t="s">
        <v>22</v>
      </c>
      <c r="N377">
        <v>2005</v>
      </c>
      <c r="P377">
        <v>4</v>
      </c>
      <c r="Q377" t="s">
        <v>162</v>
      </c>
      <c r="R377" t="s">
        <v>66</v>
      </c>
      <c r="S377" t="s">
        <v>25</v>
      </c>
      <c r="T377" t="s">
        <v>822</v>
      </c>
    </row>
    <row r="378" spans="1:20" ht="16.5" x14ac:dyDescent="0.45">
      <c r="A378">
        <v>1377</v>
      </c>
      <c r="B378" t="s">
        <v>1005</v>
      </c>
      <c r="C378" t="s">
        <v>28</v>
      </c>
      <c r="D378" t="s">
        <v>42</v>
      </c>
      <c r="E378">
        <v>969319</v>
      </c>
      <c r="F378" s="1">
        <v>45627</v>
      </c>
      <c r="G378" s="1">
        <v>45625</v>
      </c>
      <c r="H378">
        <v>1005963</v>
      </c>
      <c r="I378">
        <v>2127</v>
      </c>
      <c r="J378" s="5">
        <v>2139683301</v>
      </c>
      <c r="K378">
        <v>3</v>
      </c>
      <c r="L378">
        <v>5</v>
      </c>
      <c r="M378" t="s">
        <v>30</v>
      </c>
      <c r="N378">
        <v>2005</v>
      </c>
      <c r="O378">
        <v>10</v>
      </c>
      <c r="P378">
        <v>4</v>
      </c>
      <c r="Q378" t="s">
        <v>86</v>
      </c>
      <c r="R378" t="s">
        <v>1006</v>
      </c>
      <c r="S378" t="s">
        <v>25</v>
      </c>
      <c r="T378" t="s">
        <v>668</v>
      </c>
    </row>
    <row r="379" spans="1:20" ht="16.5" x14ac:dyDescent="0.45">
      <c r="A379">
        <v>1378</v>
      </c>
      <c r="B379" t="s">
        <v>1007</v>
      </c>
      <c r="C379" t="s">
        <v>36</v>
      </c>
      <c r="D379" t="s">
        <v>42</v>
      </c>
      <c r="E379">
        <v>391893</v>
      </c>
      <c r="F379" s="1">
        <v>45476</v>
      </c>
      <c r="G379" s="1"/>
      <c r="I379">
        <v>1897</v>
      </c>
      <c r="K379">
        <v>3</v>
      </c>
      <c r="L379">
        <v>3</v>
      </c>
      <c r="M379" t="s">
        <v>62</v>
      </c>
      <c r="N379">
        <v>2020</v>
      </c>
      <c r="O379">
        <v>9</v>
      </c>
      <c r="P379">
        <v>3</v>
      </c>
      <c r="Q379" t="s">
        <v>86</v>
      </c>
      <c r="R379" t="s">
        <v>1008</v>
      </c>
      <c r="S379" t="s">
        <v>33</v>
      </c>
      <c r="T379" t="s">
        <v>122</v>
      </c>
    </row>
    <row r="380" spans="1:20" ht="16.5" x14ac:dyDescent="0.45">
      <c r="A380">
        <v>1379</v>
      </c>
      <c r="B380" t="s">
        <v>1009</v>
      </c>
      <c r="C380" t="s">
        <v>51</v>
      </c>
      <c r="D380" t="s">
        <v>21</v>
      </c>
      <c r="E380">
        <v>951428</v>
      </c>
      <c r="F380" s="1">
        <v>45613</v>
      </c>
      <c r="G380" s="1">
        <v>45449</v>
      </c>
      <c r="H380">
        <v>989269</v>
      </c>
      <c r="I380">
        <v>3003</v>
      </c>
      <c r="J380" s="5">
        <v>2970774807</v>
      </c>
      <c r="K380">
        <v>5</v>
      </c>
      <c r="L380">
        <v>2</v>
      </c>
      <c r="M380" t="s">
        <v>37</v>
      </c>
      <c r="N380">
        <v>2012</v>
      </c>
      <c r="O380">
        <v>7</v>
      </c>
      <c r="P380">
        <v>1</v>
      </c>
      <c r="Q380" t="s">
        <v>38</v>
      </c>
      <c r="R380" t="s">
        <v>1010</v>
      </c>
      <c r="S380" t="s">
        <v>25</v>
      </c>
      <c r="T380" t="s">
        <v>128</v>
      </c>
    </row>
    <row r="381" spans="1:20" ht="16.5" x14ac:dyDescent="0.45">
      <c r="A381">
        <v>1380</v>
      </c>
      <c r="B381" t="s">
        <v>1011</v>
      </c>
      <c r="C381" t="s">
        <v>36</v>
      </c>
      <c r="D381" t="s">
        <v>21</v>
      </c>
      <c r="E381">
        <v>930660</v>
      </c>
      <c r="F381" s="1">
        <v>45299</v>
      </c>
      <c r="G381" s="1"/>
      <c r="I381">
        <v>2251</v>
      </c>
      <c r="K381">
        <v>2</v>
      </c>
      <c r="L381">
        <v>4</v>
      </c>
      <c r="M381" t="s">
        <v>30</v>
      </c>
      <c r="N381">
        <v>2008</v>
      </c>
      <c r="O381">
        <v>4</v>
      </c>
      <c r="P381">
        <v>3</v>
      </c>
      <c r="Q381" t="s">
        <v>132</v>
      </c>
      <c r="R381" t="s">
        <v>1012</v>
      </c>
      <c r="S381" t="s">
        <v>33</v>
      </c>
      <c r="T381" t="s">
        <v>964</v>
      </c>
    </row>
    <row r="382" spans="1:20" ht="16.5" x14ac:dyDescent="0.45">
      <c r="A382">
        <v>1381</v>
      </c>
      <c r="B382" t="s">
        <v>1013</v>
      </c>
      <c r="C382" t="s">
        <v>47</v>
      </c>
      <c r="D382" t="s">
        <v>42</v>
      </c>
      <c r="E382">
        <v>437376</v>
      </c>
      <c r="F382" s="1">
        <v>45526</v>
      </c>
      <c r="G382" s="1">
        <v>45607</v>
      </c>
      <c r="H382">
        <v>476779</v>
      </c>
      <c r="I382">
        <v>2250</v>
      </c>
      <c r="J382" s="5">
        <v>1072752750</v>
      </c>
      <c r="K382">
        <v>3</v>
      </c>
      <c r="L382">
        <v>4</v>
      </c>
      <c r="M382" t="s">
        <v>30</v>
      </c>
      <c r="N382">
        <v>2011</v>
      </c>
      <c r="O382">
        <v>7</v>
      </c>
      <c r="P382">
        <v>3</v>
      </c>
      <c r="Q382" t="s">
        <v>38</v>
      </c>
      <c r="R382" t="s">
        <v>1014</v>
      </c>
      <c r="S382" t="s">
        <v>25</v>
      </c>
      <c r="T382" t="s">
        <v>1015</v>
      </c>
    </row>
    <row r="383" spans="1:20" ht="16.5" x14ac:dyDescent="0.45">
      <c r="A383">
        <v>1382</v>
      </c>
      <c r="B383" t="s">
        <v>1016</v>
      </c>
      <c r="C383" t="s">
        <v>20</v>
      </c>
      <c r="D383" t="s">
        <v>29</v>
      </c>
      <c r="E383">
        <v>509767</v>
      </c>
      <c r="F383" s="1">
        <v>45606</v>
      </c>
      <c r="G383" s="1">
        <v>45606</v>
      </c>
      <c r="H383">
        <v>545096</v>
      </c>
      <c r="I383">
        <v>2022</v>
      </c>
      <c r="J383" s="5">
        <v>1102184112</v>
      </c>
      <c r="K383">
        <v>6</v>
      </c>
      <c r="L383">
        <v>4</v>
      </c>
      <c r="M383" t="s">
        <v>30</v>
      </c>
      <c r="N383">
        <v>2018</v>
      </c>
      <c r="O383">
        <v>5</v>
      </c>
      <c r="P383">
        <v>4</v>
      </c>
      <c r="Q383" t="s">
        <v>43</v>
      </c>
      <c r="R383" t="s">
        <v>1017</v>
      </c>
      <c r="S383" t="s">
        <v>25</v>
      </c>
      <c r="T383" t="s">
        <v>315</v>
      </c>
    </row>
    <row r="384" spans="1:20" ht="16.5" x14ac:dyDescent="0.45">
      <c r="A384">
        <v>1383</v>
      </c>
      <c r="B384" t="s">
        <v>1018</v>
      </c>
      <c r="C384" t="s">
        <v>28</v>
      </c>
      <c r="D384" t="s">
        <v>42</v>
      </c>
      <c r="E384">
        <v>551671</v>
      </c>
      <c r="F384" s="1">
        <v>45631</v>
      </c>
      <c r="G384" s="1"/>
      <c r="I384">
        <v>1246</v>
      </c>
      <c r="K384">
        <v>2</v>
      </c>
      <c r="L384">
        <v>5</v>
      </c>
      <c r="M384" t="s">
        <v>62</v>
      </c>
      <c r="N384">
        <v>2009</v>
      </c>
      <c r="O384">
        <v>9</v>
      </c>
      <c r="P384">
        <v>4</v>
      </c>
      <c r="Q384" t="s">
        <v>86</v>
      </c>
      <c r="R384" t="s">
        <v>1019</v>
      </c>
      <c r="S384" t="s">
        <v>33</v>
      </c>
      <c r="T384" t="s">
        <v>1020</v>
      </c>
    </row>
    <row r="385" spans="1:20" ht="16.5" x14ac:dyDescent="0.45">
      <c r="A385">
        <v>1384</v>
      </c>
      <c r="B385" t="s">
        <v>1021</v>
      </c>
      <c r="C385" t="s">
        <v>28</v>
      </c>
      <c r="D385" t="s">
        <v>29</v>
      </c>
      <c r="E385">
        <v>690210</v>
      </c>
      <c r="F385" s="1">
        <v>45358</v>
      </c>
      <c r="G385" s="1">
        <v>45413</v>
      </c>
      <c r="H385">
        <v>739657</v>
      </c>
      <c r="I385">
        <v>1377</v>
      </c>
      <c r="J385" s="5">
        <v>1018507689</v>
      </c>
      <c r="K385">
        <v>2</v>
      </c>
      <c r="L385">
        <v>5</v>
      </c>
      <c r="M385" t="s">
        <v>22</v>
      </c>
      <c r="N385">
        <v>2001</v>
      </c>
      <c r="P385">
        <v>3</v>
      </c>
      <c r="Q385" t="s">
        <v>86</v>
      </c>
      <c r="R385" t="s">
        <v>1022</v>
      </c>
      <c r="S385" t="s">
        <v>25</v>
      </c>
      <c r="T385" t="s">
        <v>665</v>
      </c>
    </row>
    <row r="386" spans="1:20" ht="16.5" x14ac:dyDescent="0.45">
      <c r="A386">
        <v>1385</v>
      </c>
      <c r="B386" t="s">
        <v>1023</v>
      </c>
      <c r="C386" t="s">
        <v>47</v>
      </c>
      <c r="D386" t="s">
        <v>42</v>
      </c>
      <c r="E386">
        <v>914143</v>
      </c>
      <c r="F386" s="1">
        <v>45279</v>
      </c>
      <c r="G386" s="1">
        <v>45447</v>
      </c>
      <c r="H386">
        <v>930323</v>
      </c>
      <c r="I386">
        <v>4000</v>
      </c>
      <c r="J386" s="5">
        <v>3721292000</v>
      </c>
      <c r="K386">
        <v>3</v>
      </c>
      <c r="L386">
        <v>4</v>
      </c>
      <c r="M386" t="s">
        <v>62</v>
      </c>
      <c r="N386">
        <v>2023</v>
      </c>
      <c r="O386">
        <v>2</v>
      </c>
      <c r="P386">
        <v>2</v>
      </c>
      <c r="Q386" t="s">
        <v>132</v>
      </c>
      <c r="R386" t="s">
        <v>1024</v>
      </c>
      <c r="S386" t="s">
        <v>25</v>
      </c>
      <c r="T386" t="s">
        <v>1025</v>
      </c>
    </row>
    <row r="387" spans="1:20" ht="16.5" x14ac:dyDescent="0.45">
      <c r="A387">
        <v>1386</v>
      </c>
      <c r="B387" t="s">
        <v>1026</v>
      </c>
      <c r="C387" t="s">
        <v>47</v>
      </c>
      <c r="D387" t="s">
        <v>42</v>
      </c>
      <c r="E387">
        <v>584423</v>
      </c>
      <c r="F387" s="1">
        <v>45430</v>
      </c>
      <c r="G387" s="1"/>
      <c r="I387">
        <v>2022</v>
      </c>
      <c r="K387">
        <v>6</v>
      </c>
      <c r="L387">
        <v>4</v>
      </c>
      <c r="M387" t="s">
        <v>22</v>
      </c>
      <c r="N387">
        <v>2008</v>
      </c>
      <c r="P387">
        <v>3</v>
      </c>
      <c r="Q387" t="s">
        <v>43</v>
      </c>
      <c r="R387" t="s">
        <v>1027</v>
      </c>
      <c r="S387" t="s">
        <v>33</v>
      </c>
      <c r="T387" t="s">
        <v>603</v>
      </c>
    </row>
    <row r="388" spans="1:20" ht="16.5" x14ac:dyDescent="0.45">
      <c r="A388">
        <v>1387</v>
      </c>
      <c r="B388" t="s">
        <v>1028</v>
      </c>
      <c r="C388" t="s">
        <v>36</v>
      </c>
      <c r="D388" t="s">
        <v>42</v>
      </c>
      <c r="E388">
        <v>900810</v>
      </c>
      <c r="F388" s="1">
        <v>45426</v>
      </c>
      <c r="G388" s="1">
        <v>45291</v>
      </c>
      <c r="H388">
        <v>929752</v>
      </c>
      <c r="I388">
        <v>1089</v>
      </c>
      <c r="J388" s="5">
        <v>1012499928</v>
      </c>
      <c r="K388">
        <v>6</v>
      </c>
      <c r="L388">
        <v>2</v>
      </c>
      <c r="M388" t="s">
        <v>30</v>
      </c>
      <c r="N388">
        <v>2005</v>
      </c>
      <c r="O388">
        <v>3</v>
      </c>
      <c r="P388">
        <v>1</v>
      </c>
      <c r="Q388" t="s">
        <v>38</v>
      </c>
      <c r="R388" t="s">
        <v>1029</v>
      </c>
      <c r="S388" t="s">
        <v>25</v>
      </c>
      <c r="T388" t="s">
        <v>180</v>
      </c>
    </row>
    <row r="389" spans="1:20" ht="16.5" x14ac:dyDescent="0.45">
      <c r="A389">
        <v>1388</v>
      </c>
      <c r="B389" t="s">
        <v>1030</v>
      </c>
      <c r="C389" t="s">
        <v>47</v>
      </c>
      <c r="D389" t="s">
        <v>21</v>
      </c>
      <c r="E389">
        <v>822342</v>
      </c>
      <c r="F389" s="1">
        <v>45314</v>
      </c>
      <c r="G389" s="1"/>
      <c r="I389">
        <v>1615</v>
      </c>
      <c r="K389">
        <v>5</v>
      </c>
      <c r="L389">
        <v>5</v>
      </c>
      <c r="M389" t="s">
        <v>62</v>
      </c>
      <c r="N389">
        <v>2006</v>
      </c>
      <c r="O389">
        <v>2</v>
      </c>
      <c r="P389">
        <v>2</v>
      </c>
      <c r="Q389" t="s">
        <v>86</v>
      </c>
      <c r="R389" t="s">
        <v>1031</v>
      </c>
      <c r="S389" t="s">
        <v>33</v>
      </c>
      <c r="T389" t="s">
        <v>1032</v>
      </c>
    </row>
    <row r="390" spans="1:20" ht="16.5" x14ac:dyDescent="0.45">
      <c r="A390">
        <v>1389</v>
      </c>
      <c r="B390" t="s">
        <v>1033</v>
      </c>
      <c r="C390" t="s">
        <v>20</v>
      </c>
      <c r="D390" t="s">
        <v>21</v>
      </c>
      <c r="E390">
        <v>727830</v>
      </c>
      <c r="F390" s="1">
        <v>45427</v>
      </c>
      <c r="G390" s="1">
        <v>45552</v>
      </c>
      <c r="H390">
        <v>751641</v>
      </c>
      <c r="I390">
        <v>2306</v>
      </c>
      <c r="J390" s="5">
        <v>1733284146</v>
      </c>
      <c r="K390">
        <v>4</v>
      </c>
      <c r="L390">
        <v>3</v>
      </c>
      <c r="M390" t="s">
        <v>62</v>
      </c>
      <c r="N390">
        <v>2017</v>
      </c>
      <c r="O390">
        <v>6</v>
      </c>
      <c r="P390">
        <v>3</v>
      </c>
      <c r="Q390" t="s">
        <v>38</v>
      </c>
      <c r="R390" t="s">
        <v>1034</v>
      </c>
      <c r="S390" t="s">
        <v>25</v>
      </c>
      <c r="T390" t="s">
        <v>110</v>
      </c>
    </row>
    <row r="391" spans="1:20" ht="16.5" x14ac:dyDescent="0.45">
      <c r="A391">
        <v>1390</v>
      </c>
      <c r="B391" t="s">
        <v>1035</v>
      </c>
      <c r="C391" t="s">
        <v>28</v>
      </c>
      <c r="D391" t="s">
        <v>42</v>
      </c>
      <c r="E391">
        <v>933508</v>
      </c>
      <c r="F391" s="1">
        <v>45638</v>
      </c>
      <c r="G391" s="1"/>
      <c r="I391">
        <v>2213</v>
      </c>
      <c r="K391">
        <v>5</v>
      </c>
      <c r="L391">
        <v>3</v>
      </c>
      <c r="M391" t="s">
        <v>22</v>
      </c>
      <c r="N391">
        <v>2008</v>
      </c>
      <c r="P391">
        <v>3</v>
      </c>
      <c r="Q391" t="s">
        <v>162</v>
      </c>
      <c r="R391" t="s">
        <v>1036</v>
      </c>
      <c r="S391" t="s">
        <v>33</v>
      </c>
      <c r="T391" t="s">
        <v>1037</v>
      </c>
    </row>
    <row r="392" spans="1:20" ht="16.5" x14ac:dyDescent="0.45">
      <c r="A392">
        <v>1391</v>
      </c>
      <c r="B392" t="s">
        <v>1038</v>
      </c>
      <c r="C392" t="s">
        <v>51</v>
      </c>
      <c r="D392" t="s">
        <v>29</v>
      </c>
      <c r="E392">
        <v>909941</v>
      </c>
      <c r="F392" s="1">
        <v>45487</v>
      </c>
      <c r="G392" s="1">
        <v>45627</v>
      </c>
      <c r="H392">
        <v>932227</v>
      </c>
      <c r="I392">
        <v>4433</v>
      </c>
      <c r="J392" s="5">
        <v>4132562291</v>
      </c>
      <c r="K392">
        <v>2</v>
      </c>
      <c r="L392">
        <v>2</v>
      </c>
      <c r="M392" t="s">
        <v>62</v>
      </c>
      <c r="N392">
        <v>2014</v>
      </c>
      <c r="O392">
        <v>3</v>
      </c>
      <c r="P392">
        <v>1</v>
      </c>
      <c r="Q392" t="s">
        <v>58</v>
      </c>
      <c r="R392" t="s">
        <v>1039</v>
      </c>
      <c r="S392" t="s">
        <v>25</v>
      </c>
      <c r="T392" t="s">
        <v>56</v>
      </c>
    </row>
    <row r="393" spans="1:20" ht="16.5" x14ac:dyDescent="0.45">
      <c r="A393">
        <v>1392</v>
      </c>
      <c r="B393" t="s">
        <v>1040</v>
      </c>
      <c r="C393" t="s">
        <v>47</v>
      </c>
      <c r="D393" t="s">
        <v>42</v>
      </c>
      <c r="E393">
        <v>853683</v>
      </c>
      <c r="F393" s="1">
        <v>45354</v>
      </c>
      <c r="G393" s="1"/>
      <c r="I393">
        <v>1700</v>
      </c>
      <c r="K393">
        <v>3</v>
      </c>
      <c r="L393">
        <v>5</v>
      </c>
      <c r="M393" t="s">
        <v>62</v>
      </c>
      <c r="N393">
        <v>2004</v>
      </c>
      <c r="O393">
        <v>7</v>
      </c>
      <c r="P393">
        <v>1</v>
      </c>
      <c r="Q393" t="s">
        <v>38</v>
      </c>
      <c r="R393" t="s">
        <v>739</v>
      </c>
      <c r="S393" t="s">
        <v>33</v>
      </c>
      <c r="T393" t="s">
        <v>1041</v>
      </c>
    </row>
    <row r="394" spans="1:20" ht="16.5" x14ac:dyDescent="0.45">
      <c r="A394">
        <v>1393</v>
      </c>
      <c r="B394" t="s">
        <v>1042</v>
      </c>
      <c r="C394" t="s">
        <v>47</v>
      </c>
      <c r="D394" t="s">
        <v>42</v>
      </c>
      <c r="E394">
        <v>550384</v>
      </c>
      <c r="F394" s="1">
        <v>45454</v>
      </c>
      <c r="G394" s="1">
        <v>45509</v>
      </c>
      <c r="H394">
        <v>567298</v>
      </c>
      <c r="I394">
        <v>4347</v>
      </c>
      <c r="J394" s="5">
        <v>2466044406</v>
      </c>
      <c r="K394">
        <v>3</v>
      </c>
      <c r="L394">
        <v>2</v>
      </c>
      <c r="M394" t="s">
        <v>62</v>
      </c>
      <c r="N394">
        <v>2011</v>
      </c>
      <c r="O394">
        <v>1</v>
      </c>
      <c r="P394">
        <v>4</v>
      </c>
      <c r="Q394" t="s">
        <v>43</v>
      </c>
      <c r="R394" t="s">
        <v>1043</v>
      </c>
      <c r="S394" t="s">
        <v>25</v>
      </c>
      <c r="T394" t="s">
        <v>1044</v>
      </c>
    </row>
    <row r="395" spans="1:20" ht="16.5" x14ac:dyDescent="0.45">
      <c r="A395">
        <v>1394</v>
      </c>
      <c r="B395" t="s">
        <v>1045</v>
      </c>
      <c r="C395" t="s">
        <v>28</v>
      </c>
      <c r="D395" t="s">
        <v>21</v>
      </c>
      <c r="E395">
        <v>792675</v>
      </c>
      <c r="F395" s="1">
        <v>45316</v>
      </c>
      <c r="G395" s="1"/>
      <c r="I395">
        <v>2508</v>
      </c>
      <c r="K395">
        <v>4</v>
      </c>
      <c r="L395">
        <v>5</v>
      </c>
      <c r="M395" t="s">
        <v>22</v>
      </c>
      <c r="N395">
        <v>2010</v>
      </c>
      <c r="P395">
        <v>1</v>
      </c>
      <c r="Q395" t="s">
        <v>43</v>
      </c>
      <c r="R395" t="s">
        <v>1046</v>
      </c>
      <c r="S395" t="s">
        <v>33</v>
      </c>
      <c r="T395" t="s">
        <v>1047</v>
      </c>
    </row>
    <row r="396" spans="1:20" ht="16.5" x14ac:dyDescent="0.45">
      <c r="A396">
        <v>1395</v>
      </c>
      <c r="B396" t="s">
        <v>1048</v>
      </c>
      <c r="C396" t="s">
        <v>47</v>
      </c>
      <c r="D396" t="s">
        <v>21</v>
      </c>
      <c r="E396">
        <v>497877</v>
      </c>
      <c r="F396" s="1">
        <v>45518</v>
      </c>
      <c r="G396" s="1"/>
      <c r="I396">
        <v>1868</v>
      </c>
      <c r="K396">
        <v>4</v>
      </c>
      <c r="L396">
        <v>3</v>
      </c>
      <c r="M396" t="s">
        <v>37</v>
      </c>
      <c r="N396">
        <v>2018</v>
      </c>
      <c r="O396">
        <v>1</v>
      </c>
      <c r="P396">
        <v>4</v>
      </c>
      <c r="Q396" t="s">
        <v>58</v>
      </c>
      <c r="R396" t="s">
        <v>1049</v>
      </c>
      <c r="S396" t="s">
        <v>33</v>
      </c>
      <c r="T396" t="s">
        <v>1050</v>
      </c>
    </row>
    <row r="397" spans="1:20" ht="16.5" x14ac:dyDescent="0.45">
      <c r="A397">
        <v>1396</v>
      </c>
      <c r="B397" t="s">
        <v>1051</v>
      </c>
      <c r="C397" t="s">
        <v>51</v>
      </c>
      <c r="D397" t="s">
        <v>29</v>
      </c>
      <c r="E397">
        <v>879911</v>
      </c>
      <c r="F397" s="1">
        <v>45626</v>
      </c>
      <c r="G397" s="1"/>
      <c r="I397">
        <v>1038</v>
      </c>
      <c r="K397">
        <v>4</v>
      </c>
      <c r="L397">
        <v>2</v>
      </c>
      <c r="M397" t="s">
        <v>37</v>
      </c>
      <c r="N397">
        <v>2012</v>
      </c>
      <c r="O397">
        <v>3</v>
      </c>
      <c r="P397">
        <v>3</v>
      </c>
      <c r="Q397" t="s">
        <v>75</v>
      </c>
      <c r="R397" t="s">
        <v>1052</v>
      </c>
      <c r="S397" t="s">
        <v>33</v>
      </c>
      <c r="T397" t="s">
        <v>1053</v>
      </c>
    </row>
    <row r="398" spans="1:20" ht="16.5" x14ac:dyDescent="0.45">
      <c r="A398">
        <v>1397</v>
      </c>
      <c r="B398" t="s">
        <v>1054</v>
      </c>
      <c r="C398" t="s">
        <v>28</v>
      </c>
      <c r="D398" t="s">
        <v>42</v>
      </c>
      <c r="E398">
        <v>881418</v>
      </c>
      <c r="F398" s="1">
        <v>45613</v>
      </c>
      <c r="G398" s="1">
        <v>45421</v>
      </c>
      <c r="H398">
        <v>891773</v>
      </c>
      <c r="I398">
        <v>3204</v>
      </c>
      <c r="J398" s="5">
        <v>2857240692</v>
      </c>
      <c r="K398">
        <v>3</v>
      </c>
      <c r="L398">
        <v>4</v>
      </c>
      <c r="M398" t="s">
        <v>22</v>
      </c>
      <c r="N398">
        <v>2023</v>
      </c>
      <c r="P398">
        <v>1</v>
      </c>
      <c r="Q398" t="s">
        <v>93</v>
      </c>
      <c r="R398" t="s">
        <v>1055</v>
      </c>
      <c r="S398" t="s">
        <v>25</v>
      </c>
      <c r="T398" t="s">
        <v>1056</v>
      </c>
    </row>
    <row r="399" spans="1:20" ht="16.5" x14ac:dyDescent="0.45">
      <c r="A399">
        <v>1398</v>
      </c>
      <c r="B399" t="s">
        <v>1057</v>
      </c>
      <c r="C399" t="s">
        <v>51</v>
      </c>
      <c r="D399" t="s">
        <v>42</v>
      </c>
      <c r="E399">
        <v>857711</v>
      </c>
      <c r="F399" s="1">
        <v>45396</v>
      </c>
      <c r="G399" s="1"/>
      <c r="I399">
        <v>4153</v>
      </c>
      <c r="K399">
        <v>5</v>
      </c>
      <c r="L399">
        <v>4</v>
      </c>
      <c r="M399" t="s">
        <v>62</v>
      </c>
      <c r="N399">
        <v>2003</v>
      </c>
      <c r="O399">
        <v>2</v>
      </c>
      <c r="P399">
        <v>4</v>
      </c>
      <c r="Q399" t="s">
        <v>38</v>
      </c>
      <c r="R399" t="s">
        <v>1058</v>
      </c>
      <c r="S399" t="s">
        <v>33</v>
      </c>
      <c r="T399" t="s">
        <v>1059</v>
      </c>
    </row>
    <row r="400" spans="1:20" ht="16.5" x14ac:dyDescent="0.45">
      <c r="A400">
        <v>1399</v>
      </c>
      <c r="B400" t="s">
        <v>1060</v>
      </c>
      <c r="C400" t="s">
        <v>47</v>
      </c>
      <c r="D400" t="s">
        <v>29</v>
      </c>
      <c r="E400">
        <v>495324</v>
      </c>
      <c r="F400" s="1">
        <v>45376</v>
      </c>
      <c r="G400" s="1">
        <v>45611</v>
      </c>
      <c r="H400">
        <v>537877</v>
      </c>
      <c r="I400">
        <v>1921</v>
      </c>
      <c r="J400" s="5">
        <v>1033261717</v>
      </c>
      <c r="K400">
        <v>2</v>
      </c>
      <c r="L400">
        <v>4</v>
      </c>
      <c r="M400" t="s">
        <v>22</v>
      </c>
      <c r="N400">
        <v>2023</v>
      </c>
      <c r="P400">
        <v>3</v>
      </c>
      <c r="Q400" t="s">
        <v>23</v>
      </c>
      <c r="R400" t="s">
        <v>1061</v>
      </c>
      <c r="S400" t="s">
        <v>25</v>
      </c>
      <c r="T400" t="s">
        <v>1062</v>
      </c>
    </row>
    <row r="401" spans="1:20" ht="16.5" x14ac:dyDescent="0.45">
      <c r="A401">
        <v>1400</v>
      </c>
      <c r="B401" t="s">
        <v>1063</v>
      </c>
      <c r="C401" t="s">
        <v>47</v>
      </c>
      <c r="D401" t="s">
        <v>42</v>
      </c>
      <c r="E401">
        <v>575112</v>
      </c>
      <c r="F401" s="1">
        <v>45527</v>
      </c>
      <c r="G401" s="1">
        <v>45578</v>
      </c>
      <c r="H401">
        <v>591857</v>
      </c>
      <c r="I401">
        <v>3626</v>
      </c>
      <c r="J401" s="5">
        <v>2146073482</v>
      </c>
      <c r="K401">
        <v>6</v>
      </c>
      <c r="L401">
        <v>2</v>
      </c>
      <c r="M401" t="s">
        <v>37</v>
      </c>
      <c r="N401">
        <v>2004</v>
      </c>
      <c r="O401">
        <v>7</v>
      </c>
      <c r="P401">
        <v>3</v>
      </c>
      <c r="Q401" t="s">
        <v>132</v>
      </c>
      <c r="R401" t="s">
        <v>1064</v>
      </c>
      <c r="S401" t="s">
        <v>25</v>
      </c>
      <c r="T401" t="s">
        <v>472</v>
      </c>
    </row>
    <row r="402" spans="1:20" ht="16.5" x14ac:dyDescent="0.45">
      <c r="A402">
        <v>1401</v>
      </c>
      <c r="B402" t="s">
        <v>1065</v>
      </c>
      <c r="C402" t="s">
        <v>47</v>
      </c>
      <c r="D402" t="s">
        <v>29</v>
      </c>
      <c r="E402">
        <v>529787</v>
      </c>
      <c r="F402" s="1">
        <v>45375</v>
      </c>
      <c r="G402" s="1">
        <v>45632</v>
      </c>
      <c r="H402">
        <v>540713</v>
      </c>
      <c r="I402">
        <v>4926</v>
      </c>
      <c r="J402" s="5">
        <v>2663552238</v>
      </c>
      <c r="K402">
        <v>2</v>
      </c>
      <c r="L402">
        <v>5</v>
      </c>
      <c r="M402" t="s">
        <v>22</v>
      </c>
      <c r="N402">
        <v>2021</v>
      </c>
      <c r="P402">
        <v>1</v>
      </c>
      <c r="Q402" t="s">
        <v>132</v>
      </c>
      <c r="R402" t="s">
        <v>1066</v>
      </c>
      <c r="S402" t="s">
        <v>25</v>
      </c>
      <c r="T402" t="s">
        <v>939</v>
      </c>
    </row>
    <row r="403" spans="1:20" ht="16.5" x14ac:dyDescent="0.45">
      <c r="A403">
        <v>1402</v>
      </c>
      <c r="B403" t="s">
        <v>1067</v>
      </c>
      <c r="C403" t="s">
        <v>47</v>
      </c>
      <c r="D403" t="s">
        <v>42</v>
      </c>
      <c r="E403">
        <v>880175</v>
      </c>
      <c r="F403" s="1">
        <v>45570</v>
      </c>
      <c r="G403" s="1"/>
      <c r="I403">
        <v>3355</v>
      </c>
      <c r="K403">
        <v>2</v>
      </c>
      <c r="L403">
        <v>4</v>
      </c>
      <c r="M403" t="s">
        <v>30</v>
      </c>
      <c r="N403">
        <v>2022</v>
      </c>
      <c r="O403">
        <v>1</v>
      </c>
      <c r="P403">
        <v>2</v>
      </c>
      <c r="Q403" t="s">
        <v>162</v>
      </c>
      <c r="R403" t="s">
        <v>1068</v>
      </c>
      <c r="S403" t="s">
        <v>33</v>
      </c>
      <c r="T403" t="s">
        <v>284</v>
      </c>
    </row>
    <row r="404" spans="1:20" ht="16.5" x14ac:dyDescent="0.45">
      <c r="A404">
        <v>1403</v>
      </c>
      <c r="B404" t="s">
        <v>1069</v>
      </c>
      <c r="C404" t="s">
        <v>36</v>
      </c>
      <c r="D404" t="s">
        <v>29</v>
      </c>
      <c r="E404">
        <v>755657</v>
      </c>
      <c r="F404" s="1">
        <v>45550</v>
      </c>
      <c r="G404" s="1"/>
      <c r="I404">
        <v>2770</v>
      </c>
      <c r="K404">
        <v>6</v>
      </c>
      <c r="L404">
        <v>4</v>
      </c>
      <c r="M404" t="s">
        <v>22</v>
      </c>
      <c r="N404">
        <v>2010</v>
      </c>
      <c r="P404">
        <v>3</v>
      </c>
      <c r="Q404" t="s">
        <v>31</v>
      </c>
      <c r="R404" t="s">
        <v>1070</v>
      </c>
      <c r="S404" t="s">
        <v>33</v>
      </c>
      <c r="T404" t="s">
        <v>1071</v>
      </c>
    </row>
    <row r="405" spans="1:20" ht="16.5" x14ac:dyDescent="0.45">
      <c r="A405">
        <v>1404</v>
      </c>
      <c r="B405" t="s">
        <v>1072</v>
      </c>
      <c r="C405" t="s">
        <v>47</v>
      </c>
      <c r="D405" t="s">
        <v>29</v>
      </c>
      <c r="E405">
        <v>619699</v>
      </c>
      <c r="F405" s="1">
        <v>45450</v>
      </c>
      <c r="G405" s="1"/>
      <c r="I405">
        <v>4379</v>
      </c>
      <c r="K405">
        <v>2</v>
      </c>
      <c r="L405">
        <v>5</v>
      </c>
      <c r="M405" t="s">
        <v>37</v>
      </c>
      <c r="N405">
        <v>2001</v>
      </c>
      <c r="O405">
        <v>6</v>
      </c>
      <c r="P405">
        <v>3</v>
      </c>
      <c r="Q405" t="s">
        <v>43</v>
      </c>
      <c r="R405" t="s">
        <v>1073</v>
      </c>
      <c r="S405" t="s">
        <v>33</v>
      </c>
      <c r="T405" t="s">
        <v>137</v>
      </c>
    </row>
    <row r="406" spans="1:20" ht="16.5" x14ac:dyDescent="0.45">
      <c r="A406">
        <v>1405</v>
      </c>
      <c r="B406" t="s">
        <v>1074</v>
      </c>
      <c r="C406" t="s">
        <v>28</v>
      </c>
      <c r="D406" t="s">
        <v>42</v>
      </c>
      <c r="E406">
        <v>572498</v>
      </c>
      <c r="F406" s="1">
        <v>45324</v>
      </c>
      <c r="G406" s="1"/>
      <c r="I406">
        <v>4000</v>
      </c>
      <c r="K406">
        <v>4</v>
      </c>
      <c r="L406">
        <v>3</v>
      </c>
      <c r="M406" t="s">
        <v>30</v>
      </c>
      <c r="N406">
        <v>2008</v>
      </c>
      <c r="O406">
        <v>7</v>
      </c>
      <c r="P406">
        <v>2</v>
      </c>
      <c r="Q406" t="s">
        <v>23</v>
      </c>
      <c r="R406" t="s">
        <v>1075</v>
      </c>
      <c r="S406" t="s">
        <v>33</v>
      </c>
      <c r="T406" t="s">
        <v>77</v>
      </c>
    </row>
    <row r="407" spans="1:20" ht="16.5" x14ac:dyDescent="0.45">
      <c r="A407">
        <v>1406</v>
      </c>
      <c r="B407" t="s">
        <v>1076</v>
      </c>
      <c r="C407" t="s">
        <v>47</v>
      </c>
      <c r="D407" t="s">
        <v>21</v>
      </c>
      <c r="E407">
        <v>428488</v>
      </c>
      <c r="F407" s="1">
        <v>45494</v>
      </c>
      <c r="G407" s="1"/>
      <c r="I407">
        <v>3307</v>
      </c>
      <c r="K407">
        <v>2</v>
      </c>
      <c r="L407">
        <v>2</v>
      </c>
      <c r="M407" t="s">
        <v>22</v>
      </c>
      <c r="N407">
        <v>2019</v>
      </c>
      <c r="P407">
        <v>1</v>
      </c>
      <c r="Q407" t="s">
        <v>23</v>
      </c>
      <c r="R407" t="s">
        <v>1077</v>
      </c>
      <c r="S407" t="s">
        <v>33</v>
      </c>
      <c r="T407" t="s">
        <v>1078</v>
      </c>
    </row>
    <row r="408" spans="1:20" ht="16.5" x14ac:dyDescent="0.45">
      <c r="A408">
        <v>1407</v>
      </c>
      <c r="B408" t="s">
        <v>1079</v>
      </c>
      <c r="C408" t="s">
        <v>36</v>
      </c>
      <c r="D408" t="s">
        <v>21</v>
      </c>
      <c r="E408">
        <v>499254</v>
      </c>
      <c r="F408" s="1">
        <v>45427</v>
      </c>
      <c r="G408" s="1"/>
      <c r="I408">
        <v>4811</v>
      </c>
      <c r="K408">
        <v>4</v>
      </c>
      <c r="L408">
        <v>4</v>
      </c>
      <c r="M408" t="s">
        <v>30</v>
      </c>
      <c r="N408">
        <v>2006</v>
      </c>
      <c r="O408">
        <v>5</v>
      </c>
      <c r="P408">
        <v>1</v>
      </c>
      <c r="Q408" t="s">
        <v>132</v>
      </c>
      <c r="R408" t="s">
        <v>1080</v>
      </c>
      <c r="S408" t="s">
        <v>33</v>
      </c>
      <c r="T408" t="s">
        <v>256</v>
      </c>
    </row>
    <row r="409" spans="1:20" ht="16.5" x14ac:dyDescent="0.45">
      <c r="A409">
        <v>1408</v>
      </c>
      <c r="B409" t="s">
        <v>1081</v>
      </c>
      <c r="C409" t="s">
        <v>28</v>
      </c>
      <c r="D409" t="s">
        <v>29</v>
      </c>
      <c r="E409">
        <v>627850</v>
      </c>
      <c r="F409" s="1">
        <v>45280</v>
      </c>
      <c r="G409" s="1">
        <v>45514</v>
      </c>
      <c r="H409">
        <v>653798</v>
      </c>
      <c r="I409">
        <v>2012</v>
      </c>
      <c r="J409" s="5">
        <v>1315441576</v>
      </c>
      <c r="K409">
        <v>5</v>
      </c>
      <c r="L409">
        <v>2</v>
      </c>
      <c r="M409" t="s">
        <v>30</v>
      </c>
      <c r="N409">
        <v>2008</v>
      </c>
      <c r="O409">
        <v>1</v>
      </c>
      <c r="P409">
        <v>4</v>
      </c>
      <c r="Q409" t="s">
        <v>43</v>
      </c>
      <c r="R409" t="s">
        <v>1082</v>
      </c>
      <c r="S409" t="s">
        <v>25</v>
      </c>
      <c r="T409" t="s">
        <v>603</v>
      </c>
    </row>
    <row r="410" spans="1:20" ht="16.5" x14ac:dyDescent="0.45">
      <c r="A410">
        <v>1409</v>
      </c>
      <c r="B410" t="s">
        <v>1083</v>
      </c>
      <c r="C410" t="s">
        <v>36</v>
      </c>
      <c r="D410" t="s">
        <v>42</v>
      </c>
      <c r="E410">
        <v>679504</v>
      </c>
      <c r="F410" s="1">
        <v>45496</v>
      </c>
      <c r="G410" s="1"/>
      <c r="I410">
        <v>1389</v>
      </c>
      <c r="K410">
        <v>6</v>
      </c>
      <c r="L410">
        <v>4</v>
      </c>
      <c r="M410" t="s">
        <v>22</v>
      </c>
      <c r="N410">
        <v>2004</v>
      </c>
      <c r="P410">
        <v>2</v>
      </c>
      <c r="Q410" t="s">
        <v>162</v>
      </c>
      <c r="R410" t="s">
        <v>1084</v>
      </c>
      <c r="S410" t="s">
        <v>33</v>
      </c>
      <c r="T410" t="s">
        <v>1085</v>
      </c>
    </row>
    <row r="411" spans="1:20" ht="16.5" x14ac:dyDescent="0.45">
      <c r="A411">
        <v>1410</v>
      </c>
      <c r="B411" t="s">
        <v>1086</v>
      </c>
      <c r="C411" t="s">
        <v>51</v>
      </c>
      <c r="D411" t="s">
        <v>29</v>
      </c>
      <c r="E411">
        <v>391214</v>
      </c>
      <c r="F411" s="1">
        <v>45570</v>
      </c>
      <c r="G411" s="1">
        <v>45293</v>
      </c>
      <c r="H411">
        <v>428585</v>
      </c>
      <c r="I411">
        <v>3653</v>
      </c>
      <c r="J411" s="5">
        <v>1565621005</v>
      </c>
      <c r="K411">
        <v>5</v>
      </c>
      <c r="L411">
        <v>3</v>
      </c>
      <c r="M411" t="s">
        <v>37</v>
      </c>
      <c r="N411">
        <v>2003</v>
      </c>
      <c r="O411">
        <v>5</v>
      </c>
      <c r="P411">
        <v>4</v>
      </c>
      <c r="Q411" t="s">
        <v>132</v>
      </c>
      <c r="R411" t="s">
        <v>1087</v>
      </c>
      <c r="S411" t="s">
        <v>25</v>
      </c>
      <c r="T411" t="s">
        <v>595</v>
      </c>
    </row>
    <row r="412" spans="1:20" ht="16.5" x14ac:dyDescent="0.45">
      <c r="A412">
        <v>1411</v>
      </c>
      <c r="B412" t="s">
        <v>1088</v>
      </c>
      <c r="C412" t="s">
        <v>20</v>
      </c>
      <c r="D412" t="s">
        <v>29</v>
      </c>
      <c r="E412">
        <v>622111</v>
      </c>
      <c r="F412" s="1">
        <v>45288</v>
      </c>
      <c r="G412" s="1"/>
      <c r="I412">
        <v>1224</v>
      </c>
      <c r="K412">
        <v>3</v>
      </c>
      <c r="L412">
        <v>3</v>
      </c>
      <c r="M412" t="s">
        <v>22</v>
      </c>
      <c r="N412">
        <v>2008</v>
      </c>
      <c r="P412">
        <v>3</v>
      </c>
      <c r="Q412" t="s">
        <v>75</v>
      </c>
      <c r="R412" t="s">
        <v>1089</v>
      </c>
      <c r="S412" t="s">
        <v>33</v>
      </c>
      <c r="T412" t="s">
        <v>1090</v>
      </c>
    </row>
    <row r="413" spans="1:20" ht="16.5" x14ac:dyDescent="0.45">
      <c r="A413">
        <v>1412</v>
      </c>
      <c r="B413" t="s">
        <v>1091</v>
      </c>
      <c r="C413" t="s">
        <v>28</v>
      </c>
      <c r="D413" t="s">
        <v>29</v>
      </c>
      <c r="E413">
        <v>884895</v>
      </c>
      <c r="F413" s="1">
        <v>45510</v>
      </c>
      <c r="G413" s="1">
        <v>45281</v>
      </c>
      <c r="H413">
        <v>901577</v>
      </c>
      <c r="I413">
        <v>2314</v>
      </c>
      <c r="J413" s="5">
        <v>2086249178</v>
      </c>
      <c r="K413">
        <v>6</v>
      </c>
      <c r="L413">
        <v>5</v>
      </c>
      <c r="M413" t="s">
        <v>30</v>
      </c>
      <c r="N413">
        <v>2013</v>
      </c>
      <c r="O413">
        <v>8</v>
      </c>
      <c r="P413">
        <v>2</v>
      </c>
      <c r="Q413" t="s">
        <v>93</v>
      </c>
      <c r="R413" t="s">
        <v>1092</v>
      </c>
      <c r="S413" t="s">
        <v>25</v>
      </c>
      <c r="T413" t="s">
        <v>946</v>
      </c>
    </row>
    <row r="414" spans="1:20" ht="16.5" x14ac:dyDescent="0.45">
      <c r="A414">
        <v>1413</v>
      </c>
      <c r="B414" t="s">
        <v>1093</v>
      </c>
      <c r="C414" t="s">
        <v>51</v>
      </c>
      <c r="D414" t="s">
        <v>21</v>
      </c>
      <c r="E414">
        <v>635473</v>
      </c>
      <c r="F414" s="1">
        <v>45612</v>
      </c>
      <c r="G414" s="1"/>
      <c r="I414">
        <v>1691</v>
      </c>
      <c r="K414">
        <v>4</v>
      </c>
      <c r="L414">
        <v>4</v>
      </c>
      <c r="M414" t="s">
        <v>62</v>
      </c>
      <c r="N414">
        <v>2006</v>
      </c>
      <c r="O414">
        <v>5</v>
      </c>
      <c r="P414">
        <v>2</v>
      </c>
      <c r="Q414" t="s">
        <v>31</v>
      </c>
      <c r="R414" t="s">
        <v>1094</v>
      </c>
      <c r="S414" t="s">
        <v>33</v>
      </c>
      <c r="T414" t="s">
        <v>1095</v>
      </c>
    </row>
    <row r="415" spans="1:20" ht="16.5" x14ac:dyDescent="0.45">
      <c r="A415">
        <v>1414</v>
      </c>
      <c r="B415" t="s">
        <v>1096</v>
      </c>
      <c r="C415" t="s">
        <v>36</v>
      </c>
      <c r="D415" t="s">
        <v>29</v>
      </c>
      <c r="E415">
        <v>718518</v>
      </c>
      <c r="F415" s="1">
        <v>45446</v>
      </c>
      <c r="G415" s="1">
        <v>45513</v>
      </c>
      <c r="H415">
        <v>744911</v>
      </c>
      <c r="I415">
        <v>4471</v>
      </c>
      <c r="J415" s="5">
        <v>3330497081</v>
      </c>
      <c r="K415">
        <v>2</v>
      </c>
      <c r="L415">
        <v>5</v>
      </c>
      <c r="M415" t="s">
        <v>22</v>
      </c>
      <c r="N415">
        <v>2015</v>
      </c>
      <c r="P415">
        <v>4</v>
      </c>
      <c r="Q415" t="s">
        <v>31</v>
      </c>
      <c r="R415" t="s">
        <v>1097</v>
      </c>
      <c r="S415" t="s">
        <v>25</v>
      </c>
      <c r="T415" t="s">
        <v>1098</v>
      </c>
    </row>
    <row r="416" spans="1:20" ht="16.5" x14ac:dyDescent="0.45">
      <c r="A416">
        <v>1415</v>
      </c>
      <c r="B416" t="s">
        <v>1099</v>
      </c>
      <c r="C416" t="s">
        <v>28</v>
      </c>
      <c r="D416" t="s">
        <v>29</v>
      </c>
      <c r="E416">
        <v>591810</v>
      </c>
      <c r="F416" s="1">
        <v>45602</v>
      </c>
      <c r="G416" s="1">
        <v>45332</v>
      </c>
      <c r="H416">
        <v>607549</v>
      </c>
      <c r="I416">
        <v>1167</v>
      </c>
      <c r="J416" s="5">
        <v>709009683</v>
      </c>
      <c r="K416">
        <v>6</v>
      </c>
      <c r="L416">
        <v>2</v>
      </c>
      <c r="M416" t="s">
        <v>30</v>
      </c>
      <c r="N416">
        <v>2010</v>
      </c>
      <c r="O416">
        <v>3</v>
      </c>
      <c r="P416">
        <v>2</v>
      </c>
      <c r="Q416" t="s">
        <v>86</v>
      </c>
      <c r="R416" t="s">
        <v>1100</v>
      </c>
      <c r="S416" t="s">
        <v>25</v>
      </c>
      <c r="T416" t="s">
        <v>925</v>
      </c>
    </row>
    <row r="417" spans="1:20" ht="16.5" x14ac:dyDescent="0.45">
      <c r="A417">
        <v>1416</v>
      </c>
      <c r="B417" t="s">
        <v>1101</v>
      </c>
      <c r="C417" t="s">
        <v>20</v>
      </c>
      <c r="D417" t="s">
        <v>29</v>
      </c>
      <c r="E417">
        <v>849114</v>
      </c>
      <c r="F417" s="1">
        <v>45336</v>
      </c>
      <c r="G417" s="1">
        <v>45457</v>
      </c>
      <c r="H417">
        <v>890143</v>
      </c>
      <c r="I417">
        <v>1436</v>
      </c>
      <c r="J417" s="5">
        <v>1278245348</v>
      </c>
      <c r="K417">
        <v>6</v>
      </c>
      <c r="L417">
        <v>2</v>
      </c>
      <c r="M417" t="s">
        <v>62</v>
      </c>
      <c r="N417">
        <v>2018</v>
      </c>
      <c r="O417">
        <v>1</v>
      </c>
      <c r="P417">
        <v>2</v>
      </c>
      <c r="Q417" t="s">
        <v>132</v>
      </c>
      <c r="R417" t="s">
        <v>1102</v>
      </c>
      <c r="S417" t="s">
        <v>25</v>
      </c>
      <c r="T417" t="s">
        <v>1103</v>
      </c>
    </row>
    <row r="418" spans="1:20" ht="16.5" x14ac:dyDescent="0.45">
      <c r="A418">
        <v>1417</v>
      </c>
      <c r="B418" t="s">
        <v>1104</v>
      </c>
      <c r="C418" t="s">
        <v>47</v>
      </c>
      <c r="D418" t="s">
        <v>42</v>
      </c>
      <c r="E418">
        <v>568496</v>
      </c>
      <c r="F418" s="1">
        <v>45545</v>
      </c>
      <c r="G418" s="1"/>
      <c r="I418">
        <v>1278</v>
      </c>
      <c r="K418">
        <v>5</v>
      </c>
      <c r="L418">
        <v>3</v>
      </c>
      <c r="M418" t="s">
        <v>62</v>
      </c>
      <c r="N418">
        <v>2022</v>
      </c>
      <c r="O418">
        <v>10</v>
      </c>
      <c r="P418">
        <v>2</v>
      </c>
      <c r="Q418" t="s">
        <v>93</v>
      </c>
      <c r="R418" t="s">
        <v>1105</v>
      </c>
      <c r="S418" t="s">
        <v>33</v>
      </c>
      <c r="T418" t="s">
        <v>1106</v>
      </c>
    </row>
    <row r="419" spans="1:20" ht="16.5" x14ac:dyDescent="0.45">
      <c r="A419">
        <v>1418</v>
      </c>
      <c r="B419" t="s">
        <v>1107</v>
      </c>
      <c r="C419" t="s">
        <v>36</v>
      </c>
      <c r="D419" t="s">
        <v>21</v>
      </c>
      <c r="E419">
        <v>652348</v>
      </c>
      <c r="F419" s="1">
        <v>45311</v>
      </c>
      <c r="G419" s="1">
        <v>45466</v>
      </c>
      <c r="H419">
        <v>675189</v>
      </c>
      <c r="I419">
        <v>4923</v>
      </c>
      <c r="J419" s="5">
        <v>3323955447</v>
      </c>
      <c r="K419">
        <v>3</v>
      </c>
      <c r="L419">
        <v>5</v>
      </c>
      <c r="M419" t="s">
        <v>22</v>
      </c>
      <c r="N419">
        <v>2002</v>
      </c>
      <c r="P419">
        <v>4</v>
      </c>
      <c r="Q419" t="s">
        <v>93</v>
      </c>
      <c r="R419" t="s">
        <v>1108</v>
      </c>
      <c r="S419" t="s">
        <v>25</v>
      </c>
      <c r="T419" t="s">
        <v>1109</v>
      </c>
    </row>
    <row r="420" spans="1:20" ht="16.5" x14ac:dyDescent="0.45">
      <c r="A420">
        <v>1419</v>
      </c>
      <c r="B420" t="s">
        <v>1110</v>
      </c>
      <c r="C420" t="s">
        <v>47</v>
      </c>
      <c r="D420" t="s">
        <v>21</v>
      </c>
      <c r="E420">
        <v>620708</v>
      </c>
      <c r="F420" s="1">
        <v>45636</v>
      </c>
      <c r="G420" s="1">
        <v>45512</v>
      </c>
      <c r="H420">
        <v>666063</v>
      </c>
      <c r="I420">
        <v>3228</v>
      </c>
      <c r="J420" s="5">
        <v>2150051364</v>
      </c>
      <c r="K420">
        <v>5</v>
      </c>
      <c r="L420">
        <v>4</v>
      </c>
      <c r="M420" t="s">
        <v>37</v>
      </c>
      <c r="N420">
        <v>2004</v>
      </c>
      <c r="O420">
        <v>7</v>
      </c>
      <c r="P420">
        <v>3</v>
      </c>
      <c r="Q420" t="s">
        <v>23</v>
      </c>
      <c r="R420" t="s">
        <v>1111</v>
      </c>
      <c r="S420" t="s">
        <v>25</v>
      </c>
      <c r="T420" t="s">
        <v>40</v>
      </c>
    </row>
    <row r="421" spans="1:20" ht="16.5" x14ac:dyDescent="0.45">
      <c r="A421">
        <v>1420</v>
      </c>
      <c r="B421" t="s">
        <v>1112</v>
      </c>
      <c r="C421" t="s">
        <v>28</v>
      </c>
      <c r="D421" t="s">
        <v>42</v>
      </c>
      <c r="E421">
        <v>603675</v>
      </c>
      <c r="F421" s="1">
        <v>45545</v>
      </c>
      <c r="G421" s="1">
        <v>45543</v>
      </c>
      <c r="H421">
        <v>642427</v>
      </c>
      <c r="I421">
        <v>1915</v>
      </c>
      <c r="J421" s="5">
        <v>1230247705</v>
      </c>
      <c r="K421">
        <v>4</v>
      </c>
      <c r="L421">
        <v>3</v>
      </c>
      <c r="M421" t="s">
        <v>62</v>
      </c>
      <c r="N421">
        <v>2014</v>
      </c>
      <c r="O421">
        <v>4</v>
      </c>
      <c r="P421">
        <v>4</v>
      </c>
      <c r="Q421" t="s">
        <v>58</v>
      </c>
      <c r="R421" t="s">
        <v>1113</v>
      </c>
      <c r="S421" t="s">
        <v>25</v>
      </c>
      <c r="T421" t="s">
        <v>515</v>
      </c>
    </row>
    <row r="422" spans="1:20" ht="16.5" x14ac:dyDescent="0.45">
      <c r="A422">
        <v>1421</v>
      </c>
      <c r="B422" t="s">
        <v>1114</v>
      </c>
      <c r="C422" t="s">
        <v>28</v>
      </c>
      <c r="D422" t="s">
        <v>21</v>
      </c>
      <c r="E422">
        <v>808409</v>
      </c>
      <c r="F422" s="1">
        <v>45306</v>
      </c>
      <c r="G422" s="1"/>
      <c r="I422">
        <v>4231</v>
      </c>
      <c r="K422">
        <v>2</v>
      </c>
      <c r="L422">
        <v>2</v>
      </c>
      <c r="M422" t="s">
        <v>62</v>
      </c>
      <c r="N422">
        <v>2008</v>
      </c>
      <c r="O422">
        <v>8</v>
      </c>
      <c r="P422">
        <v>1</v>
      </c>
      <c r="Q422" t="s">
        <v>43</v>
      </c>
      <c r="R422" t="s">
        <v>1115</v>
      </c>
      <c r="S422" t="s">
        <v>33</v>
      </c>
      <c r="T422" t="s">
        <v>1116</v>
      </c>
    </row>
    <row r="423" spans="1:20" ht="16.5" x14ac:dyDescent="0.45">
      <c r="A423">
        <v>1422</v>
      </c>
      <c r="B423" t="s">
        <v>1117</v>
      </c>
      <c r="C423" t="s">
        <v>20</v>
      </c>
      <c r="D423" t="s">
        <v>29</v>
      </c>
      <c r="E423">
        <v>382592</v>
      </c>
      <c r="F423" s="1">
        <v>45357</v>
      </c>
      <c r="G423" s="1"/>
      <c r="I423">
        <v>2462</v>
      </c>
      <c r="K423">
        <v>3</v>
      </c>
      <c r="L423">
        <v>3</v>
      </c>
      <c r="M423" t="s">
        <v>22</v>
      </c>
      <c r="N423">
        <v>2006</v>
      </c>
      <c r="P423">
        <v>3</v>
      </c>
      <c r="Q423" t="s">
        <v>75</v>
      </c>
      <c r="R423" t="s">
        <v>1118</v>
      </c>
      <c r="S423" t="s">
        <v>33</v>
      </c>
      <c r="T423" t="s">
        <v>91</v>
      </c>
    </row>
    <row r="424" spans="1:20" ht="16.5" x14ac:dyDescent="0.45">
      <c r="A424">
        <v>1423</v>
      </c>
      <c r="B424" t="s">
        <v>1119</v>
      </c>
      <c r="C424" t="s">
        <v>20</v>
      </c>
      <c r="D424" t="s">
        <v>29</v>
      </c>
      <c r="E424">
        <v>763727</v>
      </c>
      <c r="F424" s="1">
        <v>45298</v>
      </c>
      <c r="G424" s="1">
        <v>45633</v>
      </c>
      <c r="H424">
        <v>791180</v>
      </c>
      <c r="I424">
        <v>4691</v>
      </c>
      <c r="J424" s="5">
        <v>3711425380</v>
      </c>
      <c r="K424">
        <v>3</v>
      </c>
      <c r="L424">
        <v>2</v>
      </c>
      <c r="M424" t="s">
        <v>30</v>
      </c>
      <c r="N424">
        <v>2017</v>
      </c>
      <c r="O424">
        <v>1</v>
      </c>
      <c r="P424">
        <v>2</v>
      </c>
      <c r="Q424" t="s">
        <v>132</v>
      </c>
      <c r="R424" t="s">
        <v>1120</v>
      </c>
      <c r="S424" t="s">
        <v>25</v>
      </c>
      <c r="T424" t="s">
        <v>509</v>
      </c>
    </row>
    <row r="425" spans="1:20" ht="16.5" x14ac:dyDescent="0.45">
      <c r="A425">
        <v>1424</v>
      </c>
      <c r="B425" t="s">
        <v>1121</v>
      </c>
      <c r="C425" t="s">
        <v>47</v>
      </c>
      <c r="D425" t="s">
        <v>42</v>
      </c>
      <c r="E425">
        <v>890313</v>
      </c>
      <c r="F425" s="1">
        <v>45423</v>
      </c>
      <c r="G425" s="1">
        <v>45624</v>
      </c>
      <c r="H425">
        <v>901138</v>
      </c>
      <c r="I425">
        <v>4797</v>
      </c>
      <c r="J425" s="5">
        <v>4322758986</v>
      </c>
      <c r="K425">
        <v>4</v>
      </c>
      <c r="L425">
        <v>5</v>
      </c>
      <c r="M425" t="s">
        <v>37</v>
      </c>
      <c r="N425">
        <v>2016</v>
      </c>
      <c r="O425">
        <v>9</v>
      </c>
      <c r="P425">
        <v>4</v>
      </c>
      <c r="Q425" t="s">
        <v>38</v>
      </c>
      <c r="R425" t="s">
        <v>1122</v>
      </c>
      <c r="S425" t="s">
        <v>25</v>
      </c>
      <c r="T425" t="s">
        <v>1123</v>
      </c>
    </row>
    <row r="426" spans="1:20" ht="16.5" x14ac:dyDescent="0.45">
      <c r="A426">
        <v>1425</v>
      </c>
      <c r="B426" t="s">
        <v>1124</v>
      </c>
      <c r="C426" t="s">
        <v>20</v>
      </c>
      <c r="D426" t="s">
        <v>21</v>
      </c>
      <c r="E426">
        <v>351650</v>
      </c>
      <c r="F426" s="1">
        <v>45296</v>
      </c>
      <c r="G426" s="1">
        <v>45499</v>
      </c>
      <c r="H426">
        <v>365132</v>
      </c>
      <c r="I426">
        <v>2929</v>
      </c>
      <c r="J426" s="5">
        <v>1069471628</v>
      </c>
      <c r="K426">
        <v>2</v>
      </c>
      <c r="L426">
        <v>2</v>
      </c>
      <c r="M426" t="s">
        <v>62</v>
      </c>
      <c r="N426">
        <v>2004</v>
      </c>
      <c r="O426">
        <v>8</v>
      </c>
      <c r="P426">
        <v>3</v>
      </c>
      <c r="Q426" t="s">
        <v>23</v>
      </c>
      <c r="R426" t="s">
        <v>1125</v>
      </c>
      <c r="S426" t="s">
        <v>25</v>
      </c>
      <c r="T426" t="s">
        <v>1126</v>
      </c>
    </row>
    <row r="427" spans="1:20" ht="16.5" x14ac:dyDescent="0.45">
      <c r="A427">
        <v>1426</v>
      </c>
      <c r="B427" t="s">
        <v>1127</v>
      </c>
      <c r="C427" t="s">
        <v>28</v>
      </c>
      <c r="D427" t="s">
        <v>29</v>
      </c>
      <c r="E427">
        <v>944193</v>
      </c>
      <c r="F427" s="1">
        <v>45425</v>
      </c>
      <c r="G427" s="1">
        <v>45437</v>
      </c>
      <c r="H427">
        <v>967413</v>
      </c>
      <c r="I427">
        <v>1487</v>
      </c>
      <c r="J427" s="5">
        <v>1438543131</v>
      </c>
      <c r="K427">
        <v>5</v>
      </c>
      <c r="L427">
        <v>3</v>
      </c>
      <c r="M427" t="s">
        <v>30</v>
      </c>
      <c r="N427">
        <v>2011</v>
      </c>
      <c r="O427">
        <v>2</v>
      </c>
      <c r="P427">
        <v>1</v>
      </c>
      <c r="Q427" t="s">
        <v>31</v>
      </c>
      <c r="R427" t="s">
        <v>1128</v>
      </c>
      <c r="S427" t="s">
        <v>25</v>
      </c>
      <c r="T427" t="s">
        <v>1129</v>
      </c>
    </row>
    <row r="428" spans="1:20" ht="16.5" x14ac:dyDescent="0.45">
      <c r="A428">
        <v>1427</v>
      </c>
      <c r="B428" t="s">
        <v>1130</v>
      </c>
      <c r="C428" t="s">
        <v>20</v>
      </c>
      <c r="D428" t="s">
        <v>21</v>
      </c>
      <c r="E428">
        <v>664057</v>
      </c>
      <c r="F428" s="1">
        <v>45397</v>
      </c>
      <c r="G428" s="1">
        <v>45623</v>
      </c>
      <c r="H428">
        <v>704552</v>
      </c>
      <c r="I428">
        <v>2730</v>
      </c>
      <c r="J428" s="5">
        <v>1923426960</v>
      </c>
      <c r="K428">
        <v>4</v>
      </c>
      <c r="L428">
        <v>4</v>
      </c>
      <c r="M428" t="s">
        <v>37</v>
      </c>
      <c r="N428">
        <v>2023</v>
      </c>
      <c r="O428">
        <v>7</v>
      </c>
      <c r="P428">
        <v>4</v>
      </c>
      <c r="Q428" t="s">
        <v>75</v>
      </c>
      <c r="R428" t="s">
        <v>1131</v>
      </c>
      <c r="S428" t="s">
        <v>25</v>
      </c>
      <c r="T428" t="s">
        <v>1132</v>
      </c>
    </row>
    <row r="429" spans="1:20" ht="16.5" x14ac:dyDescent="0.45">
      <c r="A429">
        <v>1428</v>
      </c>
      <c r="B429" t="s">
        <v>1133</v>
      </c>
      <c r="C429" t="s">
        <v>47</v>
      </c>
      <c r="D429" t="s">
        <v>21</v>
      </c>
      <c r="E429">
        <v>840168</v>
      </c>
      <c r="F429" s="1">
        <v>45640</v>
      </c>
      <c r="G429" s="1">
        <v>45303</v>
      </c>
      <c r="H429">
        <v>888588</v>
      </c>
      <c r="I429">
        <v>3952</v>
      </c>
      <c r="J429" s="5">
        <v>3511699776</v>
      </c>
      <c r="K429">
        <v>6</v>
      </c>
      <c r="L429">
        <v>2</v>
      </c>
      <c r="M429" t="s">
        <v>62</v>
      </c>
      <c r="N429">
        <v>2022</v>
      </c>
      <c r="O429">
        <v>1</v>
      </c>
      <c r="P429">
        <v>3</v>
      </c>
      <c r="Q429" t="s">
        <v>31</v>
      </c>
      <c r="R429" t="s">
        <v>1134</v>
      </c>
      <c r="S429" t="s">
        <v>25</v>
      </c>
      <c r="T429" t="s">
        <v>284</v>
      </c>
    </row>
    <row r="430" spans="1:20" ht="16.5" x14ac:dyDescent="0.45">
      <c r="A430">
        <v>1429</v>
      </c>
      <c r="B430" t="s">
        <v>1135</v>
      </c>
      <c r="C430" t="s">
        <v>47</v>
      </c>
      <c r="D430" t="s">
        <v>21</v>
      </c>
      <c r="E430">
        <v>532293</v>
      </c>
      <c r="F430" s="1">
        <v>45574</v>
      </c>
      <c r="G430" s="1">
        <v>45557</v>
      </c>
      <c r="H430">
        <v>552624</v>
      </c>
      <c r="I430">
        <v>3090</v>
      </c>
      <c r="J430" s="5">
        <v>1707608160</v>
      </c>
      <c r="K430">
        <v>6</v>
      </c>
      <c r="L430">
        <v>3</v>
      </c>
      <c r="M430" t="s">
        <v>22</v>
      </c>
      <c r="N430">
        <v>2013</v>
      </c>
      <c r="P430">
        <v>3</v>
      </c>
      <c r="Q430" t="s">
        <v>58</v>
      </c>
      <c r="R430" t="s">
        <v>1136</v>
      </c>
      <c r="S430" t="s">
        <v>25</v>
      </c>
      <c r="T430" t="s">
        <v>180</v>
      </c>
    </row>
    <row r="431" spans="1:20" ht="16.5" x14ac:dyDescent="0.45">
      <c r="A431">
        <v>1430</v>
      </c>
      <c r="B431" t="s">
        <v>1137</v>
      </c>
      <c r="C431" t="s">
        <v>47</v>
      </c>
      <c r="D431" t="s">
        <v>21</v>
      </c>
      <c r="E431">
        <v>690424</v>
      </c>
      <c r="F431" s="1">
        <v>45449</v>
      </c>
      <c r="G431" s="1"/>
      <c r="I431">
        <v>1938</v>
      </c>
      <c r="K431">
        <v>5</v>
      </c>
      <c r="L431">
        <v>4</v>
      </c>
      <c r="M431" t="s">
        <v>37</v>
      </c>
      <c r="N431">
        <v>2009</v>
      </c>
      <c r="O431">
        <v>9</v>
      </c>
      <c r="P431">
        <v>2</v>
      </c>
      <c r="Q431" t="s">
        <v>43</v>
      </c>
      <c r="R431" t="s">
        <v>1138</v>
      </c>
      <c r="S431" t="s">
        <v>33</v>
      </c>
      <c r="T431" t="s">
        <v>1139</v>
      </c>
    </row>
    <row r="432" spans="1:20" ht="16.5" x14ac:dyDescent="0.45">
      <c r="A432">
        <v>1431</v>
      </c>
      <c r="B432" t="s">
        <v>1140</v>
      </c>
      <c r="C432" t="s">
        <v>28</v>
      </c>
      <c r="D432" t="s">
        <v>21</v>
      </c>
      <c r="E432">
        <v>604603</v>
      </c>
      <c r="F432" s="1">
        <v>45439</v>
      </c>
      <c r="G432" s="1"/>
      <c r="I432">
        <v>4063</v>
      </c>
      <c r="K432">
        <v>5</v>
      </c>
      <c r="L432">
        <v>3</v>
      </c>
      <c r="M432" t="s">
        <v>62</v>
      </c>
      <c r="N432">
        <v>2005</v>
      </c>
      <c r="O432">
        <v>1</v>
      </c>
      <c r="P432">
        <v>3</v>
      </c>
      <c r="Q432" t="s">
        <v>31</v>
      </c>
      <c r="R432" t="s">
        <v>890</v>
      </c>
      <c r="S432" t="s">
        <v>33</v>
      </c>
      <c r="T432" t="s">
        <v>1141</v>
      </c>
    </row>
    <row r="433" spans="1:20" ht="16.5" x14ac:dyDescent="0.45">
      <c r="A433">
        <v>1432</v>
      </c>
      <c r="B433" t="s">
        <v>1142</v>
      </c>
      <c r="C433" t="s">
        <v>47</v>
      </c>
      <c r="D433" t="s">
        <v>21</v>
      </c>
      <c r="E433">
        <v>914643</v>
      </c>
      <c r="F433" s="1">
        <v>45514</v>
      </c>
      <c r="G433" s="1"/>
      <c r="I433">
        <v>3619</v>
      </c>
      <c r="K433">
        <v>2</v>
      </c>
      <c r="L433">
        <v>2</v>
      </c>
      <c r="M433" t="s">
        <v>30</v>
      </c>
      <c r="N433">
        <v>2022</v>
      </c>
      <c r="O433">
        <v>8</v>
      </c>
      <c r="P433">
        <v>2</v>
      </c>
      <c r="Q433" t="s">
        <v>58</v>
      </c>
      <c r="R433" t="s">
        <v>1143</v>
      </c>
      <c r="S433" t="s">
        <v>33</v>
      </c>
      <c r="T433" t="s">
        <v>1144</v>
      </c>
    </row>
    <row r="434" spans="1:20" ht="16.5" x14ac:dyDescent="0.45">
      <c r="A434">
        <v>1433</v>
      </c>
      <c r="B434" t="s">
        <v>1145</v>
      </c>
      <c r="C434" t="s">
        <v>28</v>
      </c>
      <c r="D434" t="s">
        <v>29</v>
      </c>
      <c r="E434">
        <v>407190</v>
      </c>
      <c r="F434" s="1">
        <v>45431</v>
      </c>
      <c r="G434" s="1">
        <v>45557</v>
      </c>
      <c r="H434">
        <v>424090</v>
      </c>
      <c r="I434">
        <v>3832</v>
      </c>
      <c r="J434" s="5">
        <v>1625112880</v>
      </c>
      <c r="K434">
        <v>2</v>
      </c>
      <c r="L434">
        <v>2</v>
      </c>
      <c r="M434" t="s">
        <v>37</v>
      </c>
      <c r="N434">
        <v>2015</v>
      </c>
      <c r="O434">
        <v>1</v>
      </c>
      <c r="P434">
        <v>3</v>
      </c>
      <c r="Q434" t="s">
        <v>75</v>
      </c>
      <c r="R434" t="s">
        <v>1146</v>
      </c>
      <c r="S434" t="s">
        <v>25</v>
      </c>
      <c r="T434" t="s">
        <v>955</v>
      </c>
    </row>
    <row r="435" spans="1:20" ht="16.5" x14ac:dyDescent="0.45">
      <c r="A435">
        <v>1434</v>
      </c>
      <c r="B435" t="s">
        <v>1147</v>
      </c>
      <c r="C435" t="s">
        <v>36</v>
      </c>
      <c r="D435" t="s">
        <v>21</v>
      </c>
      <c r="E435">
        <v>744411</v>
      </c>
      <c r="F435" s="1">
        <v>45514</v>
      </c>
      <c r="G435" s="1">
        <v>45611</v>
      </c>
      <c r="H435">
        <v>791772</v>
      </c>
      <c r="I435">
        <v>3193</v>
      </c>
      <c r="J435" s="5">
        <v>2528127996</v>
      </c>
      <c r="K435">
        <v>6</v>
      </c>
      <c r="L435">
        <v>5</v>
      </c>
      <c r="M435" t="s">
        <v>30</v>
      </c>
      <c r="N435">
        <v>2009</v>
      </c>
      <c r="O435">
        <v>4</v>
      </c>
      <c r="P435">
        <v>2</v>
      </c>
      <c r="Q435" t="s">
        <v>31</v>
      </c>
      <c r="R435" t="s">
        <v>1148</v>
      </c>
      <c r="S435" t="s">
        <v>25</v>
      </c>
      <c r="T435" t="s">
        <v>1149</v>
      </c>
    </row>
    <row r="436" spans="1:20" ht="16.5" x14ac:dyDescent="0.45">
      <c r="A436">
        <v>1435</v>
      </c>
      <c r="B436" t="s">
        <v>1150</v>
      </c>
      <c r="C436" t="s">
        <v>47</v>
      </c>
      <c r="D436" t="s">
        <v>42</v>
      </c>
      <c r="E436">
        <v>674094</v>
      </c>
      <c r="F436" s="1">
        <v>45631</v>
      </c>
      <c r="G436" s="1">
        <v>45624</v>
      </c>
      <c r="H436">
        <v>692726</v>
      </c>
      <c r="I436">
        <v>3545</v>
      </c>
      <c r="J436" s="5">
        <v>2455713670</v>
      </c>
      <c r="K436">
        <v>5</v>
      </c>
      <c r="L436">
        <v>4</v>
      </c>
      <c r="M436" t="s">
        <v>62</v>
      </c>
      <c r="N436">
        <v>2003</v>
      </c>
      <c r="O436">
        <v>3</v>
      </c>
      <c r="P436">
        <v>4</v>
      </c>
      <c r="Q436" t="s">
        <v>75</v>
      </c>
      <c r="R436" t="s">
        <v>1151</v>
      </c>
      <c r="S436" t="s">
        <v>25</v>
      </c>
      <c r="T436" t="s">
        <v>1152</v>
      </c>
    </row>
    <row r="437" spans="1:20" ht="16.5" x14ac:dyDescent="0.45">
      <c r="A437">
        <v>1436</v>
      </c>
      <c r="B437" t="s">
        <v>1153</v>
      </c>
      <c r="C437" t="s">
        <v>36</v>
      </c>
      <c r="D437" t="s">
        <v>29</v>
      </c>
      <c r="E437">
        <v>886889</v>
      </c>
      <c r="F437" s="1">
        <v>45365</v>
      </c>
      <c r="G437" s="1"/>
      <c r="I437">
        <v>4579</v>
      </c>
      <c r="K437">
        <v>3</v>
      </c>
      <c r="L437">
        <v>5</v>
      </c>
      <c r="M437" t="s">
        <v>62</v>
      </c>
      <c r="N437">
        <v>2014</v>
      </c>
      <c r="O437">
        <v>2</v>
      </c>
      <c r="P437">
        <v>1</v>
      </c>
      <c r="Q437" t="s">
        <v>58</v>
      </c>
      <c r="R437" t="s">
        <v>1154</v>
      </c>
      <c r="S437" t="s">
        <v>33</v>
      </c>
      <c r="T437" t="s">
        <v>180</v>
      </c>
    </row>
    <row r="438" spans="1:20" ht="16.5" x14ac:dyDescent="0.45">
      <c r="A438">
        <v>1437</v>
      </c>
      <c r="B438" t="s">
        <v>1155</v>
      </c>
      <c r="C438" t="s">
        <v>51</v>
      </c>
      <c r="D438" t="s">
        <v>21</v>
      </c>
      <c r="E438">
        <v>822642</v>
      </c>
      <c r="F438" s="1">
        <v>45445</v>
      </c>
      <c r="G438" s="1"/>
      <c r="I438">
        <v>1055</v>
      </c>
      <c r="K438">
        <v>4</v>
      </c>
      <c r="L438">
        <v>4</v>
      </c>
      <c r="M438" t="s">
        <v>30</v>
      </c>
      <c r="N438">
        <v>2006</v>
      </c>
      <c r="O438">
        <v>3</v>
      </c>
      <c r="P438">
        <v>3</v>
      </c>
      <c r="Q438" t="s">
        <v>86</v>
      </c>
      <c r="R438" t="s">
        <v>1156</v>
      </c>
      <c r="S438" t="s">
        <v>33</v>
      </c>
      <c r="T438" t="s">
        <v>1157</v>
      </c>
    </row>
    <row r="439" spans="1:20" ht="16.5" x14ac:dyDescent="0.45">
      <c r="A439">
        <v>1438</v>
      </c>
      <c r="B439" t="s">
        <v>1158</v>
      </c>
      <c r="C439" t="s">
        <v>36</v>
      </c>
      <c r="D439" t="s">
        <v>29</v>
      </c>
      <c r="E439">
        <v>581866</v>
      </c>
      <c r="F439" s="1">
        <v>45539</v>
      </c>
      <c r="G439" s="1">
        <v>45541</v>
      </c>
      <c r="H439">
        <v>604326</v>
      </c>
      <c r="I439">
        <v>3180</v>
      </c>
      <c r="J439" s="5">
        <v>1921756680</v>
      </c>
      <c r="K439">
        <v>3</v>
      </c>
      <c r="L439">
        <v>3</v>
      </c>
      <c r="M439" t="s">
        <v>22</v>
      </c>
      <c r="N439">
        <v>2016</v>
      </c>
      <c r="P439">
        <v>1</v>
      </c>
      <c r="Q439" t="s">
        <v>162</v>
      </c>
      <c r="R439" t="s">
        <v>1159</v>
      </c>
      <c r="S439" t="s">
        <v>25</v>
      </c>
      <c r="T439" t="s">
        <v>822</v>
      </c>
    </row>
    <row r="440" spans="1:20" ht="16.5" x14ac:dyDescent="0.45">
      <c r="A440">
        <v>1439</v>
      </c>
      <c r="B440" t="s">
        <v>1160</v>
      </c>
      <c r="C440" t="s">
        <v>20</v>
      </c>
      <c r="D440" t="s">
        <v>29</v>
      </c>
      <c r="E440">
        <v>926665</v>
      </c>
      <c r="F440" s="1">
        <v>45388</v>
      </c>
      <c r="G440" s="1">
        <v>45471</v>
      </c>
      <c r="H440">
        <v>970435</v>
      </c>
      <c r="I440">
        <v>2245</v>
      </c>
      <c r="J440" s="5">
        <v>2178626575</v>
      </c>
      <c r="K440">
        <v>3</v>
      </c>
      <c r="L440">
        <v>2</v>
      </c>
      <c r="M440" t="s">
        <v>62</v>
      </c>
      <c r="N440">
        <v>2013</v>
      </c>
      <c r="O440">
        <v>3</v>
      </c>
      <c r="P440">
        <v>4</v>
      </c>
      <c r="Q440" t="s">
        <v>58</v>
      </c>
      <c r="R440" t="s">
        <v>1161</v>
      </c>
      <c r="S440" t="s">
        <v>25</v>
      </c>
      <c r="T440" t="s">
        <v>1162</v>
      </c>
    </row>
    <row r="441" spans="1:20" ht="16.5" x14ac:dyDescent="0.45">
      <c r="A441">
        <v>1440</v>
      </c>
      <c r="B441" t="s">
        <v>1163</v>
      </c>
      <c r="C441" t="s">
        <v>51</v>
      </c>
      <c r="D441" t="s">
        <v>21</v>
      </c>
      <c r="E441">
        <v>354035</v>
      </c>
      <c r="F441" s="1">
        <v>45433</v>
      </c>
      <c r="G441" s="1"/>
      <c r="I441">
        <v>2254</v>
      </c>
      <c r="K441">
        <v>4</v>
      </c>
      <c r="L441">
        <v>5</v>
      </c>
      <c r="M441" t="s">
        <v>37</v>
      </c>
      <c r="N441">
        <v>2021</v>
      </c>
      <c r="O441">
        <v>3</v>
      </c>
      <c r="P441">
        <v>1</v>
      </c>
      <c r="Q441" t="s">
        <v>38</v>
      </c>
      <c r="R441" t="s">
        <v>1164</v>
      </c>
      <c r="S441" t="s">
        <v>33</v>
      </c>
      <c r="T441" t="s">
        <v>110</v>
      </c>
    </row>
    <row r="442" spans="1:20" ht="16.5" x14ac:dyDescent="0.45">
      <c r="A442">
        <v>1441</v>
      </c>
      <c r="B442" t="s">
        <v>1165</v>
      </c>
      <c r="C442" t="s">
        <v>20</v>
      </c>
      <c r="D442" t="s">
        <v>21</v>
      </c>
      <c r="E442">
        <v>532178</v>
      </c>
      <c r="F442" s="1">
        <v>45530</v>
      </c>
      <c r="G442" s="1"/>
      <c r="I442">
        <v>4417</v>
      </c>
      <c r="K442">
        <v>6</v>
      </c>
      <c r="L442">
        <v>4</v>
      </c>
      <c r="M442" t="s">
        <v>22</v>
      </c>
      <c r="N442">
        <v>2016</v>
      </c>
      <c r="P442">
        <v>4</v>
      </c>
      <c r="Q442" t="s">
        <v>132</v>
      </c>
      <c r="R442" t="s">
        <v>1166</v>
      </c>
      <c r="S442" t="s">
        <v>33</v>
      </c>
      <c r="T442" t="s">
        <v>70</v>
      </c>
    </row>
    <row r="443" spans="1:20" ht="16.5" x14ac:dyDescent="0.45">
      <c r="A443">
        <v>1442</v>
      </c>
      <c r="B443" t="s">
        <v>1167</v>
      </c>
      <c r="C443" t="s">
        <v>51</v>
      </c>
      <c r="D443" t="s">
        <v>29</v>
      </c>
      <c r="E443">
        <v>881805</v>
      </c>
      <c r="F443" s="1">
        <v>45319</v>
      </c>
      <c r="G443" s="1">
        <v>45477</v>
      </c>
      <c r="H443">
        <v>903096</v>
      </c>
      <c r="I443">
        <v>2036</v>
      </c>
      <c r="J443" s="5">
        <v>1838703456</v>
      </c>
      <c r="K443">
        <v>6</v>
      </c>
      <c r="L443">
        <v>3</v>
      </c>
      <c r="M443" t="s">
        <v>62</v>
      </c>
      <c r="N443">
        <v>2005</v>
      </c>
      <c r="O443">
        <v>10</v>
      </c>
      <c r="P443">
        <v>2</v>
      </c>
      <c r="Q443" t="s">
        <v>23</v>
      </c>
      <c r="R443" t="s">
        <v>1168</v>
      </c>
      <c r="S443" t="s">
        <v>25</v>
      </c>
      <c r="T443" t="s">
        <v>845</v>
      </c>
    </row>
    <row r="444" spans="1:20" ht="16.5" x14ac:dyDescent="0.45">
      <c r="A444">
        <v>1443</v>
      </c>
      <c r="B444" t="s">
        <v>1169</v>
      </c>
      <c r="C444" t="s">
        <v>36</v>
      </c>
      <c r="D444" t="s">
        <v>21</v>
      </c>
      <c r="E444">
        <v>553397</v>
      </c>
      <c r="F444" s="1">
        <v>45479</v>
      </c>
      <c r="G444" s="1"/>
      <c r="I444">
        <v>3957</v>
      </c>
      <c r="K444">
        <v>3</v>
      </c>
      <c r="L444">
        <v>4</v>
      </c>
      <c r="M444" t="s">
        <v>62</v>
      </c>
      <c r="N444">
        <v>2017</v>
      </c>
      <c r="O444">
        <v>2</v>
      </c>
      <c r="P444">
        <v>2</v>
      </c>
      <c r="Q444" t="s">
        <v>43</v>
      </c>
      <c r="R444" t="s">
        <v>1170</v>
      </c>
      <c r="S444" t="s">
        <v>33</v>
      </c>
      <c r="T444" t="s">
        <v>45</v>
      </c>
    </row>
    <row r="445" spans="1:20" ht="16.5" x14ac:dyDescent="0.45">
      <c r="A445">
        <v>1444</v>
      </c>
      <c r="B445" t="s">
        <v>1171</v>
      </c>
      <c r="C445" t="s">
        <v>47</v>
      </c>
      <c r="D445" t="s">
        <v>21</v>
      </c>
      <c r="E445">
        <v>821284</v>
      </c>
      <c r="F445" s="1">
        <v>45346</v>
      </c>
      <c r="G445" s="1">
        <v>45441</v>
      </c>
      <c r="H445">
        <v>855909</v>
      </c>
      <c r="I445">
        <v>4805</v>
      </c>
      <c r="J445" s="5">
        <v>4112642745</v>
      </c>
      <c r="K445">
        <v>2</v>
      </c>
      <c r="L445">
        <v>2</v>
      </c>
      <c r="M445" t="s">
        <v>37</v>
      </c>
      <c r="N445">
        <v>2021</v>
      </c>
      <c r="O445">
        <v>7</v>
      </c>
      <c r="P445">
        <v>2</v>
      </c>
      <c r="Q445" t="s">
        <v>31</v>
      </c>
      <c r="R445" t="s">
        <v>1172</v>
      </c>
      <c r="S445" t="s">
        <v>25</v>
      </c>
      <c r="T445" t="s">
        <v>1173</v>
      </c>
    </row>
    <row r="446" spans="1:20" ht="16.5" x14ac:dyDescent="0.45">
      <c r="A446">
        <v>1445</v>
      </c>
      <c r="B446" t="s">
        <v>1174</v>
      </c>
      <c r="C446" t="s">
        <v>36</v>
      </c>
      <c r="D446" t="s">
        <v>29</v>
      </c>
      <c r="E446">
        <v>365805</v>
      </c>
      <c r="F446" s="1">
        <v>45508</v>
      </c>
      <c r="G446" s="1"/>
      <c r="I446">
        <v>2019</v>
      </c>
      <c r="K446">
        <v>2</v>
      </c>
      <c r="L446">
        <v>5</v>
      </c>
      <c r="M446" t="s">
        <v>62</v>
      </c>
      <c r="N446">
        <v>2020</v>
      </c>
      <c r="O446">
        <v>8</v>
      </c>
      <c r="P446">
        <v>4</v>
      </c>
      <c r="Q446" t="s">
        <v>31</v>
      </c>
      <c r="R446" t="s">
        <v>1175</v>
      </c>
      <c r="S446" t="s">
        <v>33</v>
      </c>
      <c r="T446" t="s">
        <v>822</v>
      </c>
    </row>
    <row r="447" spans="1:20" ht="16.5" x14ac:dyDescent="0.45">
      <c r="A447">
        <v>1446</v>
      </c>
      <c r="B447" t="s">
        <v>1176</v>
      </c>
      <c r="C447" t="s">
        <v>20</v>
      </c>
      <c r="D447" t="s">
        <v>42</v>
      </c>
      <c r="E447">
        <v>566534</v>
      </c>
      <c r="F447" s="1">
        <v>45471</v>
      </c>
      <c r="G447" s="1">
        <v>45450</v>
      </c>
      <c r="H447">
        <v>598191</v>
      </c>
      <c r="I447">
        <v>4167</v>
      </c>
      <c r="J447" s="5">
        <v>2492661897</v>
      </c>
      <c r="K447">
        <v>4</v>
      </c>
      <c r="L447">
        <v>5</v>
      </c>
      <c r="M447" t="s">
        <v>37</v>
      </c>
      <c r="N447">
        <v>2009</v>
      </c>
      <c r="O447">
        <v>5</v>
      </c>
      <c r="P447">
        <v>1</v>
      </c>
      <c r="Q447" t="s">
        <v>23</v>
      </c>
      <c r="R447" t="s">
        <v>1177</v>
      </c>
      <c r="S447" t="s">
        <v>25</v>
      </c>
      <c r="T447" t="s">
        <v>1178</v>
      </c>
    </row>
    <row r="448" spans="1:20" ht="16.5" x14ac:dyDescent="0.45">
      <c r="A448">
        <v>1447</v>
      </c>
      <c r="B448" t="s">
        <v>1179</v>
      </c>
      <c r="C448" t="s">
        <v>36</v>
      </c>
      <c r="D448" t="s">
        <v>29</v>
      </c>
      <c r="E448">
        <v>673759</v>
      </c>
      <c r="F448" s="1">
        <v>45418</v>
      </c>
      <c r="G448" s="1"/>
      <c r="I448">
        <v>4286</v>
      </c>
      <c r="K448">
        <v>4</v>
      </c>
      <c r="L448">
        <v>5</v>
      </c>
      <c r="M448" t="s">
        <v>37</v>
      </c>
      <c r="N448">
        <v>2008</v>
      </c>
      <c r="O448">
        <v>7</v>
      </c>
      <c r="P448">
        <v>1</v>
      </c>
      <c r="Q448" t="s">
        <v>58</v>
      </c>
      <c r="R448" t="s">
        <v>1180</v>
      </c>
      <c r="S448" t="s">
        <v>33</v>
      </c>
      <c r="T448" t="s">
        <v>1181</v>
      </c>
    </row>
    <row r="449" spans="1:20" ht="16.5" x14ac:dyDescent="0.45">
      <c r="A449">
        <v>1448</v>
      </c>
      <c r="B449" t="s">
        <v>1182</v>
      </c>
      <c r="C449" t="s">
        <v>28</v>
      </c>
      <c r="D449" t="s">
        <v>29</v>
      </c>
      <c r="E449">
        <v>897821</v>
      </c>
      <c r="F449" s="1">
        <v>45559</v>
      </c>
      <c r="G449" s="1"/>
      <c r="I449">
        <v>4524</v>
      </c>
      <c r="K449">
        <v>5</v>
      </c>
      <c r="L449">
        <v>5</v>
      </c>
      <c r="M449" t="s">
        <v>62</v>
      </c>
      <c r="N449">
        <v>2009</v>
      </c>
      <c r="O449">
        <v>2</v>
      </c>
      <c r="P449">
        <v>4</v>
      </c>
      <c r="Q449" t="s">
        <v>86</v>
      </c>
      <c r="R449" t="s">
        <v>1183</v>
      </c>
      <c r="S449" t="s">
        <v>33</v>
      </c>
      <c r="T449" t="s">
        <v>77</v>
      </c>
    </row>
    <row r="450" spans="1:20" ht="16.5" x14ac:dyDescent="0.45">
      <c r="A450">
        <v>1449</v>
      </c>
      <c r="B450" t="s">
        <v>1184</v>
      </c>
      <c r="C450" t="s">
        <v>36</v>
      </c>
      <c r="D450" t="s">
        <v>29</v>
      </c>
      <c r="E450">
        <v>840321</v>
      </c>
      <c r="F450" s="1">
        <v>45424</v>
      </c>
      <c r="G450" s="1">
        <v>45287</v>
      </c>
      <c r="H450">
        <v>883735</v>
      </c>
      <c r="I450">
        <v>3778</v>
      </c>
      <c r="J450" s="5">
        <v>3338750830</v>
      </c>
      <c r="K450">
        <v>2</v>
      </c>
      <c r="L450">
        <v>3</v>
      </c>
      <c r="M450" t="s">
        <v>22</v>
      </c>
      <c r="N450">
        <v>2008</v>
      </c>
      <c r="P450">
        <v>2</v>
      </c>
      <c r="Q450" t="s">
        <v>38</v>
      </c>
      <c r="R450" t="s">
        <v>1185</v>
      </c>
      <c r="S450" t="s">
        <v>25</v>
      </c>
      <c r="T450" t="s">
        <v>70</v>
      </c>
    </row>
    <row r="451" spans="1:20" ht="16.5" x14ac:dyDescent="0.45">
      <c r="A451">
        <v>1450</v>
      </c>
      <c r="B451" t="s">
        <v>1186</v>
      </c>
      <c r="C451" t="s">
        <v>36</v>
      </c>
      <c r="D451" t="s">
        <v>21</v>
      </c>
      <c r="E451">
        <v>570785</v>
      </c>
      <c r="F451" s="1">
        <v>45582</v>
      </c>
      <c r="G451" s="1">
        <v>45638</v>
      </c>
      <c r="H451">
        <v>598369</v>
      </c>
      <c r="I451">
        <v>2143</v>
      </c>
      <c r="J451" s="5">
        <v>1282304767</v>
      </c>
      <c r="K451">
        <v>2</v>
      </c>
      <c r="L451">
        <v>4</v>
      </c>
      <c r="M451" t="s">
        <v>30</v>
      </c>
      <c r="N451">
        <v>2004</v>
      </c>
      <c r="O451">
        <v>8</v>
      </c>
      <c r="P451">
        <v>3</v>
      </c>
      <c r="Q451" t="s">
        <v>93</v>
      </c>
      <c r="R451" t="s">
        <v>1187</v>
      </c>
      <c r="S451" t="s">
        <v>25</v>
      </c>
      <c r="T451" t="s">
        <v>444</v>
      </c>
    </row>
    <row r="452" spans="1:20" ht="16.5" x14ac:dyDescent="0.45">
      <c r="A452">
        <v>1451</v>
      </c>
      <c r="B452" t="s">
        <v>1188</v>
      </c>
      <c r="C452" t="s">
        <v>51</v>
      </c>
      <c r="D452" t="s">
        <v>29</v>
      </c>
      <c r="E452">
        <v>509546</v>
      </c>
      <c r="F452" s="1">
        <v>45448</v>
      </c>
      <c r="G452" s="1">
        <v>45468</v>
      </c>
      <c r="H452">
        <v>551326</v>
      </c>
      <c r="I452">
        <v>2566</v>
      </c>
      <c r="J452" s="5">
        <v>1414702516</v>
      </c>
      <c r="K452">
        <v>6</v>
      </c>
      <c r="L452">
        <v>3</v>
      </c>
      <c r="M452" t="s">
        <v>22</v>
      </c>
      <c r="N452">
        <v>2008</v>
      </c>
      <c r="P452">
        <v>4</v>
      </c>
      <c r="Q452" t="s">
        <v>93</v>
      </c>
      <c r="R452" t="s">
        <v>1189</v>
      </c>
      <c r="S452" t="s">
        <v>25</v>
      </c>
      <c r="T452" t="s">
        <v>595</v>
      </c>
    </row>
    <row r="453" spans="1:20" ht="16.5" x14ac:dyDescent="0.45">
      <c r="A453">
        <v>1452</v>
      </c>
      <c r="B453" t="s">
        <v>1190</v>
      </c>
      <c r="C453" t="s">
        <v>36</v>
      </c>
      <c r="D453" t="s">
        <v>29</v>
      </c>
      <c r="E453">
        <v>529938</v>
      </c>
      <c r="F453" s="1">
        <v>45454</v>
      </c>
      <c r="G453" s="1"/>
      <c r="I453">
        <v>4161</v>
      </c>
      <c r="K453">
        <v>2</v>
      </c>
      <c r="L453">
        <v>2</v>
      </c>
      <c r="M453" t="s">
        <v>62</v>
      </c>
      <c r="N453">
        <v>2010</v>
      </c>
      <c r="O453">
        <v>10</v>
      </c>
      <c r="P453">
        <v>4</v>
      </c>
      <c r="Q453" t="s">
        <v>23</v>
      </c>
      <c r="R453" t="s">
        <v>1191</v>
      </c>
      <c r="S453" t="s">
        <v>33</v>
      </c>
      <c r="T453" t="s">
        <v>1192</v>
      </c>
    </row>
    <row r="454" spans="1:20" ht="16.5" x14ac:dyDescent="0.45">
      <c r="A454">
        <v>1453</v>
      </c>
      <c r="B454" t="s">
        <v>1193</v>
      </c>
      <c r="C454" t="s">
        <v>28</v>
      </c>
      <c r="D454" t="s">
        <v>21</v>
      </c>
      <c r="E454">
        <v>805683</v>
      </c>
      <c r="F454" s="1">
        <v>45573</v>
      </c>
      <c r="G454" s="1"/>
      <c r="I454">
        <v>2871</v>
      </c>
      <c r="K454">
        <v>5</v>
      </c>
      <c r="L454">
        <v>2</v>
      </c>
      <c r="M454" t="s">
        <v>22</v>
      </c>
      <c r="N454">
        <v>2020</v>
      </c>
      <c r="P454">
        <v>2</v>
      </c>
      <c r="Q454" t="s">
        <v>58</v>
      </c>
      <c r="R454" t="s">
        <v>1194</v>
      </c>
      <c r="S454" t="s">
        <v>33</v>
      </c>
      <c r="T454" t="s">
        <v>1195</v>
      </c>
    </row>
    <row r="455" spans="1:20" ht="16.5" x14ac:dyDescent="0.45">
      <c r="A455">
        <v>1454</v>
      </c>
      <c r="B455" t="s">
        <v>1196</v>
      </c>
      <c r="C455" t="s">
        <v>47</v>
      </c>
      <c r="D455" t="s">
        <v>42</v>
      </c>
      <c r="E455">
        <v>920832</v>
      </c>
      <c r="F455" s="1">
        <v>45373</v>
      </c>
      <c r="G455" s="1"/>
      <c r="I455">
        <v>2515</v>
      </c>
      <c r="K455">
        <v>3</v>
      </c>
      <c r="L455">
        <v>3</v>
      </c>
      <c r="M455" t="s">
        <v>30</v>
      </c>
      <c r="N455">
        <v>2000</v>
      </c>
      <c r="O455">
        <v>8</v>
      </c>
      <c r="P455">
        <v>3</v>
      </c>
      <c r="Q455" t="s">
        <v>38</v>
      </c>
      <c r="R455" t="s">
        <v>1197</v>
      </c>
      <c r="S455" t="s">
        <v>33</v>
      </c>
      <c r="T455" t="s">
        <v>671</v>
      </c>
    </row>
    <row r="456" spans="1:20" ht="16.5" x14ac:dyDescent="0.45">
      <c r="A456">
        <v>1455</v>
      </c>
      <c r="B456" t="s">
        <v>1198</v>
      </c>
      <c r="C456" t="s">
        <v>28</v>
      </c>
      <c r="D456" t="s">
        <v>42</v>
      </c>
      <c r="E456">
        <v>457341</v>
      </c>
      <c r="F456" s="1">
        <v>45400</v>
      </c>
      <c r="G456" s="1">
        <v>45597</v>
      </c>
      <c r="H456">
        <v>505989</v>
      </c>
      <c r="I456">
        <v>2386</v>
      </c>
      <c r="J456" s="5">
        <v>1207289754</v>
      </c>
      <c r="K456">
        <v>2</v>
      </c>
      <c r="L456">
        <v>2</v>
      </c>
      <c r="M456" t="s">
        <v>62</v>
      </c>
      <c r="N456">
        <v>2019</v>
      </c>
      <c r="O456">
        <v>9</v>
      </c>
      <c r="P456">
        <v>3</v>
      </c>
      <c r="Q456" t="s">
        <v>75</v>
      </c>
      <c r="R456" t="s">
        <v>1199</v>
      </c>
      <c r="S456" t="s">
        <v>25</v>
      </c>
      <c r="T456" t="s">
        <v>671</v>
      </c>
    </row>
    <row r="457" spans="1:20" ht="16.5" x14ac:dyDescent="0.45">
      <c r="A457">
        <v>1456</v>
      </c>
      <c r="B457" t="s">
        <v>1200</v>
      </c>
      <c r="C457" t="s">
        <v>20</v>
      </c>
      <c r="D457" t="s">
        <v>42</v>
      </c>
      <c r="E457">
        <v>425035</v>
      </c>
      <c r="F457" s="1">
        <v>45459</v>
      </c>
      <c r="G457" s="1"/>
      <c r="I457">
        <v>3134</v>
      </c>
      <c r="K457">
        <v>4</v>
      </c>
      <c r="L457">
        <v>5</v>
      </c>
      <c r="M457" t="s">
        <v>22</v>
      </c>
      <c r="N457">
        <v>2000</v>
      </c>
      <c r="P457">
        <v>1</v>
      </c>
      <c r="Q457" t="s">
        <v>132</v>
      </c>
      <c r="R457" t="s">
        <v>1201</v>
      </c>
      <c r="S457" t="s">
        <v>33</v>
      </c>
      <c r="T457" t="s">
        <v>128</v>
      </c>
    </row>
    <row r="458" spans="1:20" ht="16.5" x14ac:dyDescent="0.45">
      <c r="A458">
        <v>1457</v>
      </c>
      <c r="B458" t="s">
        <v>1202</v>
      </c>
      <c r="C458" t="s">
        <v>51</v>
      </c>
      <c r="D458" t="s">
        <v>21</v>
      </c>
      <c r="E458">
        <v>574206</v>
      </c>
      <c r="F458" s="1">
        <v>45354</v>
      </c>
      <c r="G458" s="1"/>
      <c r="I458">
        <v>1176</v>
      </c>
      <c r="K458">
        <v>6</v>
      </c>
      <c r="L458">
        <v>4</v>
      </c>
      <c r="M458" t="s">
        <v>62</v>
      </c>
      <c r="N458">
        <v>2002</v>
      </c>
      <c r="O458">
        <v>8</v>
      </c>
      <c r="P458">
        <v>4</v>
      </c>
      <c r="Q458" t="s">
        <v>93</v>
      </c>
      <c r="R458" t="s">
        <v>1203</v>
      </c>
      <c r="S458" t="s">
        <v>33</v>
      </c>
      <c r="T458" t="s">
        <v>1204</v>
      </c>
    </row>
    <row r="459" spans="1:20" ht="16.5" x14ac:dyDescent="0.45">
      <c r="A459">
        <v>1458</v>
      </c>
      <c r="B459" t="s">
        <v>1205</v>
      </c>
      <c r="C459" t="s">
        <v>47</v>
      </c>
      <c r="D459" t="s">
        <v>42</v>
      </c>
      <c r="E459">
        <v>673354</v>
      </c>
      <c r="F459" s="1">
        <v>45616</v>
      </c>
      <c r="G459" s="1">
        <v>45367</v>
      </c>
      <c r="H459">
        <v>705596</v>
      </c>
      <c r="I459">
        <v>1030</v>
      </c>
      <c r="J459" s="5">
        <v>726763880</v>
      </c>
      <c r="K459">
        <v>5</v>
      </c>
      <c r="L459">
        <v>3</v>
      </c>
      <c r="M459" t="s">
        <v>30</v>
      </c>
      <c r="N459">
        <v>2006</v>
      </c>
      <c r="O459">
        <v>2</v>
      </c>
      <c r="P459">
        <v>2</v>
      </c>
      <c r="Q459" t="s">
        <v>38</v>
      </c>
      <c r="R459" t="s">
        <v>1206</v>
      </c>
      <c r="S459" t="s">
        <v>25</v>
      </c>
      <c r="T459" t="s">
        <v>550</v>
      </c>
    </row>
    <row r="460" spans="1:20" ht="16.5" x14ac:dyDescent="0.45">
      <c r="A460">
        <v>1459</v>
      </c>
      <c r="B460" t="s">
        <v>1207</v>
      </c>
      <c r="C460" t="s">
        <v>36</v>
      </c>
      <c r="D460" t="s">
        <v>21</v>
      </c>
      <c r="E460">
        <v>773693</v>
      </c>
      <c r="F460" s="1">
        <v>45580</v>
      </c>
      <c r="G460" s="1"/>
      <c r="I460">
        <v>4509</v>
      </c>
      <c r="K460">
        <v>4</v>
      </c>
      <c r="L460">
        <v>3</v>
      </c>
      <c r="M460" t="s">
        <v>22</v>
      </c>
      <c r="N460">
        <v>2021</v>
      </c>
      <c r="P460">
        <v>1</v>
      </c>
      <c r="Q460" t="s">
        <v>23</v>
      </c>
      <c r="R460" t="s">
        <v>559</v>
      </c>
      <c r="S460" t="s">
        <v>33</v>
      </c>
      <c r="T460" t="s">
        <v>40</v>
      </c>
    </row>
    <row r="461" spans="1:20" ht="16.5" x14ac:dyDescent="0.45">
      <c r="A461">
        <v>1460</v>
      </c>
      <c r="B461" t="s">
        <v>1208</v>
      </c>
      <c r="C461" t="s">
        <v>47</v>
      </c>
      <c r="D461" t="s">
        <v>42</v>
      </c>
      <c r="E461">
        <v>363467</v>
      </c>
      <c r="F461" s="1">
        <v>45354</v>
      </c>
      <c r="G461" s="1"/>
      <c r="I461">
        <v>3082</v>
      </c>
      <c r="K461">
        <v>6</v>
      </c>
      <c r="L461">
        <v>5</v>
      </c>
      <c r="M461" t="s">
        <v>37</v>
      </c>
      <c r="N461">
        <v>2008</v>
      </c>
      <c r="O461">
        <v>5</v>
      </c>
      <c r="P461">
        <v>2</v>
      </c>
      <c r="Q461" t="s">
        <v>38</v>
      </c>
      <c r="R461" t="s">
        <v>1209</v>
      </c>
      <c r="S461" t="s">
        <v>33</v>
      </c>
      <c r="T461" t="s">
        <v>128</v>
      </c>
    </row>
    <row r="462" spans="1:20" ht="16.5" x14ac:dyDescent="0.45">
      <c r="A462">
        <v>1461</v>
      </c>
      <c r="B462" t="s">
        <v>1210</v>
      </c>
      <c r="C462" t="s">
        <v>20</v>
      </c>
      <c r="D462" t="s">
        <v>42</v>
      </c>
      <c r="E462">
        <v>589531</v>
      </c>
      <c r="F462" s="1">
        <v>45375</v>
      </c>
      <c r="G462" s="1"/>
      <c r="I462">
        <v>4087</v>
      </c>
      <c r="K462">
        <v>3</v>
      </c>
      <c r="L462">
        <v>2</v>
      </c>
      <c r="M462" t="s">
        <v>30</v>
      </c>
      <c r="N462">
        <v>2005</v>
      </c>
      <c r="O462">
        <v>9</v>
      </c>
      <c r="P462">
        <v>4</v>
      </c>
      <c r="Q462" t="s">
        <v>43</v>
      </c>
      <c r="R462" t="s">
        <v>1211</v>
      </c>
      <c r="S462" t="s">
        <v>33</v>
      </c>
      <c r="T462" t="s">
        <v>1212</v>
      </c>
    </row>
    <row r="463" spans="1:20" ht="16.5" x14ac:dyDescent="0.45">
      <c r="A463">
        <v>1462</v>
      </c>
      <c r="B463" t="s">
        <v>1213</v>
      </c>
      <c r="C463" t="s">
        <v>20</v>
      </c>
      <c r="D463" t="s">
        <v>42</v>
      </c>
      <c r="E463">
        <v>592750</v>
      </c>
      <c r="F463" s="1">
        <v>45284</v>
      </c>
      <c r="G463" s="1">
        <v>45512</v>
      </c>
      <c r="H463">
        <v>621470</v>
      </c>
      <c r="I463">
        <v>2933</v>
      </c>
      <c r="J463" s="5">
        <v>1822771510</v>
      </c>
      <c r="K463">
        <v>3</v>
      </c>
      <c r="L463">
        <v>2</v>
      </c>
      <c r="M463" t="s">
        <v>30</v>
      </c>
      <c r="N463">
        <v>2000</v>
      </c>
      <c r="O463">
        <v>3</v>
      </c>
      <c r="P463">
        <v>1</v>
      </c>
      <c r="Q463" t="s">
        <v>162</v>
      </c>
      <c r="R463" t="s">
        <v>1214</v>
      </c>
      <c r="S463" t="s">
        <v>25</v>
      </c>
      <c r="T463" t="s">
        <v>1215</v>
      </c>
    </row>
    <row r="464" spans="1:20" ht="16.5" x14ac:dyDescent="0.45">
      <c r="A464">
        <v>1463</v>
      </c>
      <c r="B464" t="s">
        <v>1216</v>
      </c>
      <c r="C464" t="s">
        <v>36</v>
      </c>
      <c r="D464" t="s">
        <v>42</v>
      </c>
      <c r="E464">
        <v>904148</v>
      </c>
      <c r="F464" s="1">
        <v>45631</v>
      </c>
      <c r="G464" s="1"/>
      <c r="I464">
        <v>4904</v>
      </c>
      <c r="K464">
        <v>6</v>
      </c>
      <c r="L464">
        <v>4</v>
      </c>
      <c r="M464" t="s">
        <v>37</v>
      </c>
      <c r="N464">
        <v>2023</v>
      </c>
      <c r="O464">
        <v>1</v>
      </c>
      <c r="P464">
        <v>3</v>
      </c>
      <c r="Q464" t="s">
        <v>75</v>
      </c>
      <c r="R464" t="s">
        <v>1217</v>
      </c>
      <c r="S464" t="s">
        <v>33</v>
      </c>
      <c r="T464" t="s">
        <v>180</v>
      </c>
    </row>
    <row r="465" spans="1:20" ht="16.5" x14ac:dyDescent="0.45">
      <c r="A465">
        <v>1464</v>
      </c>
      <c r="B465" t="s">
        <v>1218</v>
      </c>
      <c r="C465" t="s">
        <v>20</v>
      </c>
      <c r="D465" t="s">
        <v>21</v>
      </c>
      <c r="E465">
        <v>464418</v>
      </c>
      <c r="F465" s="1">
        <v>45616</v>
      </c>
      <c r="G465" s="1">
        <v>45542</v>
      </c>
      <c r="H465">
        <v>508175</v>
      </c>
      <c r="I465">
        <v>1057</v>
      </c>
      <c r="J465" s="5">
        <v>537140975</v>
      </c>
      <c r="K465">
        <v>2</v>
      </c>
      <c r="L465">
        <v>4</v>
      </c>
      <c r="M465" t="s">
        <v>37</v>
      </c>
      <c r="N465">
        <v>2020</v>
      </c>
      <c r="O465">
        <v>6</v>
      </c>
      <c r="P465">
        <v>4</v>
      </c>
      <c r="Q465" t="s">
        <v>43</v>
      </c>
      <c r="R465" t="s">
        <v>1219</v>
      </c>
      <c r="S465" t="s">
        <v>25</v>
      </c>
      <c r="T465" t="s">
        <v>1220</v>
      </c>
    </row>
    <row r="466" spans="1:20" ht="16.5" x14ac:dyDescent="0.45">
      <c r="A466">
        <v>1465</v>
      </c>
      <c r="B466" t="s">
        <v>1221</v>
      </c>
      <c r="C466" t="s">
        <v>28</v>
      </c>
      <c r="D466" t="s">
        <v>21</v>
      </c>
      <c r="E466">
        <v>432412</v>
      </c>
      <c r="F466" s="1">
        <v>45373</v>
      </c>
      <c r="G466" s="1">
        <v>45633</v>
      </c>
      <c r="H466">
        <v>472092</v>
      </c>
      <c r="I466">
        <v>4699</v>
      </c>
      <c r="J466" s="5">
        <v>2218360308</v>
      </c>
      <c r="K466">
        <v>3</v>
      </c>
      <c r="L466">
        <v>5</v>
      </c>
      <c r="M466" t="s">
        <v>22</v>
      </c>
      <c r="N466">
        <v>2020</v>
      </c>
      <c r="P466">
        <v>2</v>
      </c>
      <c r="Q466" t="s">
        <v>132</v>
      </c>
      <c r="R466" t="s">
        <v>1222</v>
      </c>
      <c r="S466" t="s">
        <v>25</v>
      </c>
      <c r="T466" t="s">
        <v>1223</v>
      </c>
    </row>
    <row r="467" spans="1:20" ht="16.5" x14ac:dyDescent="0.45">
      <c r="A467">
        <v>1466</v>
      </c>
      <c r="B467" t="s">
        <v>1224</v>
      </c>
      <c r="C467" t="s">
        <v>51</v>
      </c>
      <c r="D467" t="s">
        <v>42</v>
      </c>
      <c r="E467">
        <v>856288</v>
      </c>
      <c r="F467" s="1">
        <v>45642</v>
      </c>
      <c r="G467" s="1"/>
      <c r="I467">
        <v>3530</v>
      </c>
      <c r="K467">
        <v>3</v>
      </c>
      <c r="L467">
        <v>3</v>
      </c>
      <c r="M467" t="s">
        <v>37</v>
      </c>
      <c r="N467">
        <v>2010</v>
      </c>
      <c r="O467">
        <v>5</v>
      </c>
      <c r="P467">
        <v>2</v>
      </c>
      <c r="Q467" t="s">
        <v>162</v>
      </c>
      <c r="R467" t="s">
        <v>1225</v>
      </c>
      <c r="S467" t="s">
        <v>33</v>
      </c>
      <c r="T467" t="s">
        <v>1226</v>
      </c>
    </row>
    <row r="468" spans="1:20" ht="16.5" x14ac:dyDescent="0.45">
      <c r="A468">
        <v>1467</v>
      </c>
      <c r="B468" t="s">
        <v>1227</v>
      </c>
      <c r="C468" t="s">
        <v>36</v>
      </c>
      <c r="D468" t="s">
        <v>29</v>
      </c>
      <c r="E468">
        <v>529296</v>
      </c>
      <c r="F468" s="1">
        <v>45552</v>
      </c>
      <c r="G468" s="1"/>
      <c r="I468">
        <v>3582</v>
      </c>
      <c r="K468">
        <v>6</v>
      </c>
      <c r="L468">
        <v>3</v>
      </c>
      <c r="M468" t="s">
        <v>30</v>
      </c>
      <c r="N468">
        <v>2019</v>
      </c>
      <c r="O468">
        <v>2</v>
      </c>
      <c r="P468">
        <v>1</v>
      </c>
      <c r="Q468" t="s">
        <v>75</v>
      </c>
      <c r="R468" t="s">
        <v>1228</v>
      </c>
      <c r="S468" t="s">
        <v>33</v>
      </c>
      <c r="T468" t="s">
        <v>1229</v>
      </c>
    </row>
    <row r="469" spans="1:20" ht="16.5" x14ac:dyDescent="0.45">
      <c r="A469">
        <v>1468</v>
      </c>
      <c r="B469" t="s">
        <v>1230</v>
      </c>
      <c r="C469" t="s">
        <v>51</v>
      </c>
      <c r="D469" t="s">
        <v>21</v>
      </c>
      <c r="E469">
        <v>932373</v>
      </c>
      <c r="F469" s="1">
        <v>45632</v>
      </c>
      <c r="G469" s="1">
        <v>45565</v>
      </c>
      <c r="H469">
        <v>950528</v>
      </c>
      <c r="I469">
        <v>1475</v>
      </c>
      <c r="J469" s="5">
        <v>1402028800</v>
      </c>
      <c r="K469">
        <v>4</v>
      </c>
      <c r="L469">
        <v>3</v>
      </c>
      <c r="M469" t="s">
        <v>30</v>
      </c>
      <c r="N469">
        <v>2011</v>
      </c>
      <c r="O469">
        <v>8</v>
      </c>
      <c r="P469">
        <v>4</v>
      </c>
      <c r="Q469" t="s">
        <v>38</v>
      </c>
      <c r="R469" t="s">
        <v>1231</v>
      </c>
      <c r="S469" t="s">
        <v>25</v>
      </c>
      <c r="T469" t="s">
        <v>91</v>
      </c>
    </row>
    <row r="470" spans="1:20" ht="16.5" x14ac:dyDescent="0.45">
      <c r="A470">
        <v>1469</v>
      </c>
      <c r="B470" t="s">
        <v>1232</v>
      </c>
      <c r="C470" t="s">
        <v>36</v>
      </c>
      <c r="D470" t="s">
        <v>42</v>
      </c>
      <c r="E470">
        <v>929410</v>
      </c>
      <c r="F470" s="1">
        <v>45433</v>
      </c>
      <c r="G470" s="1">
        <v>45345</v>
      </c>
      <c r="H470">
        <v>969447</v>
      </c>
      <c r="I470">
        <v>4114</v>
      </c>
      <c r="J470" s="5">
        <v>3988304958</v>
      </c>
      <c r="K470">
        <v>6</v>
      </c>
      <c r="L470">
        <v>4</v>
      </c>
      <c r="M470" t="s">
        <v>30</v>
      </c>
      <c r="N470">
        <v>2021</v>
      </c>
      <c r="O470">
        <v>9</v>
      </c>
      <c r="P470">
        <v>4</v>
      </c>
      <c r="Q470" t="s">
        <v>93</v>
      </c>
      <c r="R470" t="s">
        <v>1233</v>
      </c>
      <c r="S470" t="s">
        <v>25</v>
      </c>
      <c r="T470" t="s">
        <v>1234</v>
      </c>
    </row>
    <row r="471" spans="1:20" ht="16.5" x14ac:dyDescent="0.45">
      <c r="A471">
        <v>1470</v>
      </c>
      <c r="B471" t="s">
        <v>1235</v>
      </c>
      <c r="C471" t="s">
        <v>20</v>
      </c>
      <c r="D471" t="s">
        <v>21</v>
      </c>
      <c r="E471">
        <v>325185</v>
      </c>
      <c r="F471" s="1">
        <v>45440</v>
      </c>
      <c r="G471" s="1"/>
      <c r="I471">
        <v>2631</v>
      </c>
      <c r="K471">
        <v>4</v>
      </c>
      <c r="L471">
        <v>4</v>
      </c>
      <c r="M471" t="s">
        <v>62</v>
      </c>
      <c r="N471">
        <v>2000</v>
      </c>
      <c r="O471">
        <v>2</v>
      </c>
      <c r="P471">
        <v>4</v>
      </c>
      <c r="Q471" t="s">
        <v>31</v>
      </c>
      <c r="R471" t="s">
        <v>1236</v>
      </c>
      <c r="S471" t="s">
        <v>33</v>
      </c>
      <c r="T471" t="s">
        <v>40</v>
      </c>
    </row>
    <row r="472" spans="1:20" ht="16.5" x14ac:dyDescent="0.45">
      <c r="A472">
        <v>1471</v>
      </c>
      <c r="B472" t="s">
        <v>1237</v>
      </c>
      <c r="C472" t="s">
        <v>47</v>
      </c>
      <c r="D472" t="s">
        <v>42</v>
      </c>
      <c r="E472">
        <v>803393</v>
      </c>
      <c r="F472" s="1">
        <v>45389</v>
      </c>
      <c r="G472" s="1"/>
      <c r="I472">
        <v>1966</v>
      </c>
      <c r="K472">
        <v>4</v>
      </c>
      <c r="L472">
        <v>2</v>
      </c>
      <c r="M472" t="s">
        <v>37</v>
      </c>
      <c r="N472">
        <v>2016</v>
      </c>
      <c r="O472">
        <v>4</v>
      </c>
      <c r="P472">
        <v>1</v>
      </c>
      <c r="Q472" t="s">
        <v>38</v>
      </c>
      <c r="R472" t="s">
        <v>1238</v>
      </c>
      <c r="S472" t="s">
        <v>33</v>
      </c>
      <c r="T472" t="s">
        <v>1239</v>
      </c>
    </row>
    <row r="473" spans="1:20" ht="16.5" x14ac:dyDescent="0.45">
      <c r="A473">
        <v>1472</v>
      </c>
      <c r="B473" t="s">
        <v>1240</v>
      </c>
      <c r="C473" t="s">
        <v>20</v>
      </c>
      <c r="D473" t="s">
        <v>29</v>
      </c>
      <c r="E473">
        <v>420902</v>
      </c>
      <c r="F473" s="1">
        <v>45500</v>
      </c>
      <c r="G473" s="1">
        <v>45397</v>
      </c>
      <c r="H473">
        <v>469187</v>
      </c>
      <c r="I473">
        <v>2058</v>
      </c>
      <c r="J473" s="5">
        <v>965586846</v>
      </c>
      <c r="K473">
        <v>3</v>
      </c>
      <c r="L473">
        <v>2</v>
      </c>
      <c r="M473" t="s">
        <v>62</v>
      </c>
      <c r="N473">
        <v>2016</v>
      </c>
      <c r="O473">
        <v>8</v>
      </c>
      <c r="P473">
        <v>1</v>
      </c>
      <c r="Q473" t="s">
        <v>23</v>
      </c>
      <c r="R473" t="s">
        <v>1241</v>
      </c>
      <c r="S473" t="s">
        <v>25</v>
      </c>
      <c r="T473" t="s">
        <v>1242</v>
      </c>
    </row>
    <row r="474" spans="1:20" ht="16.5" x14ac:dyDescent="0.45">
      <c r="A474">
        <v>1473</v>
      </c>
      <c r="B474" t="s">
        <v>1243</v>
      </c>
      <c r="C474" t="s">
        <v>51</v>
      </c>
      <c r="D474" t="s">
        <v>42</v>
      </c>
      <c r="E474">
        <v>945762</v>
      </c>
      <c r="F474" s="1">
        <v>45411</v>
      </c>
      <c r="G474" s="1"/>
      <c r="I474">
        <v>2908</v>
      </c>
      <c r="K474">
        <v>2</v>
      </c>
      <c r="L474">
        <v>5</v>
      </c>
      <c r="M474" t="s">
        <v>62</v>
      </c>
      <c r="N474">
        <v>2010</v>
      </c>
      <c r="O474">
        <v>6</v>
      </c>
      <c r="P474">
        <v>2</v>
      </c>
      <c r="Q474" t="s">
        <v>75</v>
      </c>
      <c r="R474" t="s">
        <v>1244</v>
      </c>
      <c r="S474" t="s">
        <v>33</v>
      </c>
      <c r="T474" t="s">
        <v>1245</v>
      </c>
    </row>
    <row r="475" spans="1:20" ht="16.5" x14ac:dyDescent="0.45">
      <c r="A475">
        <v>1474</v>
      </c>
      <c r="B475" t="s">
        <v>1246</v>
      </c>
      <c r="C475" t="s">
        <v>20</v>
      </c>
      <c r="D475" t="s">
        <v>29</v>
      </c>
      <c r="E475">
        <v>406215</v>
      </c>
      <c r="F475" s="1">
        <v>45298</v>
      </c>
      <c r="G475" s="1"/>
      <c r="I475">
        <v>4429</v>
      </c>
      <c r="K475">
        <v>4</v>
      </c>
      <c r="L475">
        <v>4</v>
      </c>
      <c r="M475" t="s">
        <v>30</v>
      </c>
      <c r="N475">
        <v>2013</v>
      </c>
      <c r="O475">
        <v>1</v>
      </c>
      <c r="P475">
        <v>4</v>
      </c>
      <c r="Q475" t="s">
        <v>132</v>
      </c>
      <c r="R475" t="s">
        <v>1247</v>
      </c>
      <c r="S475" t="s">
        <v>33</v>
      </c>
      <c r="T475" t="s">
        <v>1248</v>
      </c>
    </row>
    <row r="476" spans="1:20" ht="16.5" x14ac:dyDescent="0.45">
      <c r="A476">
        <v>1475</v>
      </c>
      <c r="B476" t="s">
        <v>1249</v>
      </c>
      <c r="C476" t="s">
        <v>20</v>
      </c>
      <c r="D476" t="s">
        <v>21</v>
      </c>
      <c r="E476">
        <v>519850</v>
      </c>
      <c r="F476" s="1">
        <v>45597</v>
      </c>
      <c r="G476" s="1"/>
      <c r="I476">
        <v>2575</v>
      </c>
      <c r="K476">
        <v>6</v>
      </c>
      <c r="L476">
        <v>5</v>
      </c>
      <c r="M476" t="s">
        <v>30</v>
      </c>
      <c r="N476">
        <v>2009</v>
      </c>
      <c r="O476">
        <v>1</v>
      </c>
      <c r="P476">
        <v>4</v>
      </c>
      <c r="Q476" t="s">
        <v>86</v>
      </c>
      <c r="R476" t="s">
        <v>1250</v>
      </c>
      <c r="S476" t="s">
        <v>33</v>
      </c>
      <c r="T476" t="s">
        <v>757</v>
      </c>
    </row>
    <row r="477" spans="1:20" ht="16.5" x14ac:dyDescent="0.45">
      <c r="A477">
        <v>1476</v>
      </c>
      <c r="B477" t="s">
        <v>1251</v>
      </c>
      <c r="C477" t="s">
        <v>36</v>
      </c>
      <c r="D477" t="s">
        <v>21</v>
      </c>
      <c r="E477">
        <v>568566</v>
      </c>
      <c r="F477" s="1">
        <v>45418</v>
      </c>
      <c r="G477" s="1"/>
      <c r="I477">
        <v>3737</v>
      </c>
      <c r="K477">
        <v>2</v>
      </c>
      <c r="L477">
        <v>3</v>
      </c>
      <c r="M477" t="s">
        <v>30</v>
      </c>
      <c r="N477">
        <v>2018</v>
      </c>
      <c r="O477">
        <v>1</v>
      </c>
      <c r="P477">
        <v>1</v>
      </c>
      <c r="Q477" t="s">
        <v>132</v>
      </c>
      <c r="R477" t="s">
        <v>1252</v>
      </c>
      <c r="S477" t="s">
        <v>33</v>
      </c>
      <c r="T477" t="s">
        <v>1253</v>
      </c>
    </row>
    <row r="478" spans="1:20" ht="16.5" x14ac:dyDescent="0.45">
      <c r="A478">
        <v>1477</v>
      </c>
      <c r="B478" t="s">
        <v>1254</v>
      </c>
      <c r="C478" t="s">
        <v>20</v>
      </c>
      <c r="D478" t="s">
        <v>29</v>
      </c>
      <c r="E478">
        <v>751447</v>
      </c>
      <c r="F478" s="1">
        <v>45446</v>
      </c>
      <c r="G478" s="1">
        <v>45369</v>
      </c>
      <c r="H478">
        <v>779387</v>
      </c>
      <c r="I478">
        <v>4395</v>
      </c>
      <c r="J478" s="5">
        <v>3425405865</v>
      </c>
      <c r="K478">
        <v>2</v>
      </c>
      <c r="L478">
        <v>3</v>
      </c>
      <c r="M478" t="s">
        <v>30</v>
      </c>
      <c r="N478">
        <v>2001</v>
      </c>
      <c r="O478">
        <v>10</v>
      </c>
      <c r="P478">
        <v>2</v>
      </c>
      <c r="Q478" t="s">
        <v>162</v>
      </c>
      <c r="R478" t="s">
        <v>1255</v>
      </c>
      <c r="S478" t="s">
        <v>25</v>
      </c>
      <c r="T478" t="s">
        <v>1256</v>
      </c>
    </row>
    <row r="479" spans="1:20" ht="16.5" x14ac:dyDescent="0.45">
      <c r="A479">
        <v>1478</v>
      </c>
      <c r="B479" t="s">
        <v>1257</v>
      </c>
      <c r="C479" t="s">
        <v>47</v>
      </c>
      <c r="D479" t="s">
        <v>29</v>
      </c>
      <c r="E479">
        <v>476412</v>
      </c>
      <c r="F479" s="1">
        <v>45353</v>
      </c>
      <c r="G479" s="1">
        <v>45314</v>
      </c>
      <c r="H479">
        <v>501392</v>
      </c>
      <c r="I479">
        <v>4056</v>
      </c>
      <c r="J479" s="5">
        <v>2033645952</v>
      </c>
      <c r="K479">
        <v>5</v>
      </c>
      <c r="L479">
        <v>2</v>
      </c>
      <c r="M479" t="s">
        <v>22</v>
      </c>
      <c r="N479">
        <v>2020</v>
      </c>
      <c r="P479">
        <v>2</v>
      </c>
      <c r="Q479" t="s">
        <v>75</v>
      </c>
      <c r="R479" t="s">
        <v>1258</v>
      </c>
      <c r="S479" t="s">
        <v>25</v>
      </c>
      <c r="T479" t="s">
        <v>668</v>
      </c>
    </row>
    <row r="480" spans="1:20" ht="16.5" x14ac:dyDescent="0.45">
      <c r="A480">
        <v>1479</v>
      </c>
      <c r="B480" t="s">
        <v>1259</v>
      </c>
      <c r="C480" t="s">
        <v>47</v>
      </c>
      <c r="D480" t="s">
        <v>42</v>
      </c>
      <c r="E480">
        <v>406277</v>
      </c>
      <c r="F480" s="1">
        <v>45305</v>
      </c>
      <c r="G480" s="1">
        <v>45595</v>
      </c>
      <c r="H480">
        <v>445812</v>
      </c>
      <c r="I480">
        <v>4600</v>
      </c>
      <c r="J480" s="5">
        <v>2050735200</v>
      </c>
      <c r="K480">
        <v>6</v>
      </c>
      <c r="L480">
        <v>3</v>
      </c>
      <c r="M480" t="s">
        <v>22</v>
      </c>
      <c r="N480">
        <v>2003</v>
      </c>
      <c r="P480">
        <v>3</v>
      </c>
      <c r="Q480" t="s">
        <v>23</v>
      </c>
      <c r="R480" t="s">
        <v>1260</v>
      </c>
      <c r="S480" t="s">
        <v>25</v>
      </c>
      <c r="T480" t="s">
        <v>137</v>
      </c>
    </row>
    <row r="481" spans="1:20" ht="16.5" x14ac:dyDescent="0.45">
      <c r="A481">
        <v>1480</v>
      </c>
      <c r="B481" t="s">
        <v>1261</v>
      </c>
      <c r="C481" t="s">
        <v>47</v>
      </c>
      <c r="D481" t="s">
        <v>21</v>
      </c>
      <c r="E481">
        <v>364314</v>
      </c>
      <c r="F481" s="1">
        <v>45321</v>
      </c>
      <c r="G481" s="1">
        <v>45540</v>
      </c>
      <c r="H481">
        <v>375053</v>
      </c>
      <c r="I481">
        <v>2457</v>
      </c>
      <c r="J481" s="5">
        <v>921505221</v>
      </c>
      <c r="K481">
        <v>4</v>
      </c>
      <c r="L481">
        <v>4</v>
      </c>
      <c r="M481" t="s">
        <v>37</v>
      </c>
      <c r="N481">
        <v>2013</v>
      </c>
      <c r="O481">
        <v>7</v>
      </c>
      <c r="P481">
        <v>4</v>
      </c>
      <c r="Q481" t="s">
        <v>43</v>
      </c>
      <c r="R481" t="s">
        <v>1262</v>
      </c>
      <c r="S481" t="s">
        <v>25</v>
      </c>
      <c r="T481" t="s">
        <v>1263</v>
      </c>
    </row>
    <row r="482" spans="1:20" ht="16.5" x14ac:dyDescent="0.45">
      <c r="A482">
        <v>1481</v>
      </c>
      <c r="B482" t="s">
        <v>1264</v>
      </c>
      <c r="C482" t="s">
        <v>51</v>
      </c>
      <c r="D482" t="s">
        <v>42</v>
      </c>
      <c r="E482">
        <v>328862</v>
      </c>
      <c r="F482" s="1">
        <v>45470</v>
      </c>
      <c r="G482" s="1"/>
      <c r="I482">
        <v>4503</v>
      </c>
      <c r="K482">
        <v>6</v>
      </c>
      <c r="L482">
        <v>3</v>
      </c>
      <c r="M482" t="s">
        <v>22</v>
      </c>
      <c r="N482">
        <v>2013</v>
      </c>
      <c r="P482">
        <v>1</v>
      </c>
      <c r="Q482" t="s">
        <v>31</v>
      </c>
      <c r="R482" t="s">
        <v>1265</v>
      </c>
      <c r="S482" t="s">
        <v>33</v>
      </c>
      <c r="T482" t="s">
        <v>1266</v>
      </c>
    </row>
    <row r="483" spans="1:20" ht="16.5" x14ac:dyDescent="0.45">
      <c r="A483">
        <v>1482</v>
      </c>
      <c r="B483" t="s">
        <v>1267</v>
      </c>
      <c r="C483" t="s">
        <v>20</v>
      </c>
      <c r="D483" t="s">
        <v>21</v>
      </c>
      <c r="E483">
        <v>366655</v>
      </c>
      <c r="F483" s="1">
        <v>45502</v>
      </c>
      <c r="G483" s="1">
        <v>45504</v>
      </c>
      <c r="H483">
        <v>391136</v>
      </c>
      <c r="I483">
        <v>4646</v>
      </c>
      <c r="J483" s="5">
        <v>1817217856</v>
      </c>
      <c r="K483">
        <v>2</v>
      </c>
      <c r="L483">
        <v>5</v>
      </c>
      <c r="M483" t="s">
        <v>22</v>
      </c>
      <c r="N483">
        <v>2018</v>
      </c>
      <c r="P483">
        <v>3</v>
      </c>
      <c r="Q483" t="s">
        <v>58</v>
      </c>
      <c r="R483" t="s">
        <v>1268</v>
      </c>
      <c r="S483" t="s">
        <v>25</v>
      </c>
      <c r="T483" t="s">
        <v>180</v>
      </c>
    </row>
    <row r="484" spans="1:20" ht="16.5" x14ac:dyDescent="0.45">
      <c r="A484">
        <v>1483</v>
      </c>
      <c r="B484" t="s">
        <v>1269</v>
      </c>
      <c r="C484" t="s">
        <v>28</v>
      </c>
      <c r="D484" t="s">
        <v>21</v>
      </c>
      <c r="E484">
        <v>504648</v>
      </c>
      <c r="F484" s="1">
        <v>45420</v>
      </c>
      <c r="G484" s="1">
        <v>45499</v>
      </c>
      <c r="H484">
        <v>529403</v>
      </c>
      <c r="I484">
        <v>1909</v>
      </c>
      <c r="J484" s="5">
        <v>1010630327</v>
      </c>
      <c r="K484">
        <v>2</v>
      </c>
      <c r="L484">
        <v>4</v>
      </c>
      <c r="M484" t="s">
        <v>30</v>
      </c>
      <c r="N484">
        <v>2016</v>
      </c>
      <c r="O484">
        <v>7</v>
      </c>
      <c r="P484">
        <v>1</v>
      </c>
      <c r="Q484" t="s">
        <v>58</v>
      </c>
      <c r="R484" t="s">
        <v>1270</v>
      </c>
      <c r="S484" t="s">
        <v>25</v>
      </c>
      <c r="T484" t="s">
        <v>180</v>
      </c>
    </row>
    <row r="485" spans="1:20" ht="16.5" x14ac:dyDescent="0.45">
      <c r="A485">
        <v>1484</v>
      </c>
      <c r="B485" t="s">
        <v>1271</v>
      </c>
      <c r="C485" t="s">
        <v>20</v>
      </c>
      <c r="D485" t="s">
        <v>42</v>
      </c>
      <c r="E485">
        <v>612827</v>
      </c>
      <c r="F485" s="1">
        <v>45538</v>
      </c>
      <c r="G485" s="1"/>
      <c r="I485">
        <v>3136</v>
      </c>
      <c r="K485">
        <v>4</v>
      </c>
      <c r="L485">
        <v>3</v>
      </c>
      <c r="M485" t="s">
        <v>62</v>
      </c>
      <c r="N485">
        <v>2001</v>
      </c>
      <c r="O485">
        <v>10</v>
      </c>
      <c r="P485">
        <v>1</v>
      </c>
      <c r="Q485" t="s">
        <v>93</v>
      </c>
      <c r="R485" t="s">
        <v>1272</v>
      </c>
      <c r="S485" t="s">
        <v>33</v>
      </c>
      <c r="T485" t="s">
        <v>1273</v>
      </c>
    </row>
    <row r="486" spans="1:20" ht="16.5" x14ac:dyDescent="0.45">
      <c r="A486">
        <v>1485</v>
      </c>
      <c r="B486" t="s">
        <v>1274</v>
      </c>
      <c r="C486" t="s">
        <v>28</v>
      </c>
      <c r="D486" t="s">
        <v>29</v>
      </c>
      <c r="E486">
        <v>635979</v>
      </c>
      <c r="F486" s="1">
        <v>45313</v>
      </c>
      <c r="G486" s="1"/>
      <c r="I486">
        <v>2691</v>
      </c>
      <c r="K486">
        <v>4</v>
      </c>
      <c r="L486">
        <v>3</v>
      </c>
      <c r="M486" t="s">
        <v>30</v>
      </c>
      <c r="N486">
        <v>2022</v>
      </c>
      <c r="O486">
        <v>10</v>
      </c>
      <c r="P486">
        <v>2</v>
      </c>
      <c r="Q486" t="s">
        <v>132</v>
      </c>
      <c r="R486" t="s">
        <v>1275</v>
      </c>
      <c r="S486" t="s">
        <v>33</v>
      </c>
      <c r="T486" t="s">
        <v>1276</v>
      </c>
    </row>
    <row r="487" spans="1:20" ht="16.5" x14ac:dyDescent="0.45">
      <c r="A487">
        <v>1486</v>
      </c>
      <c r="B487" t="s">
        <v>1277</v>
      </c>
      <c r="C487" t="s">
        <v>28</v>
      </c>
      <c r="D487" t="s">
        <v>29</v>
      </c>
      <c r="E487">
        <v>699470</v>
      </c>
      <c r="F487" s="1">
        <v>45449</v>
      </c>
      <c r="G487" s="1"/>
      <c r="I487">
        <v>1457</v>
      </c>
      <c r="K487">
        <v>4</v>
      </c>
      <c r="L487">
        <v>2</v>
      </c>
      <c r="M487" t="s">
        <v>62</v>
      </c>
      <c r="N487">
        <v>2003</v>
      </c>
      <c r="O487">
        <v>1</v>
      </c>
      <c r="P487">
        <v>1</v>
      </c>
      <c r="Q487" t="s">
        <v>93</v>
      </c>
      <c r="R487" t="s">
        <v>1278</v>
      </c>
      <c r="S487" t="s">
        <v>33</v>
      </c>
      <c r="T487" t="s">
        <v>1279</v>
      </c>
    </row>
    <row r="488" spans="1:20" ht="16.5" x14ac:dyDescent="0.45">
      <c r="A488">
        <v>1487</v>
      </c>
      <c r="B488" t="s">
        <v>1280</v>
      </c>
      <c r="C488" t="s">
        <v>51</v>
      </c>
      <c r="D488" t="s">
        <v>29</v>
      </c>
      <c r="E488">
        <v>790425</v>
      </c>
      <c r="F488" s="1">
        <v>45336</v>
      </c>
      <c r="G488" s="1">
        <v>45421</v>
      </c>
      <c r="H488">
        <v>830116</v>
      </c>
      <c r="I488">
        <v>2324</v>
      </c>
      <c r="J488" s="5">
        <v>1929189584</v>
      </c>
      <c r="K488">
        <v>6</v>
      </c>
      <c r="L488">
        <v>4</v>
      </c>
      <c r="M488" t="s">
        <v>22</v>
      </c>
      <c r="N488">
        <v>2018</v>
      </c>
      <c r="P488">
        <v>2</v>
      </c>
      <c r="Q488" t="s">
        <v>38</v>
      </c>
      <c r="R488" t="s">
        <v>1281</v>
      </c>
      <c r="S488" t="s">
        <v>25</v>
      </c>
      <c r="T488" t="s">
        <v>70</v>
      </c>
    </row>
    <row r="489" spans="1:20" ht="16.5" x14ac:dyDescent="0.45">
      <c r="A489">
        <v>1488</v>
      </c>
      <c r="B489" t="s">
        <v>1282</v>
      </c>
      <c r="C489" t="s">
        <v>51</v>
      </c>
      <c r="D489" t="s">
        <v>29</v>
      </c>
      <c r="E489">
        <v>636312</v>
      </c>
      <c r="F489" s="1">
        <v>45598</v>
      </c>
      <c r="G489" s="1"/>
      <c r="I489">
        <v>3975</v>
      </c>
      <c r="K489">
        <v>3</v>
      </c>
      <c r="L489">
        <v>4</v>
      </c>
      <c r="M489" t="s">
        <v>62</v>
      </c>
      <c r="N489">
        <v>2022</v>
      </c>
      <c r="O489">
        <v>9</v>
      </c>
      <c r="P489">
        <v>3</v>
      </c>
      <c r="Q489" t="s">
        <v>132</v>
      </c>
      <c r="R489" t="s">
        <v>1283</v>
      </c>
      <c r="S489" t="s">
        <v>33</v>
      </c>
      <c r="T489" t="s">
        <v>1245</v>
      </c>
    </row>
    <row r="490" spans="1:20" ht="16.5" x14ac:dyDescent="0.45">
      <c r="A490">
        <v>1489</v>
      </c>
      <c r="B490" t="s">
        <v>1284</v>
      </c>
      <c r="C490" t="s">
        <v>28</v>
      </c>
      <c r="D490" t="s">
        <v>42</v>
      </c>
      <c r="E490">
        <v>531830</v>
      </c>
      <c r="F490" s="1">
        <v>45296</v>
      </c>
      <c r="G490" s="1">
        <v>45506</v>
      </c>
      <c r="H490">
        <v>555205</v>
      </c>
      <c r="I490">
        <v>2808</v>
      </c>
      <c r="J490" s="5">
        <v>1559015640</v>
      </c>
      <c r="K490">
        <v>5</v>
      </c>
      <c r="L490">
        <v>4</v>
      </c>
      <c r="M490" t="s">
        <v>22</v>
      </c>
      <c r="N490">
        <v>2010</v>
      </c>
      <c r="P490">
        <v>3</v>
      </c>
      <c r="Q490" t="s">
        <v>86</v>
      </c>
      <c r="R490" t="s">
        <v>1285</v>
      </c>
      <c r="S490" t="s">
        <v>25</v>
      </c>
      <c r="T490" t="s">
        <v>1286</v>
      </c>
    </row>
    <row r="491" spans="1:20" ht="16.5" x14ac:dyDescent="0.45">
      <c r="A491">
        <v>1490</v>
      </c>
      <c r="B491" t="s">
        <v>1287</v>
      </c>
      <c r="C491" t="s">
        <v>36</v>
      </c>
      <c r="D491" t="s">
        <v>42</v>
      </c>
      <c r="E491">
        <v>334634</v>
      </c>
      <c r="F491" s="1">
        <v>45418</v>
      </c>
      <c r="G491" s="1"/>
      <c r="I491">
        <v>2208</v>
      </c>
      <c r="K491">
        <v>5</v>
      </c>
      <c r="L491">
        <v>5</v>
      </c>
      <c r="M491" t="s">
        <v>22</v>
      </c>
      <c r="N491">
        <v>2018</v>
      </c>
      <c r="P491">
        <v>1</v>
      </c>
      <c r="Q491" t="s">
        <v>162</v>
      </c>
      <c r="R491" t="s">
        <v>1288</v>
      </c>
      <c r="S491" t="s">
        <v>33</v>
      </c>
      <c r="T491" t="s">
        <v>91</v>
      </c>
    </row>
    <row r="492" spans="1:20" ht="16.5" x14ac:dyDescent="0.45">
      <c r="A492">
        <v>1491</v>
      </c>
      <c r="B492" t="s">
        <v>1289</v>
      </c>
      <c r="C492" t="s">
        <v>28</v>
      </c>
      <c r="D492" t="s">
        <v>29</v>
      </c>
      <c r="E492">
        <v>374259</v>
      </c>
      <c r="F492" s="1">
        <v>45536</v>
      </c>
      <c r="G492" s="1">
        <v>45427</v>
      </c>
      <c r="H492">
        <v>397711</v>
      </c>
      <c r="I492">
        <v>3848</v>
      </c>
      <c r="J492" s="5">
        <v>1530391928</v>
      </c>
      <c r="K492">
        <v>4</v>
      </c>
      <c r="L492">
        <v>5</v>
      </c>
      <c r="M492" t="s">
        <v>22</v>
      </c>
      <c r="N492">
        <v>2007</v>
      </c>
      <c r="P492">
        <v>2</v>
      </c>
      <c r="Q492" t="s">
        <v>23</v>
      </c>
      <c r="R492" t="s">
        <v>1290</v>
      </c>
      <c r="S492" t="s">
        <v>25</v>
      </c>
      <c r="T492" t="s">
        <v>955</v>
      </c>
    </row>
    <row r="493" spans="1:20" ht="16.5" x14ac:dyDescent="0.45">
      <c r="A493">
        <v>1492</v>
      </c>
      <c r="B493" t="s">
        <v>1291</v>
      </c>
      <c r="C493" t="s">
        <v>20</v>
      </c>
      <c r="D493" t="s">
        <v>29</v>
      </c>
      <c r="E493">
        <v>991056</v>
      </c>
      <c r="F493" s="1">
        <v>45556</v>
      </c>
      <c r="G493" s="1"/>
      <c r="I493">
        <v>3079</v>
      </c>
      <c r="K493">
        <v>5</v>
      </c>
      <c r="L493">
        <v>5</v>
      </c>
      <c r="M493" t="s">
        <v>37</v>
      </c>
      <c r="N493">
        <v>2000</v>
      </c>
      <c r="O493">
        <v>1</v>
      </c>
      <c r="P493">
        <v>1</v>
      </c>
      <c r="Q493" t="s">
        <v>132</v>
      </c>
      <c r="R493" t="s">
        <v>1292</v>
      </c>
      <c r="S493" t="s">
        <v>33</v>
      </c>
      <c r="T493" t="s">
        <v>183</v>
      </c>
    </row>
    <row r="494" spans="1:20" ht="16.5" x14ac:dyDescent="0.45">
      <c r="A494">
        <v>1493</v>
      </c>
      <c r="B494" t="s">
        <v>1293</v>
      </c>
      <c r="C494" t="s">
        <v>36</v>
      </c>
      <c r="D494" t="s">
        <v>42</v>
      </c>
      <c r="E494">
        <v>724980</v>
      </c>
      <c r="F494" s="1">
        <v>45621</v>
      </c>
      <c r="G494" s="1">
        <v>45432</v>
      </c>
      <c r="H494">
        <v>737073</v>
      </c>
      <c r="I494">
        <v>2506</v>
      </c>
      <c r="J494" s="5">
        <v>1847104938</v>
      </c>
      <c r="K494">
        <v>3</v>
      </c>
      <c r="L494">
        <v>3</v>
      </c>
      <c r="M494" t="s">
        <v>30</v>
      </c>
      <c r="N494">
        <v>2008</v>
      </c>
      <c r="O494">
        <v>1</v>
      </c>
      <c r="P494">
        <v>2</v>
      </c>
      <c r="Q494" t="s">
        <v>38</v>
      </c>
      <c r="R494" t="s">
        <v>1294</v>
      </c>
      <c r="S494" t="s">
        <v>25</v>
      </c>
      <c r="T494" t="s">
        <v>1062</v>
      </c>
    </row>
    <row r="495" spans="1:20" ht="16.5" x14ac:dyDescent="0.45">
      <c r="A495">
        <v>1494</v>
      </c>
      <c r="B495" t="s">
        <v>1295</v>
      </c>
      <c r="C495" t="s">
        <v>47</v>
      </c>
      <c r="D495" t="s">
        <v>21</v>
      </c>
      <c r="E495">
        <v>342643</v>
      </c>
      <c r="F495" s="1">
        <v>45438</v>
      </c>
      <c r="G495" s="1">
        <v>45500</v>
      </c>
      <c r="H495">
        <v>374600</v>
      </c>
      <c r="I495">
        <v>2588</v>
      </c>
      <c r="J495" s="5">
        <v>969464800</v>
      </c>
      <c r="K495">
        <v>2</v>
      </c>
      <c r="L495">
        <v>3</v>
      </c>
      <c r="M495" t="s">
        <v>62</v>
      </c>
      <c r="N495">
        <v>2016</v>
      </c>
      <c r="O495">
        <v>3</v>
      </c>
      <c r="P495">
        <v>2</v>
      </c>
      <c r="Q495" t="s">
        <v>86</v>
      </c>
      <c r="R495" t="s">
        <v>1296</v>
      </c>
      <c r="S495" t="s">
        <v>25</v>
      </c>
      <c r="T495" t="s">
        <v>1297</v>
      </c>
    </row>
    <row r="496" spans="1:20" ht="16.5" x14ac:dyDescent="0.45">
      <c r="A496">
        <v>1495</v>
      </c>
      <c r="B496" t="s">
        <v>1298</v>
      </c>
      <c r="C496" t="s">
        <v>36</v>
      </c>
      <c r="D496" t="s">
        <v>42</v>
      </c>
      <c r="E496">
        <v>634928</v>
      </c>
      <c r="F496" s="1">
        <v>45429</v>
      </c>
      <c r="G496" s="1">
        <v>45485</v>
      </c>
      <c r="H496">
        <v>647879</v>
      </c>
      <c r="I496">
        <v>2343</v>
      </c>
      <c r="J496" s="5">
        <v>1517980497</v>
      </c>
      <c r="K496">
        <v>2</v>
      </c>
      <c r="L496">
        <v>2</v>
      </c>
      <c r="M496" t="s">
        <v>30</v>
      </c>
      <c r="N496">
        <v>2023</v>
      </c>
      <c r="O496">
        <v>6</v>
      </c>
      <c r="P496">
        <v>2</v>
      </c>
      <c r="Q496" t="s">
        <v>93</v>
      </c>
      <c r="R496" t="s">
        <v>1299</v>
      </c>
      <c r="S496" t="s">
        <v>25</v>
      </c>
      <c r="T496" t="s">
        <v>70</v>
      </c>
    </row>
    <row r="497" spans="1:20" ht="16.5" x14ac:dyDescent="0.45">
      <c r="A497">
        <v>1496</v>
      </c>
      <c r="B497" t="s">
        <v>1300</v>
      </c>
      <c r="C497" t="s">
        <v>47</v>
      </c>
      <c r="D497" t="s">
        <v>42</v>
      </c>
      <c r="E497">
        <v>531594</v>
      </c>
      <c r="F497" s="1">
        <v>45520</v>
      </c>
      <c r="G497" s="1"/>
      <c r="I497">
        <v>4082</v>
      </c>
      <c r="K497">
        <v>3</v>
      </c>
      <c r="L497">
        <v>5</v>
      </c>
      <c r="M497" t="s">
        <v>22</v>
      </c>
      <c r="N497">
        <v>2013</v>
      </c>
      <c r="P497">
        <v>2</v>
      </c>
      <c r="Q497" t="s">
        <v>162</v>
      </c>
      <c r="R497" t="s">
        <v>1301</v>
      </c>
      <c r="S497" t="s">
        <v>33</v>
      </c>
      <c r="T497" t="s">
        <v>665</v>
      </c>
    </row>
    <row r="498" spans="1:20" ht="16.5" x14ac:dyDescent="0.45">
      <c r="A498">
        <v>1497</v>
      </c>
      <c r="B498" t="s">
        <v>1302</v>
      </c>
      <c r="C498" t="s">
        <v>28</v>
      </c>
      <c r="D498" t="s">
        <v>21</v>
      </c>
      <c r="E498">
        <v>961860</v>
      </c>
      <c r="F498" s="1">
        <v>45631</v>
      </c>
      <c r="G498" s="1">
        <v>45308</v>
      </c>
      <c r="H498">
        <v>1005450</v>
      </c>
      <c r="I498">
        <v>3050</v>
      </c>
      <c r="J498" s="5">
        <v>3066622500</v>
      </c>
      <c r="K498">
        <v>2</v>
      </c>
      <c r="L498">
        <v>4</v>
      </c>
      <c r="M498" t="s">
        <v>37</v>
      </c>
      <c r="N498">
        <v>2020</v>
      </c>
      <c r="O498">
        <v>8</v>
      </c>
      <c r="P498">
        <v>3</v>
      </c>
      <c r="Q498" t="s">
        <v>58</v>
      </c>
      <c r="R498" t="s">
        <v>1303</v>
      </c>
      <c r="S498" t="s">
        <v>25</v>
      </c>
      <c r="T498" t="s">
        <v>357</v>
      </c>
    </row>
    <row r="499" spans="1:20" ht="16.5" x14ac:dyDescent="0.45">
      <c r="A499">
        <v>1498</v>
      </c>
      <c r="B499" t="s">
        <v>1304</v>
      </c>
      <c r="C499" t="s">
        <v>51</v>
      </c>
      <c r="D499" t="s">
        <v>21</v>
      </c>
      <c r="E499">
        <v>565316</v>
      </c>
      <c r="F499" s="1">
        <v>45278</v>
      </c>
      <c r="G499" s="1"/>
      <c r="I499">
        <v>2330</v>
      </c>
      <c r="K499">
        <v>4</v>
      </c>
      <c r="L499">
        <v>2</v>
      </c>
      <c r="M499" t="s">
        <v>37</v>
      </c>
      <c r="N499">
        <v>2018</v>
      </c>
      <c r="O499">
        <v>3</v>
      </c>
      <c r="P499">
        <v>2</v>
      </c>
      <c r="Q499" t="s">
        <v>75</v>
      </c>
      <c r="R499" t="s">
        <v>1305</v>
      </c>
      <c r="S499" t="s">
        <v>33</v>
      </c>
      <c r="T499" t="s">
        <v>180</v>
      </c>
    </row>
    <row r="500" spans="1:20" ht="16.5" x14ac:dyDescent="0.45">
      <c r="A500">
        <v>1499</v>
      </c>
      <c r="B500" t="s">
        <v>1306</v>
      </c>
      <c r="C500" t="s">
        <v>36</v>
      </c>
      <c r="D500" t="s">
        <v>42</v>
      </c>
      <c r="E500">
        <v>710279</v>
      </c>
      <c r="F500" s="1">
        <v>45549</v>
      </c>
      <c r="G500" s="1">
        <v>45578</v>
      </c>
      <c r="H500">
        <v>736594</v>
      </c>
      <c r="I500">
        <v>1427</v>
      </c>
      <c r="J500" s="5">
        <v>1051119638</v>
      </c>
      <c r="K500">
        <v>4</v>
      </c>
      <c r="L500">
        <v>4</v>
      </c>
      <c r="M500" t="s">
        <v>62</v>
      </c>
      <c r="N500">
        <v>2021</v>
      </c>
      <c r="O500">
        <v>8</v>
      </c>
      <c r="P500">
        <v>1</v>
      </c>
      <c r="Q500" t="s">
        <v>58</v>
      </c>
      <c r="R500" t="s">
        <v>1307</v>
      </c>
      <c r="S500" t="s">
        <v>25</v>
      </c>
      <c r="T500" t="s">
        <v>550</v>
      </c>
    </row>
    <row r="501" spans="1:20" ht="16.5" x14ac:dyDescent="0.45">
      <c r="A501">
        <v>1500</v>
      </c>
      <c r="B501" t="s">
        <v>1308</v>
      </c>
      <c r="C501" t="s">
        <v>28</v>
      </c>
      <c r="D501" t="s">
        <v>21</v>
      </c>
      <c r="E501">
        <v>906978</v>
      </c>
      <c r="F501" s="1">
        <v>45484</v>
      </c>
      <c r="G501" s="1"/>
      <c r="I501">
        <v>4651</v>
      </c>
      <c r="K501">
        <v>4</v>
      </c>
      <c r="L501">
        <v>4</v>
      </c>
      <c r="M501" t="s">
        <v>22</v>
      </c>
      <c r="N501">
        <v>2002</v>
      </c>
      <c r="P501">
        <v>1</v>
      </c>
      <c r="Q501" t="s">
        <v>38</v>
      </c>
      <c r="R501" t="s">
        <v>1309</v>
      </c>
      <c r="S501" t="s">
        <v>33</v>
      </c>
      <c r="T501" t="s">
        <v>183</v>
      </c>
    </row>
    <row r="502" spans="1:20" ht="16.5" x14ac:dyDescent="0.45">
      <c r="A502">
        <v>1501</v>
      </c>
      <c r="B502" t="s">
        <v>1310</v>
      </c>
      <c r="C502" t="s">
        <v>51</v>
      </c>
      <c r="D502" t="s">
        <v>42</v>
      </c>
      <c r="E502">
        <v>424015</v>
      </c>
      <c r="F502" s="1">
        <v>45448</v>
      </c>
      <c r="G502" s="1">
        <v>45640</v>
      </c>
      <c r="H502">
        <v>455341</v>
      </c>
      <c r="I502">
        <v>3161</v>
      </c>
      <c r="J502" s="5">
        <v>1439332901</v>
      </c>
      <c r="K502">
        <v>5</v>
      </c>
      <c r="L502">
        <v>2</v>
      </c>
      <c r="M502" t="s">
        <v>62</v>
      </c>
      <c r="N502">
        <v>2021</v>
      </c>
      <c r="O502">
        <v>5</v>
      </c>
      <c r="P502">
        <v>4</v>
      </c>
      <c r="Q502" t="s">
        <v>93</v>
      </c>
      <c r="R502" t="s">
        <v>1311</v>
      </c>
      <c r="S502" t="s">
        <v>25</v>
      </c>
      <c r="T502" t="s">
        <v>77</v>
      </c>
    </row>
    <row r="503" spans="1:20" ht="16.5" x14ac:dyDescent="0.45">
      <c r="A503">
        <v>1502</v>
      </c>
      <c r="B503" t="s">
        <v>1312</v>
      </c>
      <c r="C503" t="s">
        <v>20</v>
      </c>
      <c r="D503" t="s">
        <v>42</v>
      </c>
      <c r="E503">
        <v>649961</v>
      </c>
      <c r="F503" s="1">
        <v>45457</v>
      </c>
      <c r="G503" s="1"/>
      <c r="I503">
        <v>2704</v>
      </c>
      <c r="K503">
        <v>2</v>
      </c>
      <c r="L503">
        <v>5</v>
      </c>
      <c r="M503" t="s">
        <v>22</v>
      </c>
      <c r="N503">
        <v>2017</v>
      </c>
      <c r="P503">
        <v>4</v>
      </c>
      <c r="Q503" t="s">
        <v>58</v>
      </c>
      <c r="R503" t="s">
        <v>1313</v>
      </c>
      <c r="S503" t="s">
        <v>33</v>
      </c>
      <c r="T503" t="s">
        <v>1314</v>
      </c>
    </row>
    <row r="504" spans="1:20" ht="16.5" x14ac:dyDescent="0.45">
      <c r="A504">
        <v>1503</v>
      </c>
      <c r="B504" t="s">
        <v>1315</v>
      </c>
      <c r="C504" t="s">
        <v>20</v>
      </c>
      <c r="D504" t="s">
        <v>29</v>
      </c>
      <c r="E504">
        <v>520690</v>
      </c>
      <c r="F504" s="1">
        <v>45579</v>
      </c>
      <c r="G504" s="1"/>
      <c r="I504">
        <v>2028</v>
      </c>
      <c r="K504">
        <v>2</v>
      </c>
      <c r="L504">
        <v>2</v>
      </c>
      <c r="M504" t="s">
        <v>30</v>
      </c>
      <c r="N504">
        <v>2022</v>
      </c>
      <c r="O504">
        <v>9</v>
      </c>
      <c r="P504">
        <v>3</v>
      </c>
      <c r="Q504" t="s">
        <v>86</v>
      </c>
      <c r="R504" t="s">
        <v>1316</v>
      </c>
      <c r="S504" t="s">
        <v>33</v>
      </c>
      <c r="T504" t="s">
        <v>1062</v>
      </c>
    </row>
    <row r="505" spans="1:20" ht="16.5" x14ac:dyDescent="0.45">
      <c r="A505">
        <v>1504</v>
      </c>
      <c r="B505" t="s">
        <v>1317</v>
      </c>
      <c r="C505" t="s">
        <v>36</v>
      </c>
      <c r="D505" t="s">
        <v>42</v>
      </c>
      <c r="E505">
        <v>438944</v>
      </c>
      <c r="F505" s="1">
        <v>45523</v>
      </c>
      <c r="G505" s="1"/>
      <c r="I505">
        <v>3393</v>
      </c>
      <c r="K505">
        <v>3</v>
      </c>
      <c r="L505">
        <v>5</v>
      </c>
      <c r="M505" t="s">
        <v>62</v>
      </c>
      <c r="N505">
        <v>2008</v>
      </c>
      <c r="O505">
        <v>4</v>
      </c>
      <c r="P505">
        <v>2</v>
      </c>
      <c r="Q505" t="s">
        <v>23</v>
      </c>
      <c r="R505" t="s">
        <v>1318</v>
      </c>
      <c r="S505" t="s">
        <v>33</v>
      </c>
      <c r="T505" t="s">
        <v>1319</v>
      </c>
    </row>
    <row r="506" spans="1:20" ht="16.5" x14ac:dyDescent="0.45">
      <c r="A506">
        <v>1505</v>
      </c>
      <c r="B506" t="s">
        <v>1320</v>
      </c>
      <c r="C506" t="s">
        <v>28</v>
      </c>
      <c r="D506" t="s">
        <v>42</v>
      </c>
      <c r="E506">
        <v>375268</v>
      </c>
      <c r="F506" s="1">
        <v>45298</v>
      </c>
      <c r="G506" s="1"/>
      <c r="I506">
        <v>2963</v>
      </c>
      <c r="K506">
        <v>5</v>
      </c>
      <c r="L506">
        <v>5</v>
      </c>
      <c r="M506" t="s">
        <v>62</v>
      </c>
      <c r="N506">
        <v>2021</v>
      </c>
      <c r="O506">
        <v>8</v>
      </c>
      <c r="P506">
        <v>2</v>
      </c>
      <c r="Q506" t="s">
        <v>23</v>
      </c>
      <c r="R506" t="s">
        <v>599</v>
      </c>
      <c r="S506" t="s">
        <v>33</v>
      </c>
      <c r="T506" t="s">
        <v>1321</v>
      </c>
    </row>
    <row r="507" spans="1:20" ht="16.5" x14ac:dyDescent="0.45">
      <c r="A507">
        <v>1506</v>
      </c>
      <c r="B507" t="s">
        <v>1322</v>
      </c>
      <c r="C507" t="s">
        <v>36</v>
      </c>
      <c r="D507" t="s">
        <v>29</v>
      </c>
      <c r="E507">
        <v>984821</v>
      </c>
      <c r="F507" s="1">
        <v>45294</v>
      </c>
      <c r="G507" s="1"/>
      <c r="I507">
        <v>2318</v>
      </c>
      <c r="K507">
        <v>5</v>
      </c>
      <c r="L507">
        <v>2</v>
      </c>
      <c r="M507" t="s">
        <v>30</v>
      </c>
      <c r="N507">
        <v>2020</v>
      </c>
      <c r="O507">
        <v>8</v>
      </c>
      <c r="P507">
        <v>3</v>
      </c>
      <c r="Q507" t="s">
        <v>86</v>
      </c>
      <c r="R507" t="s">
        <v>1323</v>
      </c>
      <c r="S507" t="s">
        <v>33</v>
      </c>
      <c r="T507" t="s">
        <v>292</v>
      </c>
    </row>
    <row r="508" spans="1:20" ht="16.5" x14ac:dyDescent="0.45">
      <c r="A508">
        <v>1507</v>
      </c>
      <c r="B508" t="s">
        <v>1324</v>
      </c>
      <c r="C508" t="s">
        <v>28</v>
      </c>
      <c r="D508" t="s">
        <v>42</v>
      </c>
      <c r="E508">
        <v>309743</v>
      </c>
      <c r="F508" s="1">
        <v>45281</v>
      </c>
      <c r="G508" s="1">
        <v>45429</v>
      </c>
      <c r="H508">
        <v>357397</v>
      </c>
      <c r="I508">
        <v>3141</v>
      </c>
      <c r="J508" s="5">
        <v>1122583977</v>
      </c>
      <c r="K508">
        <v>3</v>
      </c>
      <c r="L508">
        <v>3</v>
      </c>
      <c r="M508" t="s">
        <v>30</v>
      </c>
      <c r="N508">
        <v>2011</v>
      </c>
      <c r="O508">
        <v>9</v>
      </c>
      <c r="P508">
        <v>1</v>
      </c>
      <c r="Q508" t="s">
        <v>162</v>
      </c>
      <c r="R508" t="s">
        <v>1325</v>
      </c>
      <c r="S508" t="s">
        <v>25</v>
      </c>
      <c r="T508" t="s">
        <v>40</v>
      </c>
    </row>
    <row r="509" spans="1:20" ht="16.5" x14ac:dyDescent="0.45">
      <c r="A509">
        <v>1508</v>
      </c>
      <c r="B509" t="s">
        <v>1326</v>
      </c>
      <c r="C509" t="s">
        <v>20</v>
      </c>
      <c r="D509" t="s">
        <v>29</v>
      </c>
      <c r="E509">
        <v>918445</v>
      </c>
      <c r="F509" s="1">
        <v>45311</v>
      </c>
      <c r="G509" s="1"/>
      <c r="I509">
        <v>1480</v>
      </c>
      <c r="K509">
        <v>3</v>
      </c>
      <c r="L509">
        <v>2</v>
      </c>
      <c r="M509" t="s">
        <v>30</v>
      </c>
      <c r="N509">
        <v>2020</v>
      </c>
      <c r="O509">
        <v>6</v>
      </c>
      <c r="P509">
        <v>2</v>
      </c>
      <c r="Q509" t="s">
        <v>31</v>
      </c>
      <c r="R509" t="s">
        <v>1327</v>
      </c>
      <c r="S509" t="s">
        <v>33</v>
      </c>
      <c r="T509" t="s">
        <v>668</v>
      </c>
    </row>
    <row r="510" spans="1:20" ht="16.5" x14ac:dyDescent="0.45">
      <c r="A510">
        <v>1509</v>
      </c>
      <c r="B510" t="s">
        <v>1328</v>
      </c>
      <c r="C510" t="s">
        <v>47</v>
      </c>
      <c r="D510" t="s">
        <v>21</v>
      </c>
      <c r="E510">
        <v>769139</v>
      </c>
      <c r="F510" s="1">
        <v>45563</v>
      </c>
      <c r="G510" s="1">
        <v>45630</v>
      </c>
      <c r="H510">
        <v>800600</v>
      </c>
      <c r="I510">
        <v>2057</v>
      </c>
      <c r="J510" s="5">
        <v>1646834200</v>
      </c>
      <c r="K510">
        <v>4</v>
      </c>
      <c r="L510">
        <v>2</v>
      </c>
      <c r="M510" t="s">
        <v>30</v>
      </c>
      <c r="N510">
        <v>2021</v>
      </c>
      <c r="O510">
        <v>4</v>
      </c>
      <c r="P510">
        <v>4</v>
      </c>
      <c r="Q510" t="s">
        <v>31</v>
      </c>
      <c r="R510" t="s">
        <v>1329</v>
      </c>
      <c r="S510" t="s">
        <v>25</v>
      </c>
      <c r="T510" t="s">
        <v>1330</v>
      </c>
    </row>
    <row r="511" spans="1:20" ht="16.5" x14ac:dyDescent="0.45">
      <c r="A511">
        <v>1510</v>
      </c>
      <c r="B511" t="s">
        <v>1331</v>
      </c>
      <c r="C511" t="s">
        <v>20</v>
      </c>
      <c r="D511" t="s">
        <v>29</v>
      </c>
      <c r="E511">
        <v>979847</v>
      </c>
      <c r="F511" s="1">
        <v>45495</v>
      </c>
      <c r="G511" s="1">
        <v>45408</v>
      </c>
      <c r="H511">
        <v>1027590</v>
      </c>
      <c r="I511">
        <v>4521</v>
      </c>
      <c r="J511" s="5">
        <v>4645734390</v>
      </c>
      <c r="K511">
        <v>3</v>
      </c>
      <c r="L511">
        <v>4</v>
      </c>
      <c r="M511" t="s">
        <v>37</v>
      </c>
      <c r="N511">
        <v>2023</v>
      </c>
      <c r="O511">
        <v>8</v>
      </c>
      <c r="P511">
        <v>3</v>
      </c>
      <c r="Q511" t="s">
        <v>31</v>
      </c>
      <c r="R511" t="s">
        <v>1332</v>
      </c>
      <c r="S511" t="s">
        <v>25</v>
      </c>
      <c r="T511" t="s">
        <v>1333</v>
      </c>
    </row>
    <row r="512" spans="1:20" ht="16.5" x14ac:dyDescent="0.45">
      <c r="A512">
        <v>1511</v>
      </c>
      <c r="B512" t="s">
        <v>1334</v>
      </c>
      <c r="C512" t="s">
        <v>47</v>
      </c>
      <c r="D512" t="s">
        <v>21</v>
      </c>
      <c r="E512">
        <v>443706</v>
      </c>
      <c r="F512" s="1">
        <v>45596</v>
      </c>
      <c r="G512" s="1">
        <v>45471</v>
      </c>
      <c r="H512">
        <v>457354</v>
      </c>
      <c r="I512">
        <v>2626</v>
      </c>
      <c r="J512" s="5">
        <v>1201011604</v>
      </c>
      <c r="K512">
        <v>3</v>
      </c>
      <c r="L512">
        <v>5</v>
      </c>
      <c r="M512" t="s">
        <v>22</v>
      </c>
      <c r="N512">
        <v>2020</v>
      </c>
      <c r="P512">
        <v>2</v>
      </c>
      <c r="Q512" t="s">
        <v>93</v>
      </c>
      <c r="R512" t="s">
        <v>1335</v>
      </c>
      <c r="S512" t="s">
        <v>25</v>
      </c>
      <c r="T512" t="s">
        <v>40</v>
      </c>
    </row>
    <row r="513" spans="1:20" ht="16.5" x14ac:dyDescent="0.45">
      <c r="A513">
        <v>1512</v>
      </c>
      <c r="B513" t="s">
        <v>1336</v>
      </c>
      <c r="C513" t="s">
        <v>47</v>
      </c>
      <c r="D513" t="s">
        <v>21</v>
      </c>
      <c r="E513">
        <v>411332</v>
      </c>
      <c r="F513" s="1">
        <v>45463</v>
      </c>
      <c r="G513" s="1">
        <v>45421</v>
      </c>
      <c r="H513">
        <v>449748</v>
      </c>
      <c r="I513">
        <v>4334</v>
      </c>
      <c r="J513" s="5">
        <v>1949207832</v>
      </c>
      <c r="K513">
        <v>4</v>
      </c>
      <c r="L513">
        <v>2</v>
      </c>
      <c r="M513" t="s">
        <v>30</v>
      </c>
      <c r="N513">
        <v>2012</v>
      </c>
      <c r="O513">
        <v>8</v>
      </c>
      <c r="P513">
        <v>3</v>
      </c>
      <c r="Q513" t="s">
        <v>132</v>
      </c>
      <c r="R513" t="s">
        <v>1337</v>
      </c>
      <c r="S513" t="s">
        <v>25</v>
      </c>
      <c r="T513" t="s">
        <v>91</v>
      </c>
    </row>
    <row r="514" spans="1:20" ht="16.5" x14ac:dyDescent="0.45">
      <c r="A514">
        <v>1513</v>
      </c>
      <c r="B514" t="s">
        <v>1338</v>
      </c>
      <c r="C514" t="s">
        <v>28</v>
      </c>
      <c r="D514" t="s">
        <v>29</v>
      </c>
      <c r="E514">
        <v>878020</v>
      </c>
      <c r="F514" s="1">
        <v>45431</v>
      </c>
      <c r="G514" s="1"/>
      <c r="I514">
        <v>1601</v>
      </c>
      <c r="K514">
        <v>2</v>
      </c>
      <c r="L514">
        <v>3</v>
      </c>
      <c r="M514" t="s">
        <v>37</v>
      </c>
      <c r="N514">
        <v>2023</v>
      </c>
      <c r="O514">
        <v>5</v>
      </c>
      <c r="P514">
        <v>3</v>
      </c>
      <c r="Q514" t="s">
        <v>23</v>
      </c>
      <c r="R514" t="s">
        <v>1339</v>
      </c>
      <c r="S514" t="s">
        <v>33</v>
      </c>
      <c r="T514" t="s">
        <v>1340</v>
      </c>
    </row>
    <row r="515" spans="1:20" ht="16.5" x14ac:dyDescent="0.45">
      <c r="A515">
        <v>1514</v>
      </c>
      <c r="B515" t="s">
        <v>1341</v>
      </c>
      <c r="C515" t="s">
        <v>47</v>
      </c>
      <c r="D515" t="s">
        <v>42</v>
      </c>
      <c r="E515">
        <v>351991</v>
      </c>
      <c r="F515" s="1">
        <v>45529</v>
      </c>
      <c r="G515" s="1">
        <v>45575</v>
      </c>
      <c r="H515">
        <v>378539</v>
      </c>
      <c r="I515">
        <v>2942</v>
      </c>
      <c r="J515" s="5">
        <v>1113661738</v>
      </c>
      <c r="K515">
        <v>3</v>
      </c>
      <c r="L515">
        <v>5</v>
      </c>
      <c r="M515" t="s">
        <v>30</v>
      </c>
      <c r="N515">
        <v>2017</v>
      </c>
      <c r="O515">
        <v>5</v>
      </c>
      <c r="P515">
        <v>4</v>
      </c>
      <c r="Q515" t="s">
        <v>31</v>
      </c>
      <c r="R515" t="s">
        <v>1342</v>
      </c>
      <c r="S515" t="s">
        <v>25</v>
      </c>
      <c r="T515" t="s">
        <v>1343</v>
      </c>
    </row>
    <row r="516" spans="1:20" ht="16.5" x14ac:dyDescent="0.45">
      <c r="A516">
        <v>1515</v>
      </c>
      <c r="B516" t="s">
        <v>1344</v>
      </c>
      <c r="C516" t="s">
        <v>47</v>
      </c>
      <c r="D516" t="s">
        <v>42</v>
      </c>
      <c r="E516">
        <v>421139</v>
      </c>
      <c r="F516" s="1">
        <v>45509</v>
      </c>
      <c r="G516" s="1">
        <v>45395</v>
      </c>
      <c r="H516">
        <v>439678</v>
      </c>
      <c r="I516">
        <v>1832</v>
      </c>
      <c r="J516" s="5">
        <v>805490096</v>
      </c>
      <c r="K516">
        <v>6</v>
      </c>
      <c r="L516">
        <v>5</v>
      </c>
      <c r="M516" t="s">
        <v>30</v>
      </c>
      <c r="N516">
        <v>2016</v>
      </c>
      <c r="O516">
        <v>9</v>
      </c>
      <c r="P516">
        <v>2</v>
      </c>
      <c r="Q516" t="s">
        <v>43</v>
      </c>
      <c r="R516" t="s">
        <v>1345</v>
      </c>
      <c r="S516" t="s">
        <v>25</v>
      </c>
      <c r="T516" t="s">
        <v>88</v>
      </c>
    </row>
    <row r="517" spans="1:20" ht="16.5" x14ac:dyDescent="0.45">
      <c r="A517">
        <v>1516</v>
      </c>
      <c r="B517" t="s">
        <v>1346</v>
      </c>
      <c r="C517" t="s">
        <v>36</v>
      </c>
      <c r="D517" t="s">
        <v>29</v>
      </c>
      <c r="E517">
        <v>822919</v>
      </c>
      <c r="F517" s="1">
        <v>45309</v>
      </c>
      <c r="G517" s="1"/>
      <c r="I517">
        <v>1612</v>
      </c>
      <c r="K517">
        <v>3</v>
      </c>
      <c r="L517">
        <v>5</v>
      </c>
      <c r="M517" t="s">
        <v>30</v>
      </c>
      <c r="N517">
        <v>2010</v>
      </c>
      <c r="O517">
        <v>4</v>
      </c>
      <c r="P517">
        <v>4</v>
      </c>
      <c r="Q517" t="s">
        <v>162</v>
      </c>
      <c r="R517" t="s">
        <v>1347</v>
      </c>
      <c r="S517" t="s">
        <v>33</v>
      </c>
      <c r="T517" t="s">
        <v>180</v>
      </c>
    </row>
    <row r="518" spans="1:20" ht="16.5" x14ac:dyDescent="0.45">
      <c r="A518">
        <v>1517</v>
      </c>
      <c r="B518" t="s">
        <v>1348</v>
      </c>
      <c r="C518" t="s">
        <v>47</v>
      </c>
      <c r="D518" t="s">
        <v>21</v>
      </c>
      <c r="E518">
        <v>894669</v>
      </c>
      <c r="F518" s="1">
        <v>45335</v>
      </c>
      <c r="G518" s="1">
        <v>45347</v>
      </c>
      <c r="H518">
        <v>922841</v>
      </c>
      <c r="I518">
        <v>3796</v>
      </c>
      <c r="J518" s="5">
        <v>3503104436</v>
      </c>
      <c r="K518">
        <v>4</v>
      </c>
      <c r="L518">
        <v>3</v>
      </c>
      <c r="M518" t="s">
        <v>62</v>
      </c>
      <c r="N518">
        <v>2022</v>
      </c>
      <c r="O518">
        <v>8</v>
      </c>
      <c r="P518">
        <v>2</v>
      </c>
      <c r="Q518" t="s">
        <v>43</v>
      </c>
      <c r="R518" t="s">
        <v>1349</v>
      </c>
      <c r="S518" t="s">
        <v>25</v>
      </c>
      <c r="T518" t="s">
        <v>1106</v>
      </c>
    </row>
    <row r="519" spans="1:20" ht="16.5" x14ac:dyDescent="0.45">
      <c r="A519">
        <v>1518</v>
      </c>
      <c r="B519" t="s">
        <v>1350</v>
      </c>
      <c r="C519" t="s">
        <v>47</v>
      </c>
      <c r="D519" t="s">
        <v>29</v>
      </c>
      <c r="E519">
        <v>874899</v>
      </c>
      <c r="F519" s="1">
        <v>45442</v>
      </c>
      <c r="G519" s="1">
        <v>45381</v>
      </c>
      <c r="H519">
        <v>911936</v>
      </c>
      <c r="I519">
        <v>2600</v>
      </c>
      <c r="J519" s="5">
        <v>2371033600</v>
      </c>
      <c r="K519">
        <v>5</v>
      </c>
      <c r="L519">
        <v>2</v>
      </c>
      <c r="M519" t="s">
        <v>37</v>
      </c>
      <c r="N519">
        <v>2016</v>
      </c>
      <c r="O519">
        <v>2</v>
      </c>
      <c r="P519">
        <v>4</v>
      </c>
      <c r="Q519" t="s">
        <v>43</v>
      </c>
      <c r="R519" t="s">
        <v>1351</v>
      </c>
      <c r="S519" t="s">
        <v>25</v>
      </c>
      <c r="T519" t="s">
        <v>40</v>
      </c>
    </row>
    <row r="520" spans="1:20" ht="16.5" x14ac:dyDescent="0.45">
      <c r="A520">
        <v>1519</v>
      </c>
      <c r="B520" t="s">
        <v>1352</v>
      </c>
      <c r="C520" t="s">
        <v>51</v>
      </c>
      <c r="D520" t="s">
        <v>21</v>
      </c>
      <c r="E520">
        <v>379187</v>
      </c>
      <c r="F520" s="1">
        <v>45620</v>
      </c>
      <c r="G520" s="1">
        <v>45388</v>
      </c>
      <c r="H520">
        <v>417208</v>
      </c>
      <c r="I520">
        <v>2462</v>
      </c>
      <c r="J520" s="5">
        <v>1027166096</v>
      </c>
      <c r="K520">
        <v>4</v>
      </c>
      <c r="L520">
        <v>2</v>
      </c>
      <c r="M520" t="s">
        <v>62</v>
      </c>
      <c r="N520">
        <v>2002</v>
      </c>
      <c r="O520">
        <v>6</v>
      </c>
      <c r="P520">
        <v>1</v>
      </c>
      <c r="Q520" t="s">
        <v>43</v>
      </c>
      <c r="R520" t="s">
        <v>1353</v>
      </c>
      <c r="S520" t="s">
        <v>25</v>
      </c>
      <c r="T520" t="s">
        <v>674</v>
      </c>
    </row>
    <row r="521" spans="1:20" ht="16.5" x14ac:dyDescent="0.45">
      <c r="A521">
        <v>1520</v>
      </c>
      <c r="B521" t="s">
        <v>1354</v>
      </c>
      <c r="C521" t="s">
        <v>51</v>
      </c>
      <c r="D521" t="s">
        <v>29</v>
      </c>
      <c r="E521">
        <v>485118</v>
      </c>
      <c r="F521" s="1">
        <v>45508</v>
      </c>
      <c r="G521" s="1"/>
      <c r="I521">
        <v>3442</v>
      </c>
      <c r="K521">
        <v>2</v>
      </c>
      <c r="L521">
        <v>3</v>
      </c>
      <c r="M521" t="s">
        <v>30</v>
      </c>
      <c r="N521">
        <v>2010</v>
      </c>
      <c r="O521">
        <v>8</v>
      </c>
      <c r="P521">
        <v>4</v>
      </c>
      <c r="Q521" t="s">
        <v>43</v>
      </c>
      <c r="R521" t="s">
        <v>1355</v>
      </c>
      <c r="S521" t="s">
        <v>33</v>
      </c>
      <c r="T521" t="s">
        <v>107</v>
      </c>
    </row>
    <row r="522" spans="1:20" ht="16.5" x14ac:dyDescent="0.45">
      <c r="A522">
        <v>1521</v>
      </c>
      <c r="B522" t="s">
        <v>1356</v>
      </c>
      <c r="C522" t="s">
        <v>20</v>
      </c>
      <c r="D522" t="s">
        <v>42</v>
      </c>
      <c r="E522">
        <v>893816</v>
      </c>
      <c r="F522" s="1">
        <v>45493</v>
      </c>
      <c r="G522" s="1">
        <v>45412</v>
      </c>
      <c r="H522">
        <v>927948</v>
      </c>
      <c r="I522">
        <v>4981</v>
      </c>
      <c r="J522" s="5">
        <v>4622108988</v>
      </c>
      <c r="K522">
        <v>4</v>
      </c>
      <c r="L522">
        <v>4</v>
      </c>
      <c r="M522" t="s">
        <v>22</v>
      </c>
      <c r="N522">
        <v>2015</v>
      </c>
      <c r="P522">
        <v>3</v>
      </c>
      <c r="Q522" t="s">
        <v>75</v>
      </c>
      <c r="R522" t="s">
        <v>1357</v>
      </c>
      <c r="S522" t="s">
        <v>25</v>
      </c>
      <c r="T522" t="s">
        <v>1358</v>
      </c>
    </row>
    <row r="523" spans="1:20" ht="16.5" x14ac:dyDescent="0.45">
      <c r="A523">
        <v>1522</v>
      </c>
      <c r="B523" t="s">
        <v>1359</v>
      </c>
      <c r="C523" t="s">
        <v>28</v>
      </c>
      <c r="D523" t="s">
        <v>21</v>
      </c>
      <c r="E523">
        <v>507324</v>
      </c>
      <c r="F523" s="1">
        <v>45319</v>
      </c>
      <c r="G523" s="1">
        <v>45493</v>
      </c>
      <c r="H523">
        <v>547558</v>
      </c>
      <c r="I523">
        <v>3290</v>
      </c>
      <c r="J523" s="5">
        <v>1801465820</v>
      </c>
      <c r="K523">
        <v>3</v>
      </c>
      <c r="L523">
        <v>3</v>
      </c>
      <c r="M523" t="s">
        <v>22</v>
      </c>
      <c r="N523">
        <v>2005</v>
      </c>
      <c r="P523">
        <v>3</v>
      </c>
      <c r="Q523" t="s">
        <v>31</v>
      </c>
      <c r="R523" t="s">
        <v>1360</v>
      </c>
      <c r="S523" t="s">
        <v>25</v>
      </c>
      <c r="T523" t="s">
        <v>1361</v>
      </c>
    </row>
    <row r="524" spans="1:20" ht="16.5" x14ac:dyDescent="0.45">
      <c r="A524">
        <v>1523</v>
      </c>
      <c r="B524" t="s">
        <v>1362</v>
      </c>
      <c r="C524" t="s">
        <v>36</v>
      </c>
      <c r="D524" t="s">
        <v>21</v>
      </c>
      <c r="E524">
        <v>714984</v>
      </c>
      <c r="F524" s="1">
        <v>45317</v>
      </c>
      <c r="G524" s="1">
        <v>45426</v>
      </c>
      <c r="H524">
        <v>750422</v>
      </c>
      <c r="I524">
        <v>4843</v>
      </c>
      <c r="J524" s="5">
        <v>3634293746</v>
      </c>
      <c r="K524">
        <v>3</v>
      </c>
      <c r="L524">
        <v>3</v>
      </c>
      <c r="M524" t="s">
        <v>22</v>
      </c>
      <c r="N524">
        <v>2006</v>
      </c>
      <c r="P524">
        <v>1</v>
      </c>
      <c r="Q524" t="s">
        <v>132</v>
      </c>
      <c r="R524" t="s">
        <v>1363</v>
      </c>
      <c r="S524" t="s">
        <v>25</v>
      </c>
      <c r="T524" t="s">
        <v>1364</v>
      </c>
    </row>
    <row r="525" spans="1:20" ht="16.5" x14ac:dyDescent="0.45">
      <c r="A525">
        <v>1524</v>
      </c>
      <c r="B525" t="s">
        <v>1365</v>
      </c>
      <c r="C525" t="s">
        <v>20</v>
      </c>
      <c r="D525" t="s">
        <v>29</v>
      </c>
      <c r="E525">
        <v>444604</v>
      </c>
      <c r="F525" s="1">
        <v>45452</v>
      </c>
      <c r="G525" s="1">
        <v>45359</v>
      </c>
      <c r="H525">
        <v>476608</v>
      </c>
      <c r="I525">
        <v>4855</v>
      </c>
      <c r="J525" s="5">
        <v>2313931840</v>
      </c>
      <c r="K525">
        <v>2</v>
      </c>
      <c r="L525">
        <v>5</v>
      </c>
      <c r="M525" t="s">
        <v>30</v>
      </c>
      <c r="N525">
        <v>2002</v>
      </c>
      <c r="O525">
        <v>10</v>
      </c>
      <c r="P525">
        <v>2</v>
      </c>
      <c r="Q525" t="s">
        <v>38</v>
      </c>
      <c r="R525" t="s">
        <v>1366</v>
      </c>
      <c r="S525" t="s">
        <v>25</v>
      </c>
      <c r="T525" t="s">
        <v>180</v>
      </c>
    </row>
    <row r="526" spans="1:20" ht="16.5" x14ac:dyDescent="0.45">
      <c r="A526">
        <v>1525</v>
      </c>
      <c r="B526" t="s">
        <v>1367</v>
      </c>
      <c r="C526" t="s">
        <v>47</v>
      </c>
      <c r="D526" t="s">
        <v>29</v>
      </c>
      <c r="E526">
        <v>733108</v>
      </c>
      <c r="F526" s="1">
        <v>45481</v>
      </c>
      <c r="G526" s="1"/>
      <c r="I526">
        <v>1619</v>
      </c>
      <c r="K526">
        <v>2</v>
      </c>
      <c r="L526">
        <v>2</v>
      </c>
      <c r="M526" t="s">
        <v>30</v>
      </c>
      <c r="N526">
        <v>2003</v>
      </c>
      <c r="O526">
        <v>8</v>
      </c>
      <c r="P526">
        <v>2</v>
      </c>
      <c r="Q526" t="s">
        <v>75</v>
      </c>
      <c r="R526" t="s">
        <v>1368</v>
      </c>
      <c r="S526" t="s">
        <v>33</v>
      </c>
      <c r="T526" t="s">
        <v>1369</v>
      </c>
    </row>
    <row r="527" spans="1:20" ht="16.5" x14ac:dyDescent="0.45">
      <c r="A527">
        <v>1526</v>
      </c>
      <c r="B527" t="s">
        <v>1370</v>
      </c>
      <c r="C527" t="s">
        <v>28</v>
      </c>
      <c r="D527" t="s">
        <v>29</v>
      </c>
      <c r="E527">
        <v>320020</v>
      </c>
      <c r="F527" s="1">
        <v>45535</v>
      </c>
      <c r="G527" s="1"/>
      <c r="I527">
        <v>3366</v>
      </c>
      <c r="K527">
        <v>3</v>
      </c>
      <c r="L527">
        <v>4</v>
      </c>
      <c r="M527" t="s">
        <v>37</v>
      </c>
      <c r="N527">
        <v>2012</v>
      </c>
      <c r="O527">
        <v>4</v>
      </c>
      <c r="P527">
        <v>3</v>
      </c>
      <c r="Q527" t="s">
        <v>132</v>
      </c>
      <c r="R527" t="s">
        <v>1371</v>
      </c>
      <c r="S527" t="s">
        <v>33</v>
      </c>
      <c r="T527" t="s">
        <v>1062</v>
      </c>
    </row>
    <row r="528" spans="1:20" ht="16.5" x14ac:dyDescent="0.45">
      <c r="A528">
        <v>1527</v>
      </c>
      <c r="B528" t="s">
        <v>1372</v>
      </c>
      <c r="C528" t="s">
        <v>51</v>
      </c>
      <c r="D528" t="s">
        <v>42</v>
      </c>
      <c r="E528">
        <v>775931</v>
      </c>
      <c r="F528" s="1">
        <v>45391</v>
      </c>
      <c r="G528" s="1"/>
      <c r="I528">
        <v>2590</v>
      </c>
      <c r="K528">
        <v>3</v>
      </c>
      <c r="L528">
        <v>3</v>
      </c>
      <c r="M528" t="s">
        <v>62</v>
      </c>
      <c r="N528">
        <v>2011</v>
      </c>
      <c r="O528">
        <v>2</v>
      </c>
      <c r="P528">
        <v>2</v>
      </c>
      <c r="Q528" t="s">
        <v>75</v>
      </c>
      <c r="R528" t="s">
        <v>1373</v>
      </c>
      <c r="S528" t="s">
        <v>33</v>
      </c>
      <c r="T528" t="s">
        <v>1374</v>
      </c>
    </row>
    <row r="529" spans="1:20" ht="16.5" x14ac:dyDescent="0.45">
      <c r="A529">
        <v>1528</v>
      </c>
      <c r="B529" t="s">
        <v>1375</v>
      </c>
      <c r="C529" t="s">
        <v>36</v>
      </c>
      <c r="D529" t="s">
        <v>42</v>
      </c>
      <c r="E529">
        <v>535224</v>
      </c>
      <c r="F529" s="1">
        <v>45387</v>
      </c>
      <c r="G529" s="1"/>
      <c r="I529">
        <v>2535</v>
      </c>
      <c r="K529">
        <v>3</v>
      </c>
      <c r="L529">
        <v>4</v>
      </c>
      <c r="M529" t="s">
        <v>37</v>
      </c>
      <c r="N529">
        <v>2016</v>
      </c>
      <c r="O529">
        <v>5</v>
      </c>
      <c r="P529">
        <v>4</v>
      </c>
      <c r="Q529" t="s">
        <v>86</v>
      </c>
      <c r="R529" t="s">
        <v>1376</v>
      </c>
      <c r="S529" t="s">
        <v>33</v>
      </c>
      <c r="T529" t="s">
        <v>388</v>
      </c>
    </row>
    <row r="530" spans="1:20" ht="16.5" x14ac:dyDescent="0.45">
      <c r="A530">
        <v>1529</v>
      </c>
      <c r="B530" t="s">
        <v>1377</v>
      </c>
      <c r="C530" t="s">
        <v>36</v>
      </c>
      <c r="D530" t="s">
        <v>29</v>
      </c>
      <c r="E530">
        <v>836111</v>
      </c>
      <c r="F530" s="1">
        <v>45381</v>
      </c>
      <c r="G530" s="1">
        <v>45350</v>
      </c>
      <c r="H530">
        <v>876551</v>
      </c>
      <c r="I530">
        <v>1623</v>
      </c>
      <c r="J530" s="5">
        <v>1422642273</v>
      </c>
      <c r="K530">
        <v>5</v>
      </c>
      <c r="L530">
        <v>5</v>
      </c>
      <c r="M530" t="s">
        <v>62</v>
      </c>
      <c r="N530">
        <v>2003</v>
      </c>
      <c r="O530">
        <v>1</v>
      </c>
      <c r="P530">
        <v>3</v>
      </c>
      <c r="Q530" t="s">
        <v>58</v>
      </c>
      <c r="R530" t="s">
        <v>124</v>
      </c>
      <c r="S530" t="s">
        <v>25</v>
      </c>
      <c r="T530" t="s">
        <v>1378</v>
      </c>
    </row>
    <row r="531" spans="1:20" ht="16.5" x14ac:dyDescent="0.45">
      <c r="A531">
        <v>1530</v>
      </c>
      <c r="B531" t="s">
        <v>1379</v>
      </c>
      <c r="C531" t="s">
        <v>51</v>
      </c>
      <c r="D531" t="s">
        <v>29</v>
      </c>
      <c r="E531">
        <v>796758</v>
      </c>
      <c r="F531" s="1">
        <v>45481</v>
      </c>
      <c r="G531" s="1"/>
      <c r="I531">
        <v>4686</v>
      </c>
      <c r="K531">
        <v>2</v>
      </c>
      <c r="L531">
        <v>5</v>
      </c>
      <c r="M531" t="s">
        <v>37</v>
      </c>
      <c r="N531">
        <v>2013</v>
      </c>
      <c r="O531">
        <v>7</v>
      </c>
      <c r="P531">
        <v>2</v>
      </c>
      <c r="Q531" t="s">
        <v>23</v>
      </c>
      <c r="R531" t="s">
        <v>1380</v>
      </c>
      <c r="S531" t="s">
        <v>33</v>
      </c>
      <c r="T531" t="s">
        <v>1381</v>
      </c>
    </row>
    <row r="532" spans="1:20" ht="16.5" x14ac:dyDescent="0.45">
      <c r="A532">
        <v>1531</v>
      </c>
      <c r="B532" t="s">
        <v>1382</v>
      </c>
      <c r="C532" t="s">
        <v>28</v>
      </c>
      <c r="D532" t="s">
        <v>21</v>
      </c>
      <c r="E532">
        <v>614032</v>
      </c>
      <c r="F532" s="1">
        <v>45438</v>
      </c>
      <c r="G532" s="1">
        <v>45566</v>
      </c>
      <c r="H532">
        <v>649784</v>
      </c>
      <c r="I532">
        <v>3754</v>
      </c>
      <c r="J532" s="5">
        <v>2439289136</v>
      </c>
      <c r="K532">
        <v>2</v>
      </c>
      <c r="L532">
        <v>3</v>
      </c>
      <c r="M532" t="s">
        <v>37</v>
      </c>
      <c r="N532">
        <v>2023</v>
      </c>
      <c r="O532">
        <v>5</v>
      </c>
      <c r="P532">
        <v>2</v>
      </c>
      <c r="Q532" t="s">
        <v>93</v>
      </c>
      <c r="R532" t="s">
        <v>1383</v>
      </c>
      <c r="S532" t="s">
        <v>25</v>
      </c>
      <c r="T532" t="s">
        <v>40</v>
      </c>
    </row>
    <row r="533" spans="1:20" ht="16.5" x14ac:dyDescent="0.45">
      <c r="A533">
        <v>1532</v>
      </c>
      <c r="B533" t="s">
        <v>1384</v>
      </c>
      <c r="C533" t="s">
        <v>36</v>
      </c>
      <c r="D533" t="s">
        <v>42</v>
      </c>
      <c r="E533">
        <v>673771</v>
      </c>
      <c r="F533" s="1">
        <v>45628</v>
      </c>
      <c r="G533" s="1">
        <v>45494</v>
      </c>
      <c r="H533">
        <v>690839</v>
      </c>
      <c r="I533">
        <v>2954</v>
      </c>
      <c r="J533" s="5">
        <v>2040738406</v>
      </c>
      <c r="K533">
        <v>2</v>
      </c>
      <c r="L533">
        <v>2</v>
      </c>
      <c r="M533" t="s">
        <v>37</v>
      </c>
      <c r="N533">
        <v>2001</v>
      </c>
      <c r="O533">
        <v>7</v>
      </c>
      <c r="P533">
        <v>4</v>
      </c>
      <c r="Q533" t="s">
        <v>43</v>
      </c>
      <c r="R533" t="s">
        <v>1385</v>
      </c>
      <c r="S533" t="s">
        <v>25</v>
      </c>
      <c r="T533" t="s">
        <v>1386</v>
      </c>
    </row>
    <row r="534" spans="1:20" ht="16.5" x14ac:dyDescent="0.45">
      <c r="A534">
        <v>1533</v>
      </c>
      <c r="B534" t="s">
        <v>1387</v>
      </c>
      <c r="C534" t="s">
        <v>20</v>
      </c>
      <c r="D534" t="s">
        <v>29</v>
      </c>
      <c r="E534">
        <v>797002</v>
      </c>
      <c r="F534" s="1">
        <v>45379</v>
      </c>
      <c r="G534" s="1"/>
      <c r="I534">
        <v>3191</v>
      </c>
      <c r="K534">
        <v>4</v>
      </c>
      <c r="L534">
        <v>2</v>
      </c>
      <c r="M534" t="s">
        <v>22</v>
      </c>
      <c r="N534">
        <v>2009</v>
      </c>
      <c r="P534">
        <v>3</v>
      </c>
      <c r="Q534" t="s">
        <v>58</v>
      </c>
      <c r="R534" t="s">
        <v>1388</v>
      </c>
      <c r="S534" t="s">
        <v>33</v>
      </c>
      <c r="T534" t="s">
        <v>388</v>
      </c>
    </row>
    <row r="535" spans="1:20" ht="16.5" x14ac:dyDescent="0.45">
      <c r="A535">
        <v>1534</v>
      </c>
      <c r="B535" t="s">
        <v>1389</v>
      </c>
      <c r="C535" t="s">
        <v>20</v>
      </c>
      <c r="D535" t="s">
        <v>29</v>
      </c>
      <c r="E535">
        <v>966451</v>
      </c>
      <c r="F535" s="1">
        <v>45426</v>
      </c>
      <c r="G535" s="1">
        <v>45449</v>
      </c>
      <c r="H535">
        <v>1015435</v>
      </c>
      <c r="I535">
        <v>1548</v>
      </c>
      <c r="J535" s="5">
        <v>1571893380</v>
      </c>
      <c r="K535">
        <v>5</v>
      </c>
      <c r="L535">
        <v>3</v>
      </c>
      <c r="M535" t="s">
        <v>30</v>
      </c>
      <c r="N535">
        <v>2021</v>
      </c>
      <c r="O535">
        <v>6</v>
      </c>
      <c r="P535">
        <v>2</v>
      </c>
      <c r="Q535" t="s">
        <v>162</v>
      </c>
      <c r="R535" t="s">
        <v>1390</v>
      </c>
      <c r="S535" t="s">
        <v>25</v>
      </c>
      <c r="T535" t="s">
        <v>1391</v>
      </c>
    </row>
    <row r="536" spans="1:20" ht="16.5" x14ac:dyDescent="0.45">
      <c r="A536">
        <v>1535</v>
      </c>
      <c r="B536" t="s">
        <v>1392</v>
      </c>
      <c r="C536" t="s">
        <v>28</v>
      </c>
      <c r="D536" t="s">
        <v>21</v>
      </c>
      <c r="E536">
        <v>741658</v>
      </c>
      <c r="F536" s="1">
        <v>45594</v>
      </c>
      <c r="G536" s="1">
        <v>45365</v>
      </c>
      <c r="H536">
        <v>761460</v>
      </c>
      <c r="I536">
        <v>1151</v>
      </c>
      <c r="J536" s="5">
        <v>876440460</v>
      </c>
      <c r="K536">
        <v>4</v>
      </c>
      <c r="L536">
        <v>4</v>
      </c>
      <c r="M536" t="s">
        <v>22</v>
      </c>
      <c r="N536">
        <v>2019</v>
      </c>
      <c r="P536">
        <v>1</v>
      </c>
      <c r="Q536" t="s">
        <v>93</v>
      </c>
      <c r="R536" t="s">
        <v>1393</v>
      </c>
      <c r="S536" t="s">
        <v>25</v>
      </c>
      <c r="T536" t="s">
        <v>1394</v>
      </c>
    </row>
    <row r="537" spans="1:20" ht="16.5" x14ac:dyDescent="0.45">
      <c r="A537">
        <v>1536</v>
      </c>
      <c r="B537" t="s">
        <v>1395</v>
      </c>
      <c r="C537" t="s">
        <v>28</v>
      </c>
      <c r="D537" t="s">
        <v>29</v>
      </c>
      <c r="E537">
        <v>660585</v>
      </c>
      <c r="F537" s="1">
        <v>45634</v>
      </c>
      <c r="G537" s="1">
        <v>45507</v>
      </c>
      <c r="H537">
        <v>684181</v>
      </c>
      <c r="I537">
        <v>2192</v>
      </c>
      <c r="J537" s="5">
        <v>1499724752</v>
      </c>
      <c r="K537">
        <v>5</v>
      </c>
      <c r="L537">
        <v>3</v>
      </c>
      <c r="M537" t="s">
        <v>37</v>
      </c>
      <c r="N537">
        <v>2017</v>
      </c>
      <c r="O537">
        <v>3</v>
      </c>
      <c r="P537">
        <v>2</v>
      </c>
      <c r="Q537" t="s">
        <v>86</v>
      </c>
      <c r="R537" t="s">
        <v>1396</v>
      </c>
      <c r="S537" t="s">
        <v>25</v>
      </c>
      <c r="T537" t="s">
        <v>183</v>
      </c>
    </row>
    <row r="538" spans="1:20" ht="16.5" x14ac:dyDescent="0.45">
      <c r="A538">
        <v>1537</v>
      </c>
      <c r="B538" t="s">
        <v>1397</v>
      </c>
      <c r="C538" t="s">
        <v>47</v>
      </c>
      <c r="D538" t="s">
        <v>42</v>
      </c>
      <c r="E538">
        <v>971223</v>
      </c>
      <c r="F538" s="1">
        <v>45559</v>
      </c>
      <c r="G538" s="1">
        <v>45554</v>
      </c>
      <c r="H538">
        <v>986756</v>
      </c>
      <c r="I538">
        <v>2838</v>
      </c>
      <c r="J538" s="5">
        <v>2800413528</v>
      </c>
      <c r="K538">
        <v>3</v>
      </c>
      <c r="L538">
        <v>3</v>
      </c>
      <c r="M538" t="s">
        <v>30</v>
      </c>
      <c r="N538">
        <v>2023</v>
      </c>
      <c r="O538">
        <v>3</v>
      </c>
      <c r="P538">
        <v>2</v>
      </c>
      <c r="Q538" t="s">
        <v>162</v>
      </c>
      <c r="R538" t="s">
        <v>1398</v>
      </c>
      <c r="S538" t="s">
        <v>25</v>
      </c>
      <c r="T538" t="s">
        <v>183</v>
      </c>
    </row>
    <row r="539" spans="1:20" ht="16.5" x14ac:dyDescent="0.45">
      <c r="A539">
        <v>1538</v>
      </c>
      <c r="B539" t="s">
        <v>1399</v>
      </c>
      <c r="C539" t="s">
        <v>36</v>
      </c>
      <c r="D539" t="s">
        <v>21</v>
      </c>
      <c r="E539">
        <v>412914</v>
      </c>
      <c r="F539" s="1">
        <v>45483</v>
      </c>
      <c r="G539" s="1">
        <v>45636</v>
      </c>
      <c r="H539">
        <v>443168</v>
      </c>
      <c r="I539">
        <v>4462</v>
      </c>
      <c r="J539" s="5">
        <v>1977415616</v>
      </c>
      <c r="K539">
        <v>2</v>
      </c>
      <c r="L539">
        <v>3</v>
      </c>
      <c r="M539" t="s">
        <v>37</v>
      </c>
      <c r="N539">
        <v>2011</v>
      </c>
      <c r="O539">
        <v>2</v>
      </c>
      <c r="P539">
        <v>2</v>
      </c>
      <c r="Q539" t="s">
        <v>75</v>
      </c>
      <c r="R539" t="s">
        <v>1400</v>
      </c>
      <c r="S539" t="s">
        <v>25</v>
      </c>
      <c r="T539" t="s">
        <v>665</v>
      </c>
    </row>
    <row r="540" spans="1:20" ht="16.5" x14ac:dyDescent="0.45">
      <c r="A540">
        <v>1539</v>
      </c>
      <c r="B540" t="s">
        <v>1401</v>
      </c>
      <c r="C540" t="s">
        <v>28</v>
      </c>
      <c r="D540" t="s">
        <v>42</v>
      </c>
      <c r="E540">
        <v>751968</v>
      </c>
      <c r="F540" s="1">
        <v>45425</v>
      </c>
      <c r="G540" s="1"/>
      <c r="I540">
        <v>3273</v>
      </c>
      <c r="K540">
        <v>2</v>
      </c>
      <c r="L540">
        <v>5</v>
      </c>
      <c r="M540" t="s">
        <v>22</v>
      </c>
      <c r="N540">
        <v>2014</v>
      </c>
      <c r="P540">
        <v>3</v>
      </c>
      <c r="Q540" t="s">
        <v>31</v>
      </c>
      <c r="R540" t="s">
        <v>1402</v>
      </c>
      <c r="S540" t="s">
        <v>33</v>
      </c>
      <c r="T540" t="s">
        <v>183</v>
      </c>
    </row>
    <row r="541" spans="1:20" ht="16.5" x14ac:dyDescent="0.45">
      <c r="A541">
        <v>1540</v>
      </c>
      <c r="B541" t="s">
        <v>1403</v>
      </c>
      <c r="C541" t="s">
        <v>28</v>
      </c>
      <c r="D541" t="s">
        <v>21</v>
      </c>
      <c r="E541">
        <v>662767</v>
      </c>
      <c r="F541" s="1">
        <v>45389</v>
      </c>
      <c r="G541" s="1">
        <v>45515</v>
      </c>
      <c r="H541">
        <v>707016</v>
      </c>
      <c r="I541">
        <v>1246</v>
      </c>
      <c r="J541" s="5">
        <v>880941936</v>
      </c>
      <c r="K541">
        <v>5</v>
      </c>
      <c r="L541">
        <v>4</v>
      </c>
      <c r="M541" t="s">
        <v>37</v>
      </c>
      <c r="N541">
        <v>2007</v>
      </c>
      <c r="O541">
        <v>1</v>
      </c>
      <c r="P541">
        <v>2</v>
      </c>
      <c r="Q541" t="s">
        <v>43</v>
      </c>
      <c r="R541" t="s">
        <v>1404</v>
      </c>
      <c r="S541" t="s">
        <v>25</v>
      </c>
      <c r="T541" t="s">
        <v>1405</v>
      </c>
    </row>
    <row r="542" spans="1:20" ht="16.5" x14ac:dyDescent="0.45">
      <c r="A542">
        <v>1541</v>
      </c>
      <c r="B542" t="s">
        <v>1406</v>
      </c>
      <c r="C542" t="s">
        <v>28</v>
      </c>
      <c r="D542" t="s">
        <v>29</v>
      </c>
      <c r="E542">
        <v>343000</v>
      </c>
      <c r="F542" s="1">
        <v>45373</v>
      </c>
      <c r="G542" s="1"/>
      <c r="I542">
        <v>2066</v>
      </c>
      <c r="K542">
        <v>2</v>
      </c>
      <c r="L542">
        <v>5</v>
      </c>
      <c r="M542" t="s">
        <v>30</v>
      </c>
      <c r="N542">
        <v>2006</v>
      </c>
      <c r="O542">
        <v>2</v>
      </c>
      <c r="P542">
        <v>4</v>
      </c>
      <c r="Q542" t="s">
        <v>86</v>
      </c>
      <c r="R542" t="s">
        <v>1407</v>
      </c>
      <c r="S542" t="s">
        <v>33</v>
      </c>
      <c r="T542" t="s">
        <v>1408</v>
      </c>
    </row>
    <row r="543" spans="1:20" ht="16.5" x14ac:dyDescent="0.45">
      <c r="A543">
        <v>1542</v>
      </c>
      <c r="B543" t="s">
        <v>1409</v>
      </c>
      <c r="C543" t="s">
        <v>47</v>
      </c>
      <c r="D543" t="s">
        <v>21</v>
      </c>
      <c r="E543">
        <v>695182</v>
      </c>
      <c r="F543" s="1">
        <v>45337</v>
      </c>
      <c r="G543" s="1"/>
      <c r="I543">
        <v>2061</v>
      </c>
      <c r="K543">
        <v>4</v>
      </c>
      <c r="L543">
        <v>2</v>
      </c>
      <c r="M543" t="s">
        <v>30</v>
      </c>
      <c r="N543">
        <v>2006</v>
      </c>
      <c r="O543">
        <v>8</v>
      </c>
      <c r="P543">
        <v>3</v>
      </c>
      <c r="Q543" t="s">
        <v>93</v>
      </c>
      <c r="R543" t="s">
        <v>1410</v>
      </c>
      <c r="S543" t="s">
        <v>33</v>
      </c>
      <c r="T543" t="s">
        <v>70</v>
      </c>
    </row>
    <row r="544" spans="1:20" ht="16.5" x14ac:dyDescent="0.45">
      <c r="A544">
        <v>1543</v>
      </c>
      <c r="B544" t="s">
        <v>1411</v>
      </c>
      <c r="C544" t="s">
        <v>36</v>
      </c>
      <c r="D544" t="s">
        <v>42</v>
      </c>
      <c r="E544">
        <v>833732</v>
      </c>
      <c r="F544" s="1">
        <v>45550</v>
      </c>
      <c r="G544" s="1">
        <v>45329</v>
      </c>
      <c r="H544">
        <v>853207</v>
      </c>
      <c r="I544">
        <v>2132</v>
      </c>
      <c r="J544" s="5">
        <v>1819037324</v>
      </c>
      <c r="K544">
        <v>2</v>
      </c>
      <c r="L544">
        <v>5</v>
      </c>
      <c r="M544" t="s">
        <v>30</v>
      </c>
      <c r="N544">
        <v>2012</v>
      </c>
      <c r="O544">
        <v>5</v>
      </c>
      <c r="P544">
        <v>4</v>
      </c>
      <c r="Q544" t="s">
        <v>58</v>
      </c>
      <c r="R544" t="s">
        <v>877</v>
      </c>
      <c r="S544" t="s">
        <v>25</v>
      </c>
      <c r="T544" t="s">
        <v>1412</v>
      </c>
    </row>
    <row r="545" spans="1:20" ht="16.5" x14ac:dyDescent="0.45">
      <c r="A545">
        <v>1544</v>
      </c>
      <c r="B545" t="s">
        <v>1413</v>
      </c>
      <c r="C545" t="s">
        <v>28</v>
      </c>
      <c r="D545" t="s">
        <v>42</v>
      </c>
      <c r="E545">
        <v>488481</v>
      </c>
      <c r="F545" s="1">
        <v>45409</v>
      </c>
      <c r="G545" s="1"/>
      <c r="I545">
        <v>2892</v>
      </c>
      <c r="K545">
        <v>5</v>
      </c>
      <c r="L545">
        <v>2</v>
      </c>
      <c r="M545" t="s">
        <v>37</v>
      </c>
      <c r="N545">
        <v>2011</v>
      </c>
      <c r="O545">
        <v>6</v>
      </c>
      <c r="P545">
        <v>1</v>
      </c>
      <c r="Q545" t="s">
        <v>38</v>
      </c>
      <c r="R545" t="s">
        <v>1414</v>
      </c>
      <c r="S545" t="s">
        <v>33</v>
      </c>
      <c r="T545" t="s">
        <v>1415</v>
      </c>
    </row>
    <row r="546" spans="1:20" ht="16.5" x14ac:dyDescent="0.45">
      <c r="A546">
        <v>1545</v>
      </c>
      <c r="B546" t="s">
        <v>1416</v>
      </c>
      <c r="C546" t="s">
        <v>51</v>
      </c>
      <c r="D546" t="s">
        <v>21</v>
      </c>
      <c r="E546">
        <v>594984</v>
      </c>
      <c r="F546" s="1">
        <v>45443</v>
      </c>
      <c r="G546" s="1"/>
      <c r="I546">
        <v>4937</v>
      </c>
      <c r="K546">
        <v>3</v>
      </c>
      <c r="L546">
        <v>5</v>
      </c>
      <c r="M546" t="s">
        <v>30</v>
      </c>
      <c r="N546">
        <v>2017</v>
      </c>
      <c r="O546">
        <v>10</v>
      </c>
      <c r="P546">
        <v>4</v>
      </c>
      <c r="Q546" t="s">
        <v>23</v>
      </c>
      <c r="R546" t="s">
        <v>1417</v>
      </c>
      <c r="S546" t="s">
        <v>33</v>
      </c>
      <c r="T546" t="s">
        <v>73</v>
      </c>
    </row>
    <row r="547" spans="1:20" ht="16.5" x14ac:dyDescent="0.45">
      <c r="A547">
        <v>1546</v>
      </c>
      <c r="B547" t="s">
        <v>1418</v>
      </c>
      <c r="C547" t="s">
        <v>47</v>
      </c>
      <c r="D547" t="s">
        <v>21</v>
      </c>
      <c r="E547">
        <v>349372</v>
      </c>
      <c r="F547" s="1">
        <v>45562</v>
      </c>
      <c r="G547" s="1">
        <v>45540</v>
      </c>
      <c r="H547">
        <v>390116</v>
      </c>
      <c r="I547">
        <v>1268</v>
      </c>
      <c r="J547" s="5">
        <v>494667088</v>
      </c>
      <c r="K547">
        <v>4</v>
      </c>
      <c r="L547">
        <v>2</v>
      </c>
      <c r="M547" t="s">
        <v>30</v>
      </c>
      <c r="N547">
        <v>2007</v>
      </c>
      <c r="O547">
        <v>1</v>
      </c>
      <c r="P547">
        <v>1</v>
      </c>
      <c r="Q547" t="s">
        <v>23</v>
      </c>
      <c r="R547" t="s">
        <v>1419</v>
      </c>
      <c r="S547" t="s">
        <v>25</v>
      </c>
      <c r="T547" t="s">
        <v>107</v>
      </c>
    </row>
    <row r="548" spans="1:20" ht="16.5" x14ac:dyDescent="0.45">
      <c r="A548">
        <v>1547</v>
      </c>
      <c r="B548" t="s">
        <v>1420</v>
      </c>
      <c r="C548" t="s">
        <v>28</v>
      </c>
      <c r="D548" t="s">
        <v>42</v>
      </c>
      <c r="E548">
        <v>555326</v>
      </c>
      <c r="F548" s="1">
        <v>45401</v>
      </c>
      <c r="G548" s="1"/>
      <c r="I548">
        <v>4295</v>
      </c>
      <c r="K548">
        <v>5</v>
      </c>
      <c r="L548">
        <v>5</v>
      </c>
      <c r="M548" t="s">
        <v>30</v>
      </c>
      <c r="N548">
        <v>2004</v>
      </c>
      <c r="O548">
        <v>9</v>
      </c>
      <c r="P548">
        <v>2</v>
      </c>
      <c r="Q548" t="s">
        <v>132</v>
      </c>
      <c r="R548" t="s">
        <v>1421</v>
      </c>
      <c r="S548" t="s">
        <v>33</v>
      </c>
      <c r="T548" t="s">
        <v>388</v>
      </c>
    </row>
    <row r="549" spans="1:20" ht="16.5" x14ac:dyDescent="0.45">
      <c r="A549">
        <v>1548</v>
      </c>
      <c r="B549" t="s">
        <v>1422</v>
      </c>
      <c r="C549" t="s">
        <v>36</v>
      </c>
      <c r="D549" t="s">
        <v>21</v>
      </c>
      <c r="E549">
        <v>319230</v>
      </c>
      <c r="F549" s="1">
        <v>45425</v>
      </c>
      <c r="G549" s="1"/>
      <c r="I549">
        <v>2401</v>
      </c>
      <c r="K549">
        <v>4</v>
      </c>
      <c r="L549">
        <v>4</v>
      </c>
      <c r="M549" t="s">
        <v>37</v>
      </c>
      <c r="N549">
        <v>2013</v>
      </c>
      <c r="O549">
        <v>3</v>
      </c>
      <c r="P549">
        <v>1</v>
      </c>
      <c r="Q549" t="s">
        <v>43</v>
      </c>
      <c r="R549" t="s">
        <v>1423</v>
      </c>
      <c r="S549" t="s">
        <v>33</v>
      </c>
      <c r="T549" t="s">
        <v>122</v>
      </c>
    </row>
    <row r="550" spans="1:20" ht="16.5" x14ac:dyDescent="0.45">
      <c r="A550">
        <v>1549</v>
      </c>
      <c r="B550" t="s">
        <v>1424</v>
      </c>
      <c r="C550" t="s">
        <v>20</v>
      </c>
      <c r="D550" t="s">
        <v>29</v>
      </c>
      <c r="E550">
        <v>514961</v>
      </c>
      <c r="F550" s="1">
        <v>45282</v>
      </c>
      <c r="G550" s="1">
        <v>45434</v>
      </c>
      <c r="H550">
        <v>530164</v>
      </c>
      <c r="I550">
        <v>4799</v>
      </c>
      <c r="J550" s="5">
        <v>2544257036</v>
      </c>
      <c r="K550">
        <v>4</v>
      </c>
      <c r="L550">
        <v>2</v>
      </c>
      <c r="M550" t="s">
        <v>62</v>
      </c>
      <c r="N550">
        <v>2014</v>
      </c>
      <c r="O550">
        <v>2</v>
      </c>
      <c r="P550">
        <v>1</v>
      </c>
      <c r="Q550" t="s">
        <v>38</v>
      </c>
      <c r="R550" t="s">
        <v>1425</v>
      </c>
      <c r="S550" t="s">
        <v>25</v>
      </c>
      <c r="T550" t="s">
        <v>1426</v>
      </c>
    </row>
    <row r="551" spans="1:20" ht="16.5" x14ac:dyDescent="0.45">
      <c r="A551">
        <v>1550</v>
      </c>
      <c r="B551" t="s">
        <v>1427</v>
      </c>
      <c r="C551" t="s">
        <v>36</v>
      </c>
      <c r="D551" t="s">
        <v>21</v>
      </c>
      <c r="E551">
        <v>574742</v>
      </c>
      <c r="F551" s="1">
        <v>45457</v>
      </c>
      <c r="G551" s="1">
        <v>45289</v>
      </c>
      <c r="H551">
        <v>592104</v>
      </c>
      <c r="I551">
        <v>3845</v>
      </c>
      <c r="J551" s="5">
        <v>2276639880</v>
      </c>
      <c r="K551">
        <v>2</v>
      </c>
      <c r="L551">
        <v>3</v>
      </c>
      <c r="M551" t="s">
        <v>22</v>
      </c>
      <c r="N551">
        <v>2021</v>
      </c>
      <c r="P551">
        <v>2</v>
      </c>
      <c r="Q551" t="s">
        <v>132</v>
      </c>
      <c r="R551" t="s">
        <v>1428</v>
      </c>
      <c r="S551" t="s">
        <v>25</v>
      </c>
      <c r="T551" t="s">
        <v>70</v>
      </c>
    </row>
    <row r="552" spans="1:20" ht="16.5" x14ac:dyDescent="0.45">
      <c r="A552">
        <v>1551</v>
      </c>
      <c r="B552" t="s">
        <v>1429</v>
      </c>
      <c r="C552" t="s">
        <v>28</v>
      </c>
      <c r="D552" t="s">
        <v>29</v>
      </c>
      <c r="E552">
        <v>829243</v>
      </c>
      <c r="F552" s="1">
        <v>45510</v>
      </c>
      <c r="G552" s="1">
        <v>45301</v>
      </c>
      <c r="H552">
        <v>861633</v>
      </c>
      <c r="I552">
        <v>1582</v>
      </c>
      <c r="J552" s="5">
        <v>1363103406</v>
      </c>
      <c r="K552">
        <v>2</v>
      </c>
      <c r="L552">
        <v>2</v>
      </c>
      <c r="M552" t="s">
        <v>30</v>
      </c>
      <c r="N552">
        <v>2004</v>
      </c>
      <c r="O552">
        <v>6</v>
      </c>
      <c r="P552">
        <v>1</v>
      </c>
      <c r="Q552" t="s">
        <v>58</v>
      </c>
      <c r="R552" t="s">
        <v>1430</v>
      </c>
      <c r="S552" t="s">
        <v>25</v>
      </c>
      <c r="T552" t="s">
        <v>1431</v>
      </c>
    </row>
    <row r="553" spans="1:20" ht="16.5" x14ac:dyDescent="0.45">
      <c r="A553">
        <v>1552</v>
      </c>
      <c r="B553" t="s">
        <v>1432</v>
      </c>
      <c r="C553" t="s">
        <v>47</v>
      </c>
      <c r="D553" t="s">
        <v>42</v>
      </c>
      <c r="E553">
        <v>543408</v>
      </c>
      <c r="F553" s="1">
        <v>45430</v>
      </c>
      <c r="G553" s="1"/>
      <c r="I553">
        <v>4035</v>
      </c>
      <c r="K553">
        <v>4</v>
      </c>
      <c r="L553">
        <v>5</v>
      </c>
      <c r="M553" t="s">
        <v>30</v>
      </c>
      <c r="N553">
        <v>2015</v>
      </c>
      <c r="O553">
        <v>5</v>
      </c>
      <c r="P553">
        <v>1</v>
      </c>
      <c r="Q553" t="s">
        <v>58</v>
      </c>
      <c r="R553" t="s">
        <v>1433</v>
      </c>
      <c r="S553" t="s">
        <v>33</v>
      </c>
      <c r="T553" t="s">
        <v>77</v>
      </c>
    </row>
    <row r="554" spans="1:20" ht="16.5" x14ac:dyDescent="0.45">
      <c r="A554">
        <v>1553</v>
      </c>
      <c r="B554" t="s">
        <v>1434</v>
      </c>
      <c r="C554" t="s">
        <v>20</v>
      </c>
      <c r="D554" t="s">
        <v>21</v>
      </c>
      <c r="E554">
        <v>341649</v>
      </c>
      <c r="F554" s="1">
        <v>45633</v>
      </c>
      <c r="G554" s="1">
        <v>45489</v>
      </c>
      <c r="H554">
        <v>370034</v>
      </c>
      <c r="I554">
        <v>4325</v>
      </c>
      <c r="J554" s="5">
        <v>1600397050</v>
      </c>
      <c r="K554">
        <v>4</v>
      </c>
      <c r="L554">
        <v>2</v>
      </c>
      <c r="M554" t="s">
        <v>37</v>
      </c>
      <c r="N554">
        <v>2017</v>
      </c>
      <c r="O554">
        <v>5</v>
      </c>
      <c r="P554">
        <v>1</v>
      </c>
      <c r="Q554" t="s">
        <v>75</v>
      </c>
      <c r="R554" t="s">
        <v>1435</v>
      </c>
      <c r="S554" t="s">
        <v>25</v>
      </c>
      <c r="T554" t="s">
        <v>1436</v>
      </c>
    </row>
    <row r="555" spans="1:20" ht="16.5" x14ac:dyDescent="0.45">
      <c r="A555">
        <v>1554</v>
      </c>
      <c r="B555" t="s">
        <v>1437</v>
      </c>
      <c r="C555" t="s">
        <v>36</v>
      </c>
      <c r="D555" t="s">
        <v>42</v>
      </c>
      <c r="E555">
        <v>317740</v>
      </c>
      <c r="F555" s="1">
        <v>45518</v>
      </c>
      <c r="G555" s="1">
        <v>45484</v>
      </c>
      <c r="H555">
        <v>350192</v>
      </c>
      <c r="I555">
        <v>1538</v>
      </c>
      <c r="J555" s="5">
        <v>538595296</v>
      </c>
      <c r="K555">
        <v>5</v>
      </c>
      <c r="L555">
        <v>3</v>
      </c>
      <c r="M555" t="s">
        <v>30</v>
      </c>
      <c r="N555">
        <v>2006</v>
      </c>
      <c r="O555">
        <v>2</v>
      </c>
      <c r="P555">
        <v>3</v>
      </c>
      <c r="Q555" t="s">
        <v>58</v>
      </c>
      <c r="R555" t="s">
        <v>1438</v>
      </c>
      <c r="S555" t="s">
        <v>25</v>
      </c>
      <c r="T555" t="s">
        <v>172</v>
      </c>
    </row>
    <row r="556" spans="1:20" ht="16.5" x14ac:dyDescent="0.45">
      <c r="A556">
        <v>1555</v>
      </c>
      <c r="B556" t="s">
        <v>1439</v>
      </c>
      <c r="C556" t="s">
        <v>47</v>
      </c>
      <c r="D556" t="s">
        <v>42</v>
      </c>
      <c r="E556">
        <v>581119</v>
      </c>
      <c r="F556" s="1">
        <v>45352</v>
      </c>
      <c r="G556" s="1">
        <v>45483</v>
      </c>
      <c r="H556">
        <v>618501</v>
      </c>
      <c r="I556">
        <v>2638</v>
      </c>
      <c r="J556" s="5">
        <v>1631605638</v>
      </c>
      <c r="K556">
        <v>4</v>
      </c>
      <c r="L556">
        <v>2</v>
      </c>
      <c r="M556" t="s">
        <v>37</v>
      </c>
      <c r="N556">
        <v>2017</v>
      </c>
      <c r="O556">
        <v>6</v>
      </c>
      <c r="P556">
        <v>1</v>
      </c>
      <c r="Q556" t="s">
        <v>86</v>
      </c>
      <c r="R556" t="s">
        <v>1440</v>
      </c>
      <c r="S556" t="s">
        <v>25</v>
      </c>
      <c r="T556" t="s">
        <v>1441</v>
      </c>
    </row>
    <row r="557" spans="1:20" ht="16.5" x14ac:dyDescent="0.45">
      <c r="A557">
        <v>1556</v>
      </c>
      <c r="B557" t="s">
        <v>1442</v>
      </c>
      <c r="C557" t="s">
        <v>20</v>
      </c>
      <c r="D557" t="s">
        <v>42</v>
      </c>
      <c r="E557">
        <v>929715</v>
      </c>
      <c r="F557" s="1">
        <v>45535</v>
      </c>
      <c r="G557" s="1">
        <v>45383</v>
      </c>
      <c r="H557">
        <v>963710</v>
      </c>
      <c r="I557">
        <v>3359</v>
      </c>
      <c r="J557" s="5">
        <v>3237101890</v>
      </c>
      <c r="K557">
        <v>2</v>
      </c>
      <c r="L557">
        <v>3</v>
      </c>
      <c r="M557" t="s">
        <v>22</v>
      </c>
      <c r="N557">
        <v>2013</v>
      </c>
      <c r="P557">
        <v>2</v>
      </c>
      <c r="Q557" t="s">
        <v>93</v>
      </c>
      <c r="R557" t="s">
        <v>1443</v>
      </c>
      <c r="S557" t="s">
        <v>25</v>
      </c>
      <c r="T557" t="s">
        <v>1444</v>
      </c>
    </row>
    <row r="558" spans="1:20" ht="16.5" x14ac:dyDescent="0.45">
      <c r="A558">
        <v>1557</v>
      </c>
      <c r="B558" t="s">
        <v>1445</v>
      </c>
      <c r="C558" t="s">
        <v>36</v>
      </c>
      <c r="D558" t="s">
        <v>29</v>
      </c>
      <c r="E558">
        <v>707269</v>
      </c>
      <c r="F558" s="1">
        <v>45433</v>
      </c>
      <c r="G558" s="1"/>
      <c r="I558">
        <v>4225</v>
      </c>
      <c r="K558">
        <v>5</v>
      </c>
      <c r="L558">
        <v>2</v>
      </c>
      <c r="M558" t="s">
        <v>30</v>
      </c>
      <c r="N558">
        <v>2010</v>
      </c>
      <c r="O558">
        <v>8</v>
      </c>
      <c r="P558">
        <v>1</v>
      </c>
      <c r="Q558" t="s">
        <v>43</v>
      </c>
      <c r="R558" t="s">
        <v>1446</v>
      </c>
      <c r="S558" t="s">
        <v>33</v>
      </c>
      <c r="T558" t="s">
        <v>158</v>
      </c>
    </row>
    <row r="559" spans="1:20" ht="16.5" x14ac:dyDescent="0.45">
      <c r="A559">
        <v>1558</v>
      </c>
      <c r="B559" t="s">
        <v>1447</v>
      </c>
      <c r="C559" t="s">
        <v>36</v>
      </c>
      <c r="D559" t="s">
        <v>29</v>
      </c>
      <c r="E559">
        <v>596531</v>
      </c>
      <c r="F559" s="1">
        <v>45280</v>
      </c>
      <c r="G559" s="1"/>
      <c r="I559">
        <v>3388</v>
      </c>
      <c r="K559">
        <v>4</v>
      </c>
      <c r="L559">
        <v>4</v>
      </c>
      <c r="M559" t="s">
        <v>30</v>
      </c>
      <c r="N559">
        <v>2023</v>
      </c>
      <c r="O559">
        <v>4</v>
      </c>
      <c r="P559">
        <v>3</v>
      </c>
      <c r="Q559" t="s">
        <v>23</v>
      </c>
      <c r="R559" t="s">
        <v>1448</v>
      </c>
      <c r="S559" t="s">
        <v>33</v>
      </c>
      <c r="T559" t="s">
        <v>1449</v>
      </c>
    </row>
    <row r="560" spans="1:20" ht="16.5" x14ac:dyDescent="0.45">
      <c r="A560">
        <v>1559</v>
      </c>
      <c r="B560" t="s">
        <v>1450</v>
      </c>
      <c r="C560" t="s">
        <v>47</v>
      </c>
      <c r="D560" t="s">
        <v>29</v>
      </c>
      <c r="E560">
        <v>302030</v>
      </c>
      <c r="F560" s="1">
        <v>45395</v>
      </c>
      <c r="G560" s="1"/>
      <c r="I560">
        <v>1799</v>
      </c>
      <c r="K560">
        <v>6</v>
      </c>
      <c r="L560">
        <v>4</v>
      </c>
      <c r="M560" t="s">
        <v>30</v>
      </c>
      <c r="N560">
        <v>2011</v>
      </c>
      <c r="O560">
        <v>1</v>
      </c>
      <c r="P560">
        <v>4</v>
      </c>
      <c r="Q560" t="s">
        <v>162</v>
      </c>
      <c r="R560" t="s">
        <v>1451</v>
      </c>
      <c r="S560" t="s">
        <v>33</v>
      </c>
      <c r="T560" t="s">
        <v>137</v>
      </c>
    </row>
    <row r="561" spans="1:20" ht="16.5" x14ac:dyDescent="0.45">
      <c r="A561">
        <v>1560</v>
      </c>
      <c r="B561" t="s">
        <v>1452</v>
      </c>
      <c r="C561" t="s">
        <v>47</v>
      </c>
      <c r="D561" t="s">
        <v>29</v>
      </c>
      <c r="E561">
        <v>719170</v>
      </c>
      <c r="F561" s="1">
        <v>45566</v>
      </c>
      <c r="G561" s="1">
        <v>45290</v>
      </c>
      <c r="H561">
        <v>765745</v>
      </c>
      <c r="I561">
        <v>3493</v>
      </c>
      <c r="J561" s="5">
        <v>2674747285</v>
      </c>
      <c r="K561">
        <v>4</v>
      </c>
      <c r="L561">
        <v>3</v>
      </c>
      <c r="M561" t="s">
        <v>22</v>
      </c>
      <c r="N561">
        <v>2014</v>
      </c>
      <c r="P561">
        <v>4</v>
      </c>
      <c r="Q561" t="s">
        <v>86</v>
      </c>
      <c r="R561" t="s">
        <v>1453</v>
      </c>
      <c r="S561" t="s">
        <v>25</v>
      </c>
      <c r="T561" t="s">
        <v>1454</v>
      </c>
    </row>
    <row r="562" spans="1:20" ht="16.5" x14ac:dyDescent="0.45">
      <c r="A562">
        <v>1561</v>
      </c>
      <c r="B562" t="s">
        <v>1455</v>
      </c>
      <c r="C562" t="s">
        <v>36</v>
      </c>
      <c r="D562" t="s">
        <v>42</v>
      </c>
      <c r="E562">
        <v>458107</v>
      </c>
      <c r="F562" s="1">
        <v>45448</v>
      </c>
      <c r="G562" s="1">
        <v>45327</v>
      </c>
      <c r="H562">
        <v>499713</v>
      </c>
      <c r="I562">
        <v>3204</v>
      </c>
      <c r="J562" s="5">
        <v>1601080452</v>
      </c>
      <c r="K562">
        <v>5</v>
      </c>
      <c r="L562">
        <v>3</v>
      </c>
      <c r="M562" t="s">
        <v>37</v>
      </c>
      <c r="N562">
        <v>2011</v>
      </c>
      <c r="O562">
        <v>7</v>
      </c>
      <c r="P562">
        <v>4</v>
      </c>
      <c r="Q562" t="s">
        <v>86</v>
      </c>
      <c r="R562" t="s">
        <v>1456</v>
      </c>
      <c r="S562" t="s">
        <v>25</v>
      </c>
      <c r="T562" t="s">
        <v>91</v>
      </c>
    </row>
    <row r="563" spans="1:20" ht="16.5" x14ac:dyDescent="0.45">
      <c r="A563">
        <v>1562</v>
      </c>
      <c r="B563" t="s">
        <v>1457</v>
      </c>
      <c r="C563" t="s">
        <v>36</v>
      </c>
      <c r="D563" t="s">
        <v>29</v>
      </c>
      <c r="E563">
        <v>639330</v>
      </c>
      <c r="F563" s="1">
        <v>45385</v>
      </c>
      <c r="G563" s="1">
        <v>45432</v>
      </c>
      <c r="H563">
        <v>669646</v>
      </c>
      <c r="I563">
        <v>3025</v>
      </c>
      <c r="J563" s="5">
        <v>2025679150</v>
      </c>
      <c r="K563">
        <v>2</v>
      </c>
      <c r="L563">
        <v>5</v>
      </c>
      <c r="M563" t="s">
        <v>22</v>
      </c>
      <c r="N563">
        <v>2020</v>
      </c>
      <c r="P563">
        <v>3</v>
      </c>
      <c r="Q563" t="s">
        <v>58</v>
      </c>
      <c r="R563" t="s">
        <v>1458</v>
      </c>
      <c r="S563" t="s">
        <v>25</v>
      </c>
      <c r="T563" t="s">
        <v>955</v>
      </c>
    </row>
    <row r="564" spans="1:20" ht="16.5" x14ac:dyDescent="0.45">
      <c r="A564">
        <v>1563</v>
      </c>
      <c r="B564" t="s">
        <v>1459</v>
      </c>
      <c r="C564" t="s">
        <v>20</v>
      </c>
      <c r="D564" t="s">
        <v>29</v>
      </c>
      <c r="E564">
        <v>324861</v>
      </c>
      <c r="F564" s="1">
        <v>45539</v>
      </c>
      <c r="G564" s="1"/>
      <c r="I564">
        <v>2922</v>
      </c>
      <c r="K564">
        <v>4</v>
      </c>
      <c r="L564">
        <v>4</v>
      </c>
      <c r="M564" t="s">
        <v>62</v>
      </c>
      <c r="N564">
        <v>2018</v>
      </c>
      <c r="O564">
        <v>4</v>
      </c>
      <c r="P564">
        <v>1</v>
      </c>
      <c r="Q564" t="s">
        <v>23</v>
      </c>
      <c r="R564" t="s">
        <v>1460</v>
      </c>
      <c r="S564" t="s">
        <v>33</v>
      </c>
      <c r="T564" t="s">
        <v>1461</v>
      </c>
    </row>
    <row r="565" spans="1:20" ht="16.5" x14ac:dyDescent="0.45">
      <c r="A565">
        <v>1564</v>
      </c>
      <c r="B565" t="s">
        <v>1462</v>
      </c>
      <c r="C565" t="s">
        <v>51</v>
      </c>
      <c r="D565" t="s">
        <v>29</v>
      </c>
      <c r="E565">
        <v>685143</v>
      </c>
      <c r="F565" s="1">
        <v>45285</v>
      </c>
      <c r="G565" s="1">
        <v>45408</v>
      </c>
      <c r="H565">
        <v>701264</v>
      </c>
      <c r="I565">
        <v>4746</v>
      </c>
      <c r="J565" s="5">
        <v>3328198944</v>
      </c>
      <c r="K565">
        <v>4</v>
      </c>
      <c r="L565">
        <v>4</v>
      </c>
      <c r="M565" t="s">
        <v>62</v>
      </c>
      <c r="N565">
        <v>2005</v>
      </c>
      <c r="O565">
        <v>1</v>
      </c>
      <c r="P565">
        <v>2</v>
      </c>
      <c r="Q565" t="s">
        <v>132</v>
      </c>
      <c r="R565" t="s">
        <v>1463</v>
      </c>
      <c r="S565" t="s">
        <v>25</v>
      </c>
      <c r="T565" t="s">
        <v>284</v>
      </c>
    </row>
    <row r="566" spans="1:20" ht="16.5" x14ac:dyDescent="0.45">
      <c r="A566">
        <v>1565</v>
      </c>
      <c r="B566" t="s">
        <v>1464</v>
      </c>
      <c r="C566" t="s">
        <v>51</v>
      </c>
      <c r="D566" t="s">
        <v>42</v>
      </c>
      <c r="E566">
        <v>644744</v>
      </c>
      <c r="F566" s="1">
        <v>45635</v>
      </c>
      <c r="G566" s="1"/>
      <c r="I566">
        <v>1774</v>
      </c>
      <c r="K566">
        <v>5</v>
      </c>
      <c r="L566">
        <v>3</v>
      </c>
      <c r="M566" t="s">
        <v>30</v>
      </c>
      <c r="N566">
        <v>2008</v>
      </c>
      <c r="O566">
        <v>10</v>
      </c>
      <c r="P566">
        <v>2</v>
      </c>
      <c r="Q566" t="s">
        <v>132</v>
      </c>
      <c r="R566" t="s">
        <v>1465</v>
      </c>
      <c r="S566" t="s">
        <v>33</v>
      </c>
      <c r="T566" t="s">
        <v>1062</v>
      </c>
    </row>
    <row r="567" spans="1:20" ht="16.5" x14ac:dyDescent="0.45">
      <c r="A567">
        <v>1566</v>
      </c>
      <c r="B567" t="s">
        <v>1466</v>
      </c>
      <c r="C567" t="s">
        <v>28</v>
      </c>
      <c r="D567" t="s">
        <v>42</v>
      </c>
      <c r="E567">
        <v>522356</v>
      </c>
      <c r="F567" s="1">
        <v>45521</v>
      </c>
      <c r="G567" s="1"/>
      <c r="I567">
        <v>2645</v>
      </c>
      <c r="K567">
        <v>6</v>
      </c>
      <c r="L567">
        <v>4</v>
      </c>
      <c r="M567" t="s">
        <v>30</v>
      </c>
      <c r="N567">
        <v>2002</v>
      </c>
      <c r="O567">
        <v>7</v>
      </c>
      <c r="P567">
        <v>2</v>
      </c>
      <c r="Q567" t="s">
        <v>132</v>
      </c>
      <c r="R567" t="s">
        <v>1467</v>
      </c>
      <c r="S567" t="s">
        <v>33</v>
      </c>
      <c r="T567" t="s">
        <v>40</v>
      </c>
    </row>
    <row r="568" spans="1:20" ht="16.5" x14ac:dyDescent="0.45">
      <c r="A568">
        <v>1567</v>
      </c>
      <c r="B568" t="s">
        <v>1468</v>
      </c>
      <c r="C568" t="s">
        <v>47</v>
      </c>
      <c r="D568" t="s">
        <v>29</v>
      </c>
      <c r="E568">
        <v>696994</v>
      </c>
      <c r="F568" s="1">
        <v>45442</v>
      </c>
      <c r="G568" s="1">
        <v>45565</v>
      </c>
      <c r="H568">
        <v>743988</v>
      </c>
      <c r="I568">
        <v>4547</v>
      </c>
      <c r="J568" s="5">
        <v>3382913436</v>
      </c>
      <c r="K568">
        <v>2</v>
      </c>
      <c r="L568">
        <v>5</v>
      </c>
      <c r="M568" t="s">
        <v>37</v>
      </c>
      <c r="N568">
        <v>2013</v>
      </c>
      <c r="O568">
        <v>4</v>
      </c>
      <c r="P568">
        <v>2</v>
      </c>
      <c r="Q568" t="s">
        <v>38</v>
      </c>
      <c r="R568" t="s">
        <v>1469</v>
      </c>
      <c r="S568" t="s">
        <v>25</v>
      </c>
      <c r="T568" t="s">
        <v>866</v>
      </c>
    </row>
    <row r="569" spans="1:20" ht="16.5" x14ac:dyDescent="0.45">
      <c r="A569">
        <v>1568</v>
      </c>
      <c r="B569" t="s">
        <v>1470</v>
      </c>
      <c r="C569" t="s">
        <v>36</v>
      </c>
      <c r="D569" t="s">
        <v>29</v>
      </c>
      <c r="E569">
        <v>865142</v>
      </c>
      <c r="F569" s="1">
        <v>45588</v>
      </c>
      <c r="G569" s="1"/>
      <c r="I569">
        <v>4423</v>
      </c>
      <c r="K569">
        <v>5</v>
      </c>
      <c r="L569">
        <v>2</v>
      </c>
      <c r="M569" t="s">
        <v>22</v>
      </c>
      <c r="N569">
        <v>2007</v>
      </c>
      <c r="P569">
        <v>1</v>
      </c>
      <c r="Q569" t="s">
        <v>38</v>
      </c>
      <c r="R569" t="s">
        <v>1471</v>
      </c>
      <c r="S569" t="s">
        <v>33</v>
      </c>
      <c r="T569" t="s">
        <v>91</v>
      </c>
    </row>
    <row r="570" spans="1:20" ht="16.5" x14ac:dyDescent="0.45">
      <c r="A570">
        <v>1569</v>
      </c>
      <c r="B570" t="s">
        <v>1472</v>
      </c>
      <c r="C570" t="s">
        <v>28</v>
      </c>
      <c r="D570" t="s">
        <v>42</v>
      </c>
      <c r="E570">
        <v>638651</v>
      </c>
      <c r="F570" s="1">
        <v>45596</v>
      </c>
      <c r="G570" s="1">
        <v>45555</v>
      </c>
      <c r="H570">
        <v>678510</v>
      </c>
      <c r="I570">
        <v>2836</v>
      </c>
      <c r="J570" s="5">
        <v>1924254360</v>
      </c>
      <c r="K570">
        <v>2</v>
      </c>
      <c r="L570">
        <v>2</v>
      </c>
      <c r="M570" t="s">
        <v>37</v>
      </c>
      <c r="N570">
        <v>2013</v>
      </c>
      <c r="O570">
        <v>5</v>
      </c>
      <c r="P570">
        <v>3</v>
      </c>
      <c r="Q570" t="s">
        <v>38</v>
      </c>
      <c r="R570" t="s">
        <v>1473</v>
      </c>
      <c r="S570" t="s">
        <v>25</v>
      </c>
      <c r="T570" t="s">
        <v>1474</v>
      </c>
    </row>
    <row r="571" spans="1:20" ht="16.5" x14ac:dyDescent="0.45">
      <c r="A571">
        <v>1570</v>
      </c>
      <c r="B571" t="s">
        <v>1475</v>
      </c>
      <c r="C571" t="s">
        <v>51</v>
      </c>
      <c r="D571" t="s">
        <v>29</v>
      </c>
      <c r="E571">
        <v>344980</v>
      </c>
      <c r="F571" s="1">
        <v>45447</v>
      </c>
      <c r="G571" s="1"/>
      <c r="I571">
        <v>1930</v>
      </c>
      <c r="K571">
        <v>4</v>
      </c>
      <c r="L571">
        <v>4</v>
      </c>
      <c r="M571" t="s">
        <v>22</v>
      </c>
      <c r="N571">
        <v>2006</v>
      </c>
      <c r="P571">
        <v>2</v>
      </c>
      <c r="Q571" t="s">
        <v>58</v>
      </c>
      <c r="R571" t="s">
        <v>1476</v>
      </c>
      <c r="S571" t="s">
        <v>33</v>
      </c>
      <c r="T571" t="s">
        <v>1477</v>
      </c>
    </row>
    <row r="572" spans="1:20" ht="16.5" x14ac:dyDescent="0.45">
      <c r="A572">
        <v>1571</v>
      </c>
      <c r="B572" t="s">
        <v>1478</v>
      </c>
      <c r="C572" t="s">
        <v>36</v>
      </c>
      <c r="D572" t="s">
        <v>29</v>
      </c>
      <c r="E572">
        <v>674300</v>
      </c>
      <c r="F572" s="1">
        <v>45459</v>
      </c>
      <c r="G572" s="1"/>
      <c r="I572">
        <v>1702</v>
      </c>
      <c r="K572">
        <v>4</v>
      </c>
      <c r="L572">
        <v>2</v>
      </c>
      <c r="M572" t="s">
        <v>62</v>
      </c>
      <c r="N572">
        <v>2002</v>
      </c>
      <c r="O572">
        <v>10</v>
      </c>
      <c r="P572">
        <v>4</v>
      </c>
      <c r="Q572" t="s">
        <v>93</v>
      </c>
      <c r="R572" t="s">
        <v>1479</v>
      </c>
      <c r="S572" t="s">
        <v>33</v>
      </c>
      <c r="T572" t="s">
        <v>515</v>
      </c>
    </row>
    <row r="573" spans="1:20" ht="16.5" x14ac:dyDescent="0.45">
      <c r="A573">
        <v>1572</v>
      </c>
      <c r="B573" t="s">
        <v>1480</v>
      </c>
      <c r="C573" t="s">
        <v>20</v>
      </c>
      <c r="D573" t="s">
        <v>29</v>
      </c>
      <c r="E573">
        <v>829265</v>
      </c>
      <c r="F573" s="1">
        <v>45461</v>
      </c>
      <c r="G573" s="1"/>
      <c r="I573">
        <v>4389</v>
      </c>
      <c r="K573">
        <v>4</v>
      </c>
      <c r="L573">
        <v>2</v>
      </c>
      <c r="M573" t="s">
        <v>22</v>
      </c>
      <c r="N573">
        <v>2019</v>
      </c>
      <c r="P573">
        <v>1</v>
      </c>
      <c r="Q573" t="s">
        <v>86</v>
      </c>
      <c r="R573" t="s">
        <v>1481</v>
      </c>
      <c r="S573" t="s">
        <v>33</v>
      </c>
      <c r="T573" t="s">
        <v>1273</v>
      </c>
    </row>
    <row r="574" spans="1:20" ht="16.5" x14ac:dyDescent="0.45">
      <c r="A574">
        <v>1573</v>
      </c>
      <c r="B574" t="s">
        <v>1482</v>
      </c>
      <c r="C574" t="s">
        <v>28</v>
      </c>
      <c r="D574" t="s">
        <v>29</v>
      </c>
      <c r="E574">
        <v>631929</v>
      </c>
      <c r="F574" s="1">
        <v>45447</v>
      </c>
      <c r="G574" s="1"/>
      <c r="I574">
        <v>4530</v>
      </c>
      <c r="K574">
        <v>6</v>
      </c>
      <c r="L574">
        <v>2</v>
      </c>
      <c r="M574" t="s">
        <v>30</v>
      </c>
      <c r="N574">
        <v>2002</v>
      </c>
      <c r="O574">
        <v>1</v>
      </c>
      <c r="P574">
        <v>3</v>
      </c>
      <c r="Q574" t="s">
        <v>23</v>
      </c>
      <c r="R574" t="s">
        <v>1483</v>
      </c>
      <c r="S574" t="s">
        <v>33</v>
      </c>
      <c r="T574" t="s">
        <v>1484</v>
      </c>
    </row>
    <row r="575" spans="1:20" ht="16.5" x14ac:dyDescent="0.45">
      <c r="A575">
        <v>1574</v>
      </c>
      <c r="B575" t="s">
        <v>1485</v>
      </c>
      <c r="C575" t="s">
        <v>51</v>
      </c>
      <c r="D575" t="s">
        <v>21</v>
      </c>
      <c r="E575">
        <v>469003</v>
      </c>
      <c r="F575" s="1">
        <v>45332</v>
      </c>
      <c r="G575" s="1"/>
      <c r="I575">
        <v>4127</v>
      </c>
      <c r="K575">
        <v>3</v>
      </c>
      <c r="L575">
        <v>5</v>
      </c>
      <c r="M575" t="s">
        <v>37</v>
      </c>
      <c r="N575">
        <v>2019</v>
      </c>
      <c r="O575">
        <v>3</v>
      </c>
      <c r="P575">
        <v>1</v>
      </c>
      <c r="Q575" t="s">
        <v>93</v>
      </c>
      <c r="R575" t="s">
        <v>1486</v>
      </c>
      <c r="S575" t="s">
        <v>33</v>
      </c>
      <c r="T575" t="s">
        <v>1487</v>
      </c>
    </row>
    <row r="576" spans="1:20" ht="16.5" x14ac:dyDescent="0.45">
      <c r="A576">
        <v>1575</v>
      </c>
      <c r="B576" t="s">
        <v>1488</v>
      </c>
      <c r="C576" t="s">
        <v>28</v>
      </c>
      <c r="D576" t="s">
        <v>21</v>
      </c>
      <c r="E576">
        <v>842532</v>
      </c>
      <c r="F576" s="1">
        <v>45621</v>
      </c>
      <c r="G576" s="1">
        <v>45579</v>
      </c>
      <c r="H576">
        <v>875332</v>
      </c>
      <c r="I576">
        <v>4963</v>
      </c>
      <c r="J576" s="5">
        <v>4344272716</v>
      </c>
      <c r="K576">
        <v>5</v>
      </c>
      <c r="L576">
        <v>4</v>
      </c>
      <c r="M576" t="s">
        <v>62</v>
      </c>
      <c r="N576">
        <v>2013</v>
      </c>
      <c r="O576">
        <v>4</v>
      </c>
      <c r="P576">
        <v>1</v>
      </c>
      <c r="Q576" t="s">
        <v>132</v>
      </c>
      <c r="R576" t="s">
        <v>1073</v>
      </c>
      <c r="S576" t="s">
        <v>25</v>
      </c>
      <c r="T576" t="s">
        <v>1489</v>
      </c>
    </row>
    <row r="577" spans="1:20" ht="16.5" x14ac:dyDescent="0.45">
      <c r="A577">
        <v>1576</v>
      </c>
      <c r="B577" t="s">
        <v>1490</v>
      </c>
      <c r="C577" t="s">
        <v>36</v>
      </c>
      <c r="D577" t="s">
        <v>42</v>
      </c>
      <c r="E577">
        <v>918770</v>
      </c>
      <c r="F577" s="1">
        <v>45418</v>
      </c>
      <c r="G577" s="1"/>
      <c r="I577">
        <v>4239</v>
      </c>
      <c r="K577">
        <v>5</v>
      </c>
      <c r="L577">
        <v>2</v>
      </c>
      <c r="M577" t="s">
        <v>22</v>
      </c>
      <c r="N577">
        <v>2000</v>
      </c>
      <c r="P577">
        <v>1</v>
      </c>
      <c r="Q577" t="s">
        <v>23</v>
      </c>
      <c r="R577" t="s">
        <v>1491</v>
      </c>
      <c r="S577" t="s">
        <v>33</v>
      </c>
      <c r="T577" t="s">
        <v>1492</v>
      </c>
    </row>
    <row r="578" spans="1:20" ht="16.5" x14ac:dyDescent="0.45">
      <c r="A578">
        <v>1577</v>
      </c>
      <c r="B578" t="s">
        <v>1493</v>
      </c>
      <c r="C578" t="s">
        <v>28</v>
      </c>
      <c r="D578" t="s">
        <v>21</v>
      </c>
      <c r="E578">
        <v>922933</v>
      </c>
      <c r="F578" s="1">
        <v>45314</v>
      </c>
      <c r="G578" s="1">
        <v>45576</v>
      </c>
      <c r="H578">
        <v>945459</v>
      </c>
      <c r="I578">
        <v>2408</v>
      </c>
      <c r="J578" s="5">
        <v>2276665272</v>
      </c>
      <c r="K578">
        <v>4</v>
      </c>
      <c r="L578">
        <v>3</v>
      </c>
      <c r="M578" t="s">
        <v>37</v>
      </c>
      <c r="N578">
        <v>2023</v>
      </c>
      <c r="O578">
        <v>10</v>
      </c>
      <c r="P578">
        <v>4</v>
      </c>
      <c r="Q578" t="s">
        <v>132</v>
      </c>
      <c r="R578" t="s">
        <v>1494</v>
      </c>
      <c r="S578" t="s">
        <v>25</v>
      </c>
      <c r="T578" t="s">
        <v>40</v>
      </c>
    </row>
    <row r="579" spans="1:20" ht="16.5" x14ac:dyDescent="0.45">
      <c r="A579">
        <v>1578</v>
      </c>
      <c r="B579" t="s">
        <v>1495</v>
      </c>
      <c r="C579" t="s">
        <v>28</v>
      </c>
      <c r="D579" t="s">
        <v>29</v>
      </c>
      <c r="E579">
        <v>377851</v>
      </c>
      <c r="F579" s="1">
        <v>45364</v>
      </c>
      <c r="G579" s="1"/>
      <c r="I579">
        <v>1636</v>
      </c>
      <c r="K579">
        <v>6</v>
      </c>
      <c r="L579">
        <v>3</v>
      </c>
      <c r="M579" t="s">
        <v>37</v>
      </c>
      <c r="N579">
        <v>2008</v>
      </c>
      <c r="O579">
        <v>8</v>
      </c>
      <c r="P579">
        <v>3</v>
      </c>
      <c r="Q579" t="s">
        <v>93</v>
      </c>
      <c r="R579" t="s">
        <v>1496</v>
      </c>
      <c r="S579" t="s">
        <v>33</v>
      </c>
      <c r="T579" t="s">
        <v>256</v>
      </c>
    </row>
    <row r="580" spans="1:20" ht="16.5" x14ac:dyDescent="0.45">
      <c r="A580">
        <v>1579</v>
      </c>
      <c r="B580" t="s">
        <v>1497</v>
      </c>
      <c r="C580" t="s">
        <v>28</v>
      </c>
      <c r="D580" t="s">
        <v>21</v>
      </c>
      <c r="E580">
        <v>409275</v>
      </c>
      <c r="F580" s="1">
        <v>45421</v>
      </c>
      <c r="G580" s="1"/>
      <c r="I580">
        <v>2732</v>
      </c>
      <c r="K580">
        <v>5</v>
      </c>
      <c r="L580">
        <v>3</v>
      </c>
      <c r="M580" t="s">
        <v>62</v>
      </c>
      <c r="N580">
        <v>2005</v>
      </c>
      <c r="O580">
        <v>1</v>
      </c>
      <c r="P580">
        <v>2</v>
      </c>
      <c r="Q580" t="s">
        <v>23</v>
      </c>
      <c r="R580" t="s">
        <v>1498</v>
      </c>
      <c r="S580" t="s">
        <v>33</v>
      </c>
      <c r="T580" t="s">
        <v>540</v>
      </c>
    </row>
    <row r="581" spans="1:20" ht="16.5" x14ac:dyDescent="0.45">
      <c r="A581">
        <v>1580</v>
      </c>
      <c r="B581" t="s">
        <v>1499</v>
      </c>
      <c r="C581" t="s">
        <v>47</v>
      </c>
      <c r="D581" t="s">
        <v>29</v>
      </c>
      <c r="E581">
        <v>777612</v>
      </c>
      <c r="F581" s="1">
        <v>45412</v>
      </c>
      <c r="G581" s="1"/>
      <c r="I581">
        <v>3401</v>
      </c>
      <c r="K581">
        <v>5</v>
      </c>
      <c r="L581">
        <v>5</v>
      </c>
      <c r="M581" t="s">
        <v>62</v>
      </c>
      <c r="N581">
        <v>2005</v>
      </c>
      <c r="O581">
        <v>3</v>
      </c>
      <c r="P581">
        <v>3</v>
      </c>
      <c r="Q581" t="s">
        <v>31</v>
      </c>
      <c r="R581" t="s">
        <v>1500</v>
      </c>
      <c r="S581" t="s">
        <v>33</v>
      </c>
      <c r="T581" t="s">
        <v>925</v>
      </c>
    </row>
    <row r="582" spans="1:20" ht="16.5" x14ac:dyDescent="0.45">
      <c r="A582">
        <v>1581</v>
      </c>
      <c r="B582" t="s">
        <v>1501</v>
      </c>
      <c r="C582" t="s">
        <v>20</v>
      </c>
      <c r="D582" t="s">
        <v>21</v>
      </c>
      <c r="E582">
        <v>584061</v>
      </c>
      <c r="F582" s="1">
        <v>45542</v>
      </c>
      <c r="G582" s="1"/>
      <c r="I582">
        <v>2781</v>
      </c>
      <c r="K582">
        <v>3</v>
      </c>
      <c r="L582">
        <v>5</v>
      </c>
      <c r="M582" t="s">
        <v>62</v>
      </c>
      <c r="N582">
        <v>2023</v>
      </c>
      <c r="O582">
        <v>7</v>
      </c>
      <c r="P582">
        <v>4</v>
      </c>
      <c r="Q582" t="s">
        <v>38</v>
      </c>
      <c r="R582" t="s">
        <v>1502</v>
      </c>
      <c r="S582" t="s">
        <v>33</v>
      </c>
      <c r="T582" t="s">
        <v>275</v>
      </c>
    </row>
    <row r="583" spans="1:20" ht="16.5" x14ac:dyDescent="0.45">
      <c r="A583">
        <v>1582</v>
      </c>
      <c r="B583" t="s">
        <v>1503</v>
      </c>
      <c r="C583" t="s">
        <v>36</v>
      </c>
      <c r="D583" t="s">
        <v>21</v>
      </c>
      <c r="E583">
        <v>793998</v>
      </c>
      <c r="F583" s="1">
        <v>45389</v>
      </c>
      <c r="G583" s="1"/>
      <c r="I583">
        <v>2403</v>
      </c>
      <c r="K583">
        <v>6</v>
      </c>
      <c r="L583">
        <v>5</v>
      </c>
      <c r="M583" t="s">
        <v>37</v>
      </c>
      <c r="N583">
        <v>2023</v>
      </c>
      <c r="O583">
        <v>10</v>
      </c>
      <c r="P583">
        <v>4</v>
      </c>
      <c r="Q583" t="s">
        <v>38</v>
      </c>
      <c r="R583" t="s">
        <v>398</v>
      </c>
      <c r="S583" t="s">
        <v>33</v>
      </c>
      <c r="T583" t="s">
        <v>1504</v>
      </c>
    </row>
    <row r="584" spans="1:20" ht="16.5" x14ac:dyDescent="0.45">
      <c r="A584">
        <v>1583</v>
      </c>
      <c r="B584" t="s">
        <v>1505</v>
      </c>
      <c r="C584" t="s">
        <v>36</v>
      </c>
      <c r="D584" t="s">
        <v>29</v>
      </c>
      <c r="E584">
        <v>538139</v>
      </c>
      <c r="F584" s="1">
        <v>45557</v>
      </c>
      <c r="G584" s="1">
        <v>45349</v>
      </c>
      <c r="H584">
        <v>562057</v>
      </c>
      <c r="I584">
        <v>3818</v>
      </c>
      <c r="J584" s="5">
        <v>2145933626</v>
      </c>
      <c r="K584">
        <v>4</v>
      </c>
      <c r="L584">
        <v>5</v>
      </c>
      <c r="M584" t="s">
        <v>37</v>
      </c>
      <c r="N584">
        <v>2013</v>
      </c>
      <c r="O584">
        <v>10</v>
      </c>
      <c r="P584">
        <v>4</v>
      </c>
      <c r="Q584" t="s">
        <v>75</v>
      </c>
      <c r="R584" t="s">
        <v>1506</v>
      </c>
      <c r="S584" t="s">
        <v>25</v>
      </c>
      <c r="T584" t="s">
        <v>1507</v>
      </c>
    </row>
    <row r="585" spans="1:20" ht="16.5" x14ac:dyDescent="0.45">
      <c r="A585">
        <v>1584</v>
      </c>
      <c r="B585" t="s">
        <v>1508</v>
      </c>
      <c r="C585" t="s">
        <v>51</v>
      </c>
      <c r="D585" t="s">
        <v>21</v>
      </c>
      <c r="E585">
        <v>462821</v>
      </c>
      <c r="F585" s="1">
        <v>45284</v>
      </c>
      <c r="G585" s="1"/>
      <c r="I585">
        <v>2702</v>
      </c>
      <c r="K585">
        <v>6</v>
      </c>
      <c r="L585">
        <v>4</v>
      </c>
      <c r="M585" t="s">
        <v>30</v>
      </c>
      <c r="N585">
        <v>2003</v>
      </c>
      <c r="O585">
        <v>2</v>
      </c>
      <c r="P585">
        <v>4</v>
      </c>
      <c r="Q585" t="s">
        <v>31</v>
      </c>
      <c r="R585" t="s">
        <v>1509</v>
      </c>
      <c r="S585" t="s">
        <v>33</v>
      </c>
      <c r="T585" t="s">
        <v>1510</v>
      </c>
    </row>
    <row r="586" spans="1:20" ht="16.5" x14ac:dyDescent="0.45">
      <c r="A586">
        <v>1585</v>
      </c>
      <c r="B586" t="s">
        <v>1511</v>
      </c>
      <c r="C586" t="s">
        <v>20</v>
      </c>
      <c r="D586" t="s">
        <v>29</v>
      </c>
      <c r="E586">
        <v>951657</v>
      </c>
      <c r="F586" s="1">
        <v>45499</v>
      </c>
      <c r="G586" s="1">
        <v>45581</v>
      </c>
      <c r="H586">
        <v>966571</v>
      </c>
      <c r="I586">
        <v>2444</v>
      </c>
      <c r="J586" s="5">
        <v>2362299524</v>
      </c>
      <c r="K586">
        <v>3</v>
      </c>
      <c r="L586">
        <v>5</v>
      </c>
      <c r="M586" t="s">
        <v>22</v>
      </c>
      <c r="N586">
        <v>2001</v>
      </c>
      <c r="P586">
        <v>1</v>
      </c>
      <c r="Q586" t="s">
        <v>93</v>
      </c>
      <c r="R586" t="s">
        <v>1512</v>
      </c>
      <c r="S586" t="s">
        <v>25</v>
      </c>
      <c r="T586" t="s">
        <v>1513</v>
      </c>
    </row>
    <row r="587" spans="1:20" ht="16.5" x14ac:dyDescent="0.45">
      <c r="A587">
        <v>1586</v>
      </c>
      <c r="B587" t="s">
        <v>1514</v>
      </c>
      <c r="C587" t="s">
        <v>20</v>
      </c>
      <c r="D587" t="s">
        <v>29</v>
      </c>
      <c r="E587">
        <v>420035</v>
      </c>
      <c r="F587" s="1">
        <v>45294</v>
      </c>
      <c r="G587" s="1"/>
      <c r="I587">
        <v>3467</v>
      </c>
      <c r="K587">
        <v>6</v>
      </c>
      <c r="L587">
        <v>3</v>
      </c>
      <c r="M587" t="s">
        <v>30</v>
      </c>
      <c r="N587">
        <v>2023</v>
      </c>
      <c r="O587">
        <v>4</v>
      </c>
      <c r="P587">
        <v>2</v>
      </c>
      <c r="Q587" t="s">
        <v>23</v>
      </c>
      <c r="R587" t="s">
        <v>1515</v>
      </c>
      <c r="S587" t="s">
        <v>33</v>
      </c>
      <c r="T587" t="s">
        <v>1516</v>
      </c>
    </row>
    <row r="588" spans="1:20" ht="16.5" x14ac:dyDescent="0.45">
      <c r="A588">
        <v>1587</v>
      </c>
      <c r="B588" t="s">
        <v>1517</v>
      </c>
      <c r="C588" t="s">
        <v>36</v>
      </c>
      <c r="D588" t="s">
        <v>21</v>
      </c>
      <c r="E588">
        <v>983756</v>
      </c>
      <c r="F588" s="1">
        <v>45554</v>
      </c>
      <c r="G588" s="1">
        <v>45279</v>
      </c>
      <c r="H588">
        <v>1004956</v>
      </c>
      <c r="I588">
        <v>4341</v>
      </c>
      <c r="J588" s="5">
        <v>4362513996</v>
      </c>
      <c r="K588">
        <v>3</v>
      </c>
      <c r="L588">
        <v>3</v>
      </c>
      <c r="M588" t="s">
        <v>62</v>
      </c>
      <c r="N588">
        <v>2020</v>
      </c>
      <c r="O588">
        <v>7</v>
      </c>
      <c r="P588">
        <v>3</v>
      </c>
      <c r="Q588" t="s">
        <v>43</v>
      </c>
      <c r="R588" t="s">
        <v>1518</v>
      </c>
      <c r="S588" t="s">
        <v>25</v>
      </c>
      <c r="T588" t="s">
        <v>595</v>
      </c>
    </row>
    <row r="589" spans="1:20" ht="16.5" x14ac:dyDescent="0.45">
      <c r="A589">
        <v>1588</v>
      </c>
      <c r="B589" t="s">
        <v>1519</v>
      </c>
      <c r="C589" t="s">
        <v>51</v>
      </c>
      <c r="D589" t="s">
        <v>21</v>
      </c>
      <c r="E589">
        <v>347639</v>
      </c>
      <c r="F589" s="1">
        <v>45421</v>
      </c>
      <c r="G589" s="1"/>
      <c r="I589">
        <v>2050</v>
      </c>
      <c r="K589">
        <v>3</v>
      </c>
      <c r="L589">
        <v>3</v>
      </c>
      <c r="M589" t="s">
        <v>22</v>
      </c>
      <c r="N589">
        <v>2017</v>
      </c>
      <c r="P589">
        <v>3</v>
      </c>
      <c r="Q589" t="s">
        <v>75</v>
      </c>
      <c r="R589" t="s">
        <v>1520</v>
      </c>
      <c r="S589" t="s">
        <v>33</v>
      </c>
      <c r="T589" t="s">
        <v>91</v>
      </c>
    </row>
    <row r="590" spans="1:20" ht="16.5" x14ac:dyDescent="0.45">
      <c r="A590">
        <v>1589</v>
      </c>
      <c r="B590" t="s">
        <v>1521</v>
      </c>
      <c r="C590" t="s">
        <v>36</v>
      </c>
      <c r="D590" t="s">
        <v>29</v>
      </c>
      <c r="E590">
        <v>655495</v>
      </c>
      <c r="F590" s="1">
        <v>45289</v>
      </c>
      <c r="G590" s="1"/>
      <c r="I590">
        <v>3448</v>
      </c>
      <c r="K590">
        <v>3</v>
      </c>
      <c r="L590">
        <v>5</v>
      </c>
      <c r="M590" t="s">
        <v>30</v>
      </c>
      <c r="N590">
        <v>2013</v>
      </c>
      <c r="O590">
        <v>4</v>
      </c>
      <c r="P590">
        <v>1</v>
      </c>
      <c r="Q590" t="s">
        <v>132</v>
      </c>
      <c r="R590" t="s">
        <v>1522</v>
      </c>
      <c r="S590" t="s">
        <v>33</v>
      </c>
      <c r="T590" t="s">
        <v>592</v>
      </c>
    </row>
    <row r="591" spans="1:20" ht="16.5" x14ac:dyDescent="0.45">
      <c r="A591">
        <v>1590</v>
      </c>
      <c r="B591" t="s">
        <v>1523</v>
      </c>
      <c r="C591" t="s">
        <v>36</v>
      </c>
      <c r="D591" t="s">
        <v>21</v>
      </c>
      <c r="E591">
        <v>689710</v>
      </c>
      <c r="F591" s="1">
        <v>45369</v>
      </c>
      <c r="G591" s="1">
        <v>45565</v>
      </c>
      <c r="H591">
        <v>739054</v>
      </c>
      <c r="I591">
        <v>3700</v>
      </c>
      <c r="J591" s="5">
        <v>2734499800</v>
      </c>
      <c r="K591">
        <v>2</v>
      </c>
      <c r="L591">
        <v>2</v>
      </c>
      <c r="M591" t="s">
        <v>62</v>
      </c>
      <c r="N591">
        <v>2006</v>
      </c>
      <c r="O591">
        <v>8</v>
      </c>
      <c r="P591">
        <v>2</v>
      </c>
      <c r="Q591" t="s">
        <v>31</v>
      </c>
      <c r="R591" t="s">
        <v>1524</v>
      </c>
      <c r="S591" t="s">
        <v>25</v>
      </c>
      <c r="T591" t="s">
        <v>194</v>
      </c>
    </row>
    <row r="592" spans="1:20" ht="16.5" x14ac:dyDescent="0.45">
      <c r="A592">
        <v>1591</v>
      </c>
      <c r="B592" t="s">
        <v>1525</v>
      </c>
      <c r="C592" t="s">
        <v>47</v>
      </c>
      <c r="D592" t="s">
        <v>29</v>
      </c>
      <c r="E592">
        <v>915357</v>
      </c>
      <c r="F592" s="1">
        <v>45388</v>
      </c>
      <c r="G592" s="1"/>
      <c r="I592">
        <v>3011</v>
      </c>
      <c r="K592">
        <v>2</v>
      </c>
      <c r="L592">
        <v>3</v>
      </c>
      <c r="M592" t="s">
        <v>62</v>
      </c>
      <c r="N592">
        <v>2016</v>
      </c>
      <c r="O592">
        <v>3</v>
      </c>
      <c r="P592">
        <v>3</v>
      </c>
      <c r="Q592" t="s">
        <v>38</v>
      </c>
      <c r="R592" t="s">
        <v>1526</v>
      </c>
      <c r="S592" t="s">
        <v>33</v>
      </c>
      <c r="T592" t="s">
        <v>1527</v>
      </c>
    </row>
    <row r="593" spans="1:20" ht="16.5" x14ac:dyDescent="0.45">
      <c r="A593">
        <v>1592</v>
      </c>
      <c r="B593" t="s">
        <v>1528</v>
      </c>
      <c r="C593" t="s">
        <v>28</v>
      </c>
      <c r="D593" t="s">
        <v>29</v>
      </c>
      <c r="E593">
        <v>765282</v>
      </c>
      <c r="F593" s="1">
        <v>45451</v>
      </c>
      <c r="G593" s="1">
        <v>45596</v>
      </c>
      <c r="H593">
        <v>803058</v>
      </c>
      <c r="I593">
        <v>3602</v>
      </c>
      <c r="J593" s="5">
        <v>2892614916</v>
      </c>
      <c r="K593">
        <v>4</v>
      </c>
      <c r="L593">
        <v>4</v>
      </c>
      <c r="M593" t="s">
        <v>62</v>
      </c>
      <c r="N593">
        <v>2007</v>
      </c>
      <c r="O593">
        <v>5</v>
      </c>
      <c r="P593">
        <v>2</v>
      </c>
      <c r="Q593" t="s">
        <v>86</v>
      </c>
      <c r="R593" t="s">
        <v>1529</v>
      </c>
      <c r="S593" t="s">
        <v>25</v>
      </c>
      <c r="T593" t="s">
        <v>967</v>
      </c>
    </row>
    <row r="594" spans="1:20" ht="16.5" x14ac:dyDescent="0.45">
      <c r="A594">
        <v>1593</v>
      </c>
      <c r="B594" t="s">
        <v>1530</v>
      </c>
      <c r="C594" t="s">
        <v>20</v>
      </c>
      <c r="D594" t="s">
        <v>42</v>
      </c>
      <c r="E594">
        <v>853248</v>
      </c>
      <c r="F594" s="1">
        <v>45562</v>
      </c>
      <c r="G594" s="1">
        <v>45500</v>
      </c>
      <c r="H594">
        <v>892197</v>
      </c>
      <c r="I594">
        <v>3748</v>
      </c>
      <c r="J594" s="5">
        <v>3343954356</v>
      </c>
      <c r="K594">
        <v>6</v>
      </c>
      <c r="L594">
        <v>2</v>
      </c>
      <c r="M594" t="s">
        <v>22</v>
      </c>
      <c r="N594">
        <v>2018</v>
      </c>
      <c r="P594">
        <v>3</v>
      </c>
      <c r="Q594" t="s">
        <v>86</v>
      </c>
      <c r="R594" t="s">
        <v>1531</v>
      </c>
      <c r="S594" t="s">
        <v>25</v>
      </c>
      <c r="T594" t="s">
        <v>40</v>
      </c>
    </row>
    <row r="595" spans="1:20" ht="16.5" x14ac:dyDescent="0.45">
      <c r="A595">
        <v>1594</v>
      </c>
      <c r="B595" t="s">
        <v>1532</v>
      </c>
      <c r="C595" t="s">
        <v>20</v>
      </c>
      <c r="D595" t="s">
        <v>21</v>
      </c>
      <c r="E595">
        <v>407685</v>
      </c>
      <c r="F595" s="1">
        <v>45446</v>
      </c>
      <c r="G595" s="1">
        <v>45338</v>
      </c>
      <c r="H595">
        <v>448027</v>
      </c>
      <c r="I595">
        <v>1530</v>
      </c>
      <c r="J595" s="5">
        <v>685481310</v>
      </c>
      <c r="K595">
        <v>2</v>
      </c>
      <c r="L595">
        <v>5</v>
      </c>
      <c r="M595" t="s">
        <v>62</v>
      </c>
      <c r="N595">
        <v>2021</v>
      </c>
      <c r="O595">
        <v>3</v>
      </c>
      <c r="P595">
        <v>1</v>
      </c>
      <c r="Q595" t="s">
        <v>162</v>
      </c>
      <c r="R595" t="s">
        <v>770</v>
      </c>
      <c r="S595" t="s">
        <v>25</v>
      </c>
      <c r="T595" t="s">
        <v>881</v>
      </c>
    </row>
    <row r="596" spans="1:20" ht="16.5" x14ac:dyDescent="0.45">
      <c r="A596">
        <v>1595</v>
      </c>
      <c r="B596" t="s">
        <v>1533</v>
      </c>
      <c r="C596" t="s">
        <v>47</v>
      </c>
      <c r="D596" t="s">
        <v>21</v>
      </c>
      <c r="E596">
        <v>870294</v>
      </c>
      <c r="F596" s="1">
        <v>45459</v>
      </c>
      <c r="G596" s="1"/>
      <c r="I596">
        <v>1518</v>
      </c>
      <c r="K596">
        <v>3</v>
      </c>
      <c r="L596">
        <v>3</v>
      </c>
      <c r="M596" t="s">
        <v>22</v>
      </c>
      <c r="N596">
        <v>2003</v>
      </c>
      <c r="P596">
        <v>2</v>
      </c>
      <c r="Q596" t="s">
        <v>162</v>
      </c>
      <c r="R596" t="s">
        <v>1534</v>
      </c>
      <c r="S596" t="s">
        <v>33</v>
      </c>
      <c r="T596" t="s">
        <v>1535</v>
      </c>
    </row>
    <row r="597" spans="1:20" ht="16.5" x14ac:dyDescent="0.45">
      <c r="A597">
        <v>1596</v>
      </c>
      <c r="B597" t="s">
        <v>1536</v>
      </c>
      <c r="C597" t="s">
        <v>28</v>
      </c>
      <c r="D597" t="s">
        <v>21</v>
      </c>
      <c r="E597">
        <v>600438</v>
      </c>
      <c r="F597" s="1">
        <v>45455</v>
      </c>
      <c r="G597" s="1">
        <v>45308</v>
      </c>
      <c r="H597">
        <v>637965</v>
      </c>
      <c r="I597">
        <v>2893</v>
      </c>
      <c r="J597" s="5">
        <v>1845632745</v>
      </c>
      <c r="K597">
        <v>6</v>
      </c>
      <c r="L597">
        <v>2</v>
      </c>
      <c r="M597" t="s">
        <v>62</v>
      </c>
      <c r="N597">
        <v>2004</v>
      </c>
      <c r="O597">
        <v>9</v>
      </c>
      <c r="P597">
        <v>4</v>
      </c>
      <c r="Q597" t="s">
        <v>162</v>
      </c>
      <c r="R597" t="s">
        <v>1537</v>
      </c>
      <c r="S597" t="s">
        <v>25</v>
      </c>
      <c r="T597" t="s">
        <v>1538</v>
      </c>
    </row>
    <row r="598" spans="1:20" ht="16.5" x14ac:dyDescent="0.45">
      <c r="A598">
        <v>1597</v>
      </c>
      <c r="B598" t="s">
        <v>1539</v>
      </c>
      <c r="C598" t="s">
        <v>47</v>
      </c>
      <c r="D598" t="s">
        <v>29</v>
      </c>
      <c r="E598">
        <v>897504</v>
      </c>
      <c r="F598" s="1">
        <v>45461</v>
      </c>
      <c r="G598" s="1"/>
      <c r="I598">
        <v>1063</v>
      </c>
      <c r="K598">
        <v>6</v>
      </c>
      <c r="L598">
        <v>2</v>
      </c>
      <c r="M598" t="s">
        <v>22</v>
      </c>
      <c r="N598">
        <v>2019</v>
      </c>
      <c r="P598">
        <v>1</v>
      </c>
      <c r="Q598" t="s">
        <v>58</v>
      </c>
      <c r="R598" t="s">
        <v>1540</v>
      </c>
      <c r="S598" t="s">
        <v>33</v>
      </c>
      <c r="T598" t="s">
        <v>1541</v>
      </c>
    </row>
    <row r="599" spans="1:20" ht="16.5" x14ac:dyDescent="0.45">
      <c r="A599">
        <v>1598</v>
      </c>
      <c r="B599" t="s">
        <v>1542</v>
      </c>
      <c r="C599" t="s">
        <v>36</v>
      </c>
      <c r="D599" t="s">
        <v>42</v>
      </c>
      <c r="E599">
        <v>893169</v>
      </c>
      <c r="F599" s="1">
        <v>45576</v>
      </c>
      <c r="G599" s="1">
        <v>45410</v>
      </c>
      <c r="H599">
        <v>919888</v>
      </c>
      <c r="I599">
        <v>1742</v>
      </c>
      <c r="J599" s="5">
        <v>1602444896</v>
      </c>
      <c r="K599">
        <v>5</v>
      </c>
      <c r="L599">
        <v>5</v>
      </c>
      <c r="M599" t="s">
        <v>62</v>
      </c>
      <c r="N599">
        <v>2001</v>
      </c>
      <c r="O599">
        <v>10</v>
      </c>
      <c r="P599">
        <v>3</v>
      </c>
      <c r="Q599" t="s">
        <v>38</v>
      </c>
      <c r="R599" t="s">
        <v>1543</v>
      </c>
      <c r="S599" t="s">
        <v>25</v>
      </c>
      <c r="T599" t="s">
        <v>1544</v>
      </c>
    </row>
    <row r="600" spans="1:20" ht="16.5" x14ac:dyDescent="0.45">
      <c r="A600">
        <v>1599</v>
      </c>
      <c r="B600" t="s">
        <v>1545</v>
      </c>
      <c r="C600" t="s">
        <v>28</v>
      </c>
      <c r="D600" t="s">
        <v>29</v>
      </c>
      <c r="E600">
        <v>639930</v>
      </c>
      <c r="F600" s="1">
        <v>45482</v>
      </c>
      <c r="G600" s="1"/>
      <c r="I600">
        <v>4253</v>
      </c>
      <c r="K600">
        <v>3</v>
      </c>
      <c r="L600">
        <v>4</v>
      </c>
      <c r="M600" t="s">
        <v>62</v>
      </c>
      <c r="N600">
        <v>2009</v>
      </c>
      <c r="O600">
        <v>3</v>
      </c>
      <c r="P600">
        <v>4</v>
      </c>
      <c r="Q600" t="s">
        <v>31</v>
      </c>
      <c r="R600" t="s">
        <v>1546</v>
      </c>
      <c r="S600" t="s">
        <v>33</v>
      </c>
      <c r="T600" t="s">
        <v>1071</v>
      </c>
    </row>
    <row r="601" spans="1:20" ht="16.5" x14ac:dyDescent="0.45">
      <c r="A601">
        <v>1600</v>
      </c>
      <c r="B601" t="s">
        <v>1547</v>
      </c>
      <c r="C601" t="s">
        <v>28</v>
      </c>
      <c r="D601" t="s">
        <v>42</v>
      </c>
      <c r="E601">
        <v>900438</v>
      </c>
      <c r="F601" s="1">
        <v>45609</v>
      </c>
      <c r="G601" s="1"/>
      <c r="I601">
        <v>2330</v>
      </c>
      <c r="K601">
        <v>5</v>
      </c>
      <c r="L601">
        <v>4</v>
      </c>
      <c r="M601" t="s">
        <v>62</v>
      </c>
      <c r="N601">
        <v>2021</v>
      </c>
      <c r="O601">
        <v>3</v>
      </c>
      <c r="P601">
        <v>3</v>
      </c>
      <c r="Q601" t="s">
        <v>93</v>
      </c>
      <c r="R601" t="s">
        <v>1548</v>
      </c>
      <c r="S601" t="s">
        <v>33</v>
      </c>
      <c r="T601" t="s">
        <v>1549</v>
      </c>
    </row>
    <row r="602" spans="1:20" ht="16.5" x14ac:dyDescent="0.45">
      <c r="A602">
        <v>1601</v>
      </c>
      <c r="B602" t="s">
        <v>1550</v>
      </c>
      <c r="C602" t="s">
        <v>28</v>
      </c>
      <c r="D602" t="s">
        <v>21</v>
      </c>
      <c r="E602">
        <v>512919</v>
      </c>
      <c r="F602" s="1">
        <v>45302</v>
      </c>
      <c r="G602" s="1"/>
      <c r="I602">
        <v>2423</v>
      </c>
      <c r="K602">
        <v>4</v>
      </c>
      <c r="L602">
        <v>2</v>
      </c>
      <c r="M602" t="s">
        <v>37</v>
      </c>
      <c r="N602">
        <v>2018</v>
      </c>
      <c r="O602">
        <v>4</v>
      </c>
      <c r="P602">
        <v>2</v>
      </c>
      <c r="Q602" t="s">
        <v>132</v>
      </c>
      <c r="R602" t="s">
        <v>1551</v>
      </c>
      <c r="S602" t="s">
        <v>33</v>
      </c>
      <c r="T602" t="s">
        <v>91</v>
      </c>
    </row>
    <row r="603" spans="1:20" ht="16.5" x14ac:dyDescent="0.45">
      <c r="A603">
        <v>1602</v>
      </c>
      <c r="B603" t="s">
        <v>1552</v>
      </c>
      <c r="C603" t="s">
        <v>47</v>
      </c>
      <c r="D603" t="s">
        <v>21</v>
      </c>
      <c r="E603">
        <v>857230</v>
      </c>
      <c r="F603" s="1">
        <v>45344</v>
      </c>
      <c r="G603" s="1">
        <v>45376</v>
      </c>
      <c r="H603">
        <v>889157</v>
      </c>
      <c r="I603">
        <v>2846</v>
      </c>
      <c r="J603" s="5">
        <v>2530540822</v>
      </c>
      <c r="K603">
        <v>4</v>
      </c>
      <c r="L603">
        <v>4</v>
      </c>
      <c r="M603" t="s">
        <v>22</v>
      </c>
      <c r="N603">
        <v>2017</v>
      </c>
      <c r="P603">
        <v>4</v>
      </c>
      <c r="Q603" t="s">
        <v>58</v>
      </c>
      <c r="R603" t="s">
        <v>1553</v>
      </c>
      <c r="S603" t="s">
        <v>25</v>
      </c>
      <c r="T603" t="s">
        <v>1141</v>
      </c>
    </row>
    <row r="604" spans="1:20" ht="16.5" x14ac:dyDescent="0.45">
      <c r="A604">
        <v>1603</v>
      </c>
      <c r="B604" t="s">
        <v>1554</v>
      </c>
      <c r="C604" t="s">
        <v>20</v>
      </c>
      <c r="D604" t="s">
        <v>29</v>
      </c>
      <c r="E604">
        <v>377934</v>
      </c>
      <c r="F604" s="1">
        <v>45641</v>
      </c>
      <c r="G604" s="1">
        <v>45633</v>
      </c>
      <c r="H604">
        <v>388538</v>
      </c>
      <c r="I604">
        <v>1305</v>
      </c>
      <c r="J604" s="5">
        <v>507042090</v>
      </c>
      <c r="K604">
        <v>3</v>
      </c>
      <c r="L604">
        <v>5</v>
      </c>
      <c r="M604" t="s">
        <v>30</v>
      </c>
      <c r="N604">
        <v>2013</v>
      </c>
      <c r="O604">
        <v>5</v>
      </c>
      <c r="P604">
        <v>2</v>
      </c>
      <c r="Q604" t="s">
        <v>86</v>
      </c>
      <c r="R604" t="s">
        <v>1555</v>
      </c>
      <c r="S604" t="s">
        <v>25</v>
      </c>
      <c r="T604" t="s">
        <v>1556</v>
      </c>
    </row>
    <row r="605" spans="1:20" ht="16.5" x14ac:dyDescent="0.45">
      <c r="A605">
        <v>1604</v>
      </c>
      <c r="B605" t="s">
        <v>1557</v>
      </c>
      <c r="C605" t="s">
        <v>36</v>
      </c>
      <c r="D605" t="s">
        <v>42</v>
      </c>
      <c r="E605">
        <v>570816</v>
      </c>
      <c r="F605" s="1">
        <v>45622</v>
      </c>
      <c r="G605" s="1">
        <v>45332</v>
      </c>
      <c r="H605">
        <v>591424</v>
      </c>
      <c r="I605">
        <v>1022</v>
      </c>
      <c r="J605" s="5">
        <v>604435328</v>
      </c>
      <c r="K605">
        <v>6</v>
      </c>
      <c r="L605">
        <v>3</v>
      </c>
      <c r="M605" t="s">
        <v>30</v>
      </c>
      <c r="N605">
        <v>2019</v>
      </c>
      <c r="O605">
        <v>2</v>
      </c>
      <c r="P605">
        <v>2</v>
      </c>
      <c r="Q605" t="s">
        <v>93</v>
      </c>
      <c r="R605" t="s">
        <v>1558</v>
      </c>
      <c r="S605" t="s">
        <v>25</v>
      </c>
      <c r="T605" t="s">
        <v>122</v>
      </c>
    </row>
    <row r="606" spans="1:20" ht="16.5" x14ac:dyDescent="0.45">
      <c r="A606">
        <v>1605</v>
      </c>
      <c r="B606" t="s">
        <v>1559</v>
      </c>
      <c r="C606" t="s">
        <v>28</v>
      </c>
      <c r="D606" t="s">
        <v>29</v>
      </c>
      <c r="E606">
        <v>323935</v>
      </c>
      <c r="F606" s="1">
        <v>45462</v>
      </c>
      <c r="G606" s="1">
        <v>45597</v>
      </c>
      <c r="H606">
        <v>344701</v>
      </c>
      <c r="I606">
        <v>2349</v>
      </c>
      <c r="J606" s="5">
        <v>809702649</v>
      </c>
      <c r="K606">
        <v>4</v>
      </c>
      <c r="L606">
        <v>2</v>
      </c>
      <c r="M606" t="s">
        <v>22</v>
      </c>
      <c r="N606">
        <v>2022</v>
      </c>
      <c r="P606">
        <v>1</v>
      </c>
      <c r="Q606" t="s">
        <v>162</v>
      </c>
      <c r="R606" t="s">
        <v>1560</v>
      </c>
      <c r="S606" t="s">
        <v>25</v>
      </c>
      <c r="T606" t="s">
        <v>1394</v>
      </c>
    </row>
    <row r="607" spans="1:20" ht="16.5" x14ac:dyDescent="0.45">
      <c r="A607">
        <v>1606</v>
      </c>
      <c r="B607" t="s">
        <v>1561</v>
      </c>
      <c r="C607" t="s">
        <v>36</v>
      </c>
      <c r="D607" t="s">
        <v>21</v>
      </c>
      <c r="E607">
        <v>425659</v>
      </c>
      <c r="F607" s="1">
        <v>45630</v>
      </c>
      <c r="G607" s="1"/>
      <c r="I607">
        <v>1211</v>
      </c>
      <c r="K607">
        <v>3</v>
      </c>
      <c r="L607">
        <v>5</v>
      </c>
      <c r="M607" t="s">
        <v>62</v>
      </c>
      <c r="N607">
        <v>2020</v>
      </c>
      <c r="O607">
        <v>9</v>
      </c>
      <c r="P607">
        <v>2</v>
      </c>
      <c r="Q607" t="s">
        <v>132</v>
      </c>
      <c r="R607" t="s">
        <v>517</v>
      </c>
      <c r="S607" t="s">
        <v>33</v>
      </c>
      <c r="T607" t="s">
        <v>881</v>
      </c>
    </row>
    <row r="608" spans="1:20" ht="16.5" x14ac:dyDescent="0.45">
      <c r="A608">
        <v>1607</v>
      </c>
      <c r="B608" t="s">
        <v>1562</v>
      </c>
      <c r="C608" t="s">
        <v>28</v>
      </c>
      <c r="D608" t="s">
        <v>21</v>
      </c>
      <c r="E608">
        <v>883799</v>
      </c>
      <c r="F608" s="1">
        <v>45510</v>
      </c>
      <c r="G608" s="1"/>
      <c r="I608">
        <v>2376</v>
      </c>
      <c r="K608">
        <v>5</v>
      </c>
      <c r="L608">
        <v>5</v>
      </c>
      <c r="M608" t="s">
        <v>62</v>
      </c>
      <c r="N608">
        <v>2012</v>
      </c>
      <c r="O608">
        <v>10</v>
      </c>
      <c r="P608">
        <v>1</v>
      </c>
      <c r="Q608" t="s">
        <v>162</v>
      </c>
      <c r="R608" t="s">
        <v>1563</v>
      </c>
      <c r="S608" t="s">
        <v>33</v>
      </c>
      <c r="T608" t="s">
        <v>1242</v>
      </c>
    </row>
    <row r="609" spans="1:20" ht="16.5" x14ac:dyDescent="0.45">
      <c r="A609">
        <v>1608</v>
      </c>
      <c r="B609" t="s">
        <v>1564</v>
      </c>
      <c r="C609" t="s">
        <v>36</v>
      </c>
      <c r="D609" t="s">
        <v>42</v>
      </c>
      <c r="E609">
        <v>923285</v>
      </c>
      <c r="F609" s="1">
        <v>45472</v>
      </c>
      <c r="G609" s="1"/>
      <c r="I609">
        <v>3949</v>
      </c>
      <c r="K609">
        <v>2</v>
      </c>
      <c r="L609">
        <v>4</v>
      </c>
      <c r="M609" t="s">
        <v>62</v>
      </c>
      <c r="N609">
        <v>2018</v>
      </c>
      <c r="O609">
        <v>7</v>
      </c>
      <c r="P609">
        <v>3</v>
      </c>
      <c r="Q609" t="s">
        <v>38</v>
      </c>
      <c r="R609" t="s">
        <v>1565</v>
      </c>
      <c r="S609" t="s">
        <v>33</v>
      </c>
      <c r="T609" t="s">
        <v>426</v>
      </c>
    </row>
    <row r="610" spans="1:20" ht="16.5" x14ac:dyDescent="0.45">
      <c r="A610">
        <v>1609</v>
      </c>
      <c r="B610" t="s">
        <v>1566</v>
      </c>
      <c r="C610" t="s">
        <v>20</v>
      </c>
      <c r="D610" t="s">
        <v>29</v>
      </c>
      <c r="E610">
        <v>730718</v>
      </c>
      <c r="F610" s="1">
        <v>45495</v>
      </c>
      <c r="G610" s="1">
        <v>45332</v>
      </c>
      <c r="H610">
        <v>772661</v>
      </c>
      <c r="I610">
        <v>2378</v>
      </c>
      <c r="J610" s="5">
        <v>1837387858</v>
      </c>
      <c r="K610">
        <v>5</v>
      </c>
      <c r="L610">
        <v>2</v>
      </c>
      <c r="M610" t="s">
        <v>37</v>
      </c>
      <c r="N610">
        <v>2000</v>
      </c>
      <c r="O610">
        <v>10</v>
      </c>
      <c r="P610">
        <v>1</v>
      </c>
      <c r="Q610" t="s">
        <v>75</v>
      </c>
      <c r="R610" t="s">
        <v>1567</v>
      </c>
      <c r="S610" t="s">
        <v>25</v>
      </c>
      <c r="T610" t="s">
        <v>1568</v>
      </c>
    </row>
    <row r="611" spans="1:20" ht="16.5" x14ac:dyDescent="0.45">
      <c r="A611">
        <v>1610</v>
      </c>
      <c r="B611" t="s">
        <v>1569</v>
      </c>
      <c r="C611" t="s">
        <v>36</v>
      </c>
      <c r="D611" t="s">
        <v>29</v>
      </c>
      <c r="E611">
        <v>851637</v>
      </c>
      <c r="F611" s="1">
        <v>45468</v>
      </c>
      <c r="G611" s="1">
        <v>45552</v>
      </c>
      <c r="H611">
        <v>875435</v>
      </c>
      <c r="I611">
        <v>3284</v>
      </c>
      <c r="J611" s="5">
        <v>2874928540</v>
      </c>
      <c r="K611">
        <v>2</v>
      </c>
      <c r="L611">
        <v>5</v>
      </c>
      <c r="M611" t="s">
        <v>22</v>
      </c>
      <c r="N611">
        <v>2000</v>
      </c>
      <c r="P611">
        <v>4</v>
      </c>
      <c r="Q611" t="s">
        <v>162</v>
      </c>
      <c r="R611" t="s">
        <v>1570</v>
      </c>
      <c r="S611" t="s">
        <v>25</v>
      </c>
      <c r="T611" t="s">
        <v>40</v>
      </c>
    </row>
    <row r="612" spans="1:20" ht="16.5" x14ac:dyDescent="0.45">
      <c r="A612">
        <v>1611</v>
      </c>
      <c r="B612" t="s">
        <v>1571</v>
      </c>
      <c r="C612" t="s">
        <v>36</v>
      </c>
      <c r="D612" t="s">
        <v>21</v>
      </c>
      <c r="E612">
        <v>311274</v>
      </c>
      <c r="F612" s="1">
        <v>45478</v>
      </c>
      <c r="G612" s="1"/>
      <c r="I612">
        <v>2101</v>
      </c>
      <c r="K612">
        <v>3</v>
      </c>
      <c r="L612">
        <v>5</v>
      </c>
      <c r="M612" t="s">
        <v>37</v>
      </c>
      <c r="N612">
        <v>2005</v>
      </c>
      <c r="O612">
        <v>7</v>
      </c>
      <c r="P612">
        <v>2</v>
      </c>
      <c r="Q612" t="s">
        <v>162</v>
      </c>
      <c r="R612" t="s">
        <v>1572</v>
      </c>
      <c r="S612" t="s">
        <v>33</v>
      </c>
      <c r="T612" t="s">
        <v>1573</v>
      </c>
    </row>
    <row r="613" spans="1:20" ht="16.5" x14ac:dyDescent="0.45">
      <c r="A613">
        <v>1612</v>
      </c>
      <c r="B613" t="s">
        <v>1574</v>
      </c>
      <c r="C613" t="s">
        <v>20</v>
      </c>
      <c r="D613" t="s">
        <v>21</v>
      </c>
      <c r="E613">
        <v>530333</v>
      </c>
      <c r="F613" s="1">
        <v>45558</v>
      </c>
      <c r="G613" s="1"/>
      <c r="I613">
        <v>2786</v>
      </c>
      <c r="K613">
        <v>3</v>
      </c>
      <c r="L613">
        <v>2</v>
      </c>
      <c r="M613" t="s">
        <v>62</v>
      </c>
      <c r="N613">
        <v>2013</v>
      </c>
      <c r="O613">
        <v>9</v>
      </c>
      <c r="P613">
        <v>4</v>
      </c>
      <c r="Q613" t="s">
        <v>93</v>
      </c>
      <c r="R613" t="s">
        <v>1575</v>
      </c>
      <c r="S613" t="s">
        <v>33</v>
      </c>
      <c r="T613" t="s">
        <v>1576</v>
      </c>
    </row>
    <row r="614" spans="1:20" ht="16.5" x14ac:dyDescent="0.45">
      <c r="A614">
        <v>1613</v>
      </c>
      <c r="B614" t="s">
        <v>1577</v>
      </c>
      <c r="C614" t="s">
        <v>51</v>
      </c>
      <c r="D614" t="s">
        <v>42</v>
      </c>
      <c r="E614">
        <v>935446</v>
      </c>
      <c r="F614" s="1">
        <v>45588</v>
      </c>
      <c r="G614" s="1">
        <v>45332</v>
      </c>
      <c r="H614">
        <v>974873</v>
      </c>
      <c r="I614">
        <v>3522</v>
      </c>
      <c r="J614" s="5">
        <v>3433502706</v>
      </c>
      <c r="K614">
        <v>2</v>
      </c>
      <c r="L614">
        <v>4</v>
      </c>
      <c r="M614" t="s">
        <v>22</v>
      </c>
      <c r="N614">
        <v>2023</v>
      </c>
      <c r="P614">
        <v>4</v>
      </c>
      <c r="Q614" t="s">
        <v>86</v>
      </c>
      <c r="R614" t="s">
        <v>1578</v>
      </c>
      <c r="S614" t="s">
        <v>25</v>
      </c>
      <c r="T614" t="s">
        <v>1579</v>
      </c>
    </row>
    <row r="615" spans="1:20" ht="16.5" x14ac:dyDescent="0.45">
      <c r="A615">
        <v>1614</v>
      </c>
      <c r="B615" t="s">
        <v>1580</v>
      </c>
      <c r="C615" t="s">
        <v>20</v>
      </c>
      <c r="D615" t="s">
        <v>42</v>
      </c>
      <c r="E615">
        <v>335971</v>
      </c>
      <c r="F615" s="1">
        <v>45591</v>
      </c>
      <c r="G615" s="1">
        <v>45634</v>
      </c>
      <c r="H615">
        <v>355984</v>
      </c>
      <c r="I615">
        <v>2670</v>
      </c>
      <c r="J615" s="5">
        <v>950477280</v>
      </c>
      <c r="K615">
        <v>3</v>
      </c>
      <c r="L615">
        <v>3</v>
      </c>
      <c r="M615" t="s">
        <v>30</v>
      </c>
      <c r="N615">
        <v>2005</v>
      </c>
      <c r="O615">
        <v>1</v>
      </c>
      <c r="P615">
        <v>3</v>
      </c>
      <c r="Q615" t="s">
        <v>132</v>
      </c>
      <c r="R615" t="s">
        <v>1581</v>
      </c>
      <c r="S615" t="s">
        <v>25</v>
      </c>
      <c r="T615" t="s">
        <v>1582</v>
      </c>
    </row>
    <row r="616" spans="1:20" ht="16.5" x14ac:dyDescent="0.45">
      <c r="A616">
        <v>1615</v>
      </c>
      <c r="B616" t="s">
        <v>1583</v>
      </c>
      <c r="C616" t="s">
        <v>36</v>
      </c>
      <c r="D616" t="s">
        <v>42</v>
      </c>
      <c r="E616">
        <v>885280</v>
      </c>
      <c r="F616" s="1">
        <v>45282</v>
      </c>
      <c r="G616" s="1"/>
      <c r="I616">
        <v>2279</v>
      </c>
      <c r="K616">
        <v>6</v>
      </c>
      <c r="L616">
        <v>3</v>
      </c>
      <c r="M616" t="s">
        <v>30</v>
      </c>
      <c r="N616">
        <v>2020</v>
      </c>
      <c r="O616">
        <v>1</v>
      </c>
      <c r="P616">
        <v>3</v>
      </c>
      <c r="Q616" t="s">
        <v>93</v>
      </c>
      <c r="R616" t="s">
        <v>1584</v>
      </c>
      <c r="S616" t="s">
        <v>33</v>
      </c>
      <c r="T616" t="s">
        <v>77</v>
      </c>
    </row>
    <row r="617" spans="1:20" ht="16.5" x14ac:dyDescent="0.45">
      <c r="A617">
        <v>1616</v>
      </c>
      <c r="B617" t="s">
        <v>1585</v>
      </c>
      <c r="C617" t="s">
        <v>20</v>
      </c>
      <c r="D617" t="s">
        <v>29</v>
      </c>
      <c r="E617">
        <v>435864</v>
      </c>
      <c r="F617" s="1">
        <v>45503</v>
      </c>
      <c r="G617" s="1">
        <v>45613</v>
      </c>
      <c r="H617">
        <v>455539</v>
      </c>
      <c r="I617">
        <v>3570</v>
      </c>
      <c r="J617" s="5">
        <v>1626274230</v>
      </c>
      <c r="K617">
        <v>5</v>
      </c>
      <c r="L617">
        <v>5</v>
      </c>
      <c r="M617" t="s">
        <v>37</v>
      </c>
      <c r="N617">
        <v>2015</v>
      </c>
      <c r="O617">
        <v>6</v>
      </c>
      <c r="P617">
        <v>1</v>
      </c>
      <c r="Q617" t="s">
        <v>31</v>
      </c>
      <c r="R617" t="s">
        <v>1586</v>
      </c>
      <c r="S617" t="s">
        <v>25</v>
      </c>
      <c r="T617" t="s">
        <v>1587</v>
      </c>
    </row>
    <row r="618" spans="1:20" ht="16.5" x14ac:dyDescent="0.45">
      <c r="A618">
        <v>1617</v>
      </c>
      <c r="B618" t="s">
        <v>1588</v>
      </c>
      <c r="C618" t="s">
        <v>36</v>
      </c>
      <c r="D618" t="s">
        <v>29</v>
      </c>
      <c r="E618">
        <v>946043</v>
      </c>
      <c r="F618" s="1">
        <v>45385</v>
      </c>
      <c r="G618" s="1">
        <v>45399</v>
      </c>
      <c r="H618">
        <v>979718</v>
      </c>
      <c r="I618">
        <v>2083</v>
      </c>
      <c r="J618" s="5">
        <v>2040752594</v>
      </c>
      <c r="K618">
        <v>2</v>
      </c>
      <c r="L618">
        <v>3</v>
      </c>
      <c r="M618" t="s">
        <v>22</v>
      </c>
      <c r="N618">
        <v>2008</v>
      </c>
      <c r="P618">
        <v>4</v>
      </c>
      <c r="Q618" t="s">
        <v>132</v>
      </c>
      <c r="R618" t="s">
        <v>1589</v>
      </c>
      <c r="S618" t="s">
        <v>25</v>
      </c>
      <c r="T618" t="s">
        <v>1590</v>
      </c>
    </row>
    <row r="619" spans="1:20" ht="16.5" x14ac:dyDescent="0.45">
      <c r="A619">
        <v>1618</v>
      </c>
      <c r="B619" t="s">
        <v>1591</v>
      </c>
      <c r="C619" t="s">
        <v>47</v>
      </c>
      <c r="D619" t="s">
        <v>29</v>
      </c>
      <c r="E619">
        <v>899855</v>
      </c>
      <c r="F619" s="1">
        <v>45359</v>
      </c>
      <c r="G619" s="1"/>
      <c r="I619">
        <v>3161</v>
      </c>
      <c r="K619">
        <v>5</v>
      </c>
      <c r="L619">
        <v>5</v>
      </c>
      <c r="M619" t="s">
        <v>37</v>
      </c>
      <c r="N619">
        <v>2005</v>
      </c>
      <c r="O619">
        <v>5</v>
      </c>
      <c r="P619">
        <v>3</v>
      </c>
      <c r="Q619" t="s">
        <v>23</v>
      </c>
      <c r="R619" t="s">
        <v>1592</v>
      </c>
      <c r="S619" t="s">
        <v>33</v>
      </c>
      <c r="T619" t="s">
        <v>1593</v>
      </c>
    </row>
    <row r="620" spans="1:20" ht="16.5" x14ac:dyDescent="0.45">
      <c r="A620">
        <v>1619</v>
      </c>
      <c r="B620" t="s">
        <v>1594</v>
      </c>
      <c r="C620" t="s">
        <v>28</v>
      </c>
      <c r="D620" t="s">
        <v>29</v>
      </c>
      <c r="E620">
        <v>864544</v>
      </c>
      <c r="F620" s="1">
        <v>45596</v>
      </c>
      <c r="G620" s="1"/>
      <c r="I620">
        <v>4169</v>
      </c>
      <c r="K620">
        <v>4</v>
      </c>
      <c r="L620">
        <v>2</v>
      </c>
      <c r="M620" t="s">
        <v>62</v>
      </c>
      <c r="N620">
        <v>2017</v>
      </c>
      <c r="O620">
        <v>4</v>
      </c>
      <c r="P620">
        <v>4</v>
      </c>
      <c r="Q620" t="s">
        <v>43</v>
      </c>
      <c r="R620" t="s">
        <v>1595</v>
      </c>
      <c r="S620" t="s">
        <v>33</v>
      </c>
      <c r="T620" t="s">
        <v>1596</v>
      </c>
    </row>
    <row r="621" spans="1:20" ht="16.5" x14ac:dyDescent="0.45">
      <c r="A621">
        <v>1620</v>
      </c>
      <c r="B621" t="s">
        <v>1597</v>
      </c>
      <c r="C621" t="s">
        <v>51</v>
      </c>
      <c r="D621" t="s">
        <v>42</v>
      </c>
      <c r="E621">
        <v>794742</v>
      </c>
      <c r="F621" s="1">
        <v>45440</v>
      </c>
      <c r="G621" s="1"/>
      <c r="I621">
        <v>2486</v>
      </c>
      <c r="K621">
        <v>6</v>
      </c>
      <c r="L621">
        <v>4</v>
      </c>
      <c r="M621" t="s">
        <v>22</v>
      </c>
      <c r="N621">
        <v>2003</v>
      </c>
      <c r="P621">
        <v>2</v>
      </c>
      <c r="Q621" t="s">
        <v>86</v>
      </c>
      <c r="R621" t="s">
        <v>1598</v>
      </c>
      <c r="S621" t="s">
        <v>33</v>
      </c>
      <c r="T621" t="s">
        <v>1599</v>
      </c>
    </row>
    <row r="622" spans="1:20" ht="16.5" x14ac:dyDescent="0.45">
      <c r="A622">
        <v>1621</v>
      </c>
      <c r="B622" t="s">
        <v>1600</v>
      </c>
      <c r="C622" t="s">
        <v>36</v>
      </c>
      <c r="D622" t="s">
        <v>21</v>
      </c>
      <c r="E622">
        <v>383979</v>
      </c>
      <c r="F622" s="1">
        <v>45409</v>
      </c>
      <c r="G622" s="1"/>
      <c r="I622">
        <v>4978</v>
      </c>
      <c r="K622">
        <v>6</v>
      </c>
      <c r="L622">
        <v>5</v>
      </c>
      <c r="M622" t="s">
        <v>30</v>
      </c>
      <c r="N622">
        <v>2009</v>
      </c>
      <c r="O622">
        <v>3</v>
      </c>
      <c r="P622">
        <v>2</v>
      </c>
      <c r="Q622" t="s">
        <v>31</v>
      </c>
      <c r="R622" t="s">
        <v>1601</v>
      </c>
      <c r="S622" t="s">
        <v>33</v>
      </c>
      <c r="T622" t="s">
        <v>1602</v>
      </c>
    </row>
    <row r="623" spans="1:20" ht="16.5" x14ac:dyDescent="0.45">
      <c r="A623">
        <v>1622</v>
      </c>
      <c r="B623" t="s">
        <v>1603</v>
      </c>
      <c r="C623" t="s">
        <v>36</v>
      </c>
      <c r="D623" t="s">
        <v>42</v>
      </c>
      <c r="E623">
        <v>614216</v>
      </c>
      <c r="F623" s="1">
        <v>45619</v>
      </c>
      <c r="G623" s="1"/>
      <c r="I623">
        <v>1621</v>
      </c>
      <c r="K623">
        <v>2</v>
      </c>
      <c r="L623">
        <v>3</v>
      </c>
      <c r="M623" t="s">
        <v>62</v>
      </c>
      <c r="N623">
        <v>2005</v>
      </c>
      <c r="O623">
        <v>10</v>
      </c>
      <c r="P623">
        <v>2</v>
      </c>
      <c r="Q623" t="s">
        <v>86</v>
      </c>
      <c r="R623" t="s">
        <v>1604</v>
      </c>
      <c r="S623" t="s">
        <v>33</v>
      </c>
      <c r="T623" t="s">
        <v>372</v>
      </c>
    </row>
    <row r="624" spans="1:20" ht="16.5" x14ac:dyDescent="0.45">
      <c r="A624">
        <v>1623</v>
      </c>
      <c r="B624" t="s">
        <v>1605</v>
      </c>
      <c r="C624" t="s">
        <v>28</v>
      </c>
      <c r="D624" t="s">
        <v>21</v>
      </c>
      <c r="E624">
        <v>877587</v>
      </c>
      <c r="F624" s="1">
        <v>45597</v>
      </c>
      <c r="G624" s="1">
        <v>45496</v>
      </c>
      <c r="H624">
        <v>898373</v>
      </c>
      <c r="I624">
        <v>1922</v>
      </c>
      <c r="J624" s="5">
        <v>1726672906</v>
      </c>
      <c r="K624">
        <v>5</v>
      </c>
      <c r="L624">
        <v>2</v>
      </c>
      <c r="M624" t="s">
        <v>22</v>
      </c>
      <c r="N624">
        <v>2018</v>
      </c>
      <c r="P624">
        <v>1</v>
      </c>
      <c r="Q624" t="s">
        <v>86</v>
      </c>
      <c r="R624" t="s">
        <v>1606</v>
      </c>
      <c r="S624" t="s">
        <v>25</v>
      </c>
      <c r="T624" t="s">
        <v>668</v>
      </c>
    </row>
    <row r="625" spans="1:20" ht="16.5" x14ac:dyDescent="0.45">
      <c r="A625">
        <v>1624</v>
      </c>
      <c r="B625" t="s">
        <v>1607</v>
      </c>
      <c r="C625" t="s">
        <v>51</v>
      </c>
      <c r="D625" t="s">
        <v>42</v>
      </c>
      <c r="E625">
        <v>819566</v>
      </c>
      <c r="F625" s="1">
        <v>45461</v>
      </c>
      <c r="G625" s="1">
        <v>45421</v>
      </c>
      <c r="H625">
        <v>839318</v>
      </c>
      <c r="I625">
        <v>2098</v>
      </c>
      <c r="J625" s="5">
        <v>1760889164</v>
      </c>
      <c r="K625">
        <v>6</v>
      </c>
      <c r="L625">
        <v>3</v>
      </c>
      <c r="M625" t="s">
        <v>62</v>
      </c>
      <c r="N625">
        <v>2007</v>
      </c>
      <c r="O625">
        <v>10</v>
      </c>
      <c r="P625">
        <v>4</v>
      </c>
      <c r="Q625" t="s">
        <v>23</v>
      </c>
      <c r="R625" t="s">
        <v>1608</v>
      </c>
      <c r="S625" t="s">
        <v>25</v>
      </c>
      <c r="T625" t="s">
        <v>1256</v>
      </c>
    </row>
    <row r="626" spans="1:20" ht="16.5" x14ac:dyDescent="0.45">
      <c r="A626">
        <v>1625</v>
      </c>
      <c r="B626" t="s">
        <v>1609</v>
      </c>
      <c r="C626" t="s">
        <v>47</v>
      </c>
      <c r="D626" t="s">
        <v>21</v>
      </c>
      <c r="E626">
        <v>508040</v>
      </c>
      <c r="F626" s="1">
        <v>45472</v>
      </c>
      <c r="G626" s="1">
        <v>45432</v>
      </c>
      <c r="H626">
        <v>531838</v>
      </c>
      <c r="I626">
        <v>4439</v>
      </c>
      <c r="J626" s="5">
        <v>2360828882</v>
      </c>
      <c r="K626">
        <v>3</v>
      </c>
      <c r="L626">
        <v>2</v>
      </c>
      <c r="M626" t="s">
        <v>62</v>
      </c>
      <c r="N626">
        <v>2018</v>
      </c>
      <c r="O626">
        <v>1</v>
      </c>
      <c r="P626">
        <v>4</v>
      </c>
      <c r="Q626" t="s">
        <v>162</v>
      </c>
      <c r="R626" t="s">
        <v>1610</v>
      </c>
      <c r="S626" t="s">
        <v>25</v>
      </c>
      <c r="T626" t="s">
        <v>183</v>
      </c>
    </row>
    <row r="627" spans="1:20" ht="16.5" x14ac:dyDescent="0.45">
      <c r="A627">
        <v>1626</v>
      </c>
      <c r="B627" t="s">
        <v>1611</v>
      </c>
      <c r="C627" t="s">
        <v>28</v>
      </c>
      <c r="D627" t="s">
        <v>42</v>
      </c>
      <c r="E627">
        <v>574098</v>
      </c>
      <c r="F627" s="1">
        <v>45573</v>
      </c>
      <c r="G627" s="1">
        <v>45579</v>
      </c>
      <c r="H627">
        <v>622627</v>
      </c>
      <c r="I627">
        <v>1253</v>
      </c>
      <c r="J627" s="5">
        <v>780151631</v>
      </c>
      <c r="K627">
        <v>2</v>
      </c>
      <c r="L627">
        <v>2</v>
      </c>
      <c r="M627" t="s">
        <v>30</v>
      </c>
      <c r="N627">
        <v>2016</v>
      </c>
      <c r="O627">
        <v>7</v>
      </c>
      <c r="P627">
        <v>3</v>
      </c>
      <c r="Q627" t="s">
        <v>23</v>
      </c>
      <c r="R627" t="s">
        <v>1612</v>
      </c>
      <c r="S627" t="s">
        <v>25</v>
      </c>
      <c r="T627" t="s">
        <v>1613</v>
      </c>
    </row>
    <row r="628" spans="1:20" ht="16.5" x14ac:dyDescent="0.45">
      <c r="A628">
        <v>1627</v>
      </c>
      <c r="B628" t="s">
        <v>1614</v>
      </c>
      <c r="C628" t="s">
        <v>28</v>
      </c>
      <c r="D628" t="s">
        <v>21</v>
      </c>
      <c r="E628">
        <v>597538</v>
      </c>
      <c r="F628" s="1">
        <v>45449</v>
      </c>
      <c r="G628" s="1"/>
      <c r="I628">
        <v>2839</v>
      </c>
      <c r="K628">
        <v>6</v>
      </c>
      <c r="L628">
        <v>3</v>
      </c>
      <c r="M628" t="s">
        <v>62</v>
      </c>
      <c r="N628">
        <v>2006</v>
      </c>
      <c r="O628">
        <v>6</v>
      </c>
      <c r="P628">
        <v>3</v>
      </c>
      <c r="Q628" t="s">
        <v>162</v>
      </c>
      <c r="R628" t="s">
        <v>1615</v>
      </c>
      <c r="S628" t="s">
        <v>33</v>
      </c>
      <c r="T628" t="s">
        <v>1616</v>
      </c>
    </row>
    <row r="629" spans="1:20" ht="16.5" x14ac:dyDescent="0.45">
      <c r="A629">
        <v>1628</v>
      </c>
      <c r="B629" t="s">
        <v>1617</v>
      </c>
      <c r="C629" t="s">
        <v>28</v>
      </c>
      <c r="D629" t="s">
        <v>29</v>
      </c>
      <c r="E629">
        <v>491979</v>
      </c>
      <c r="F629" s="1">
        <v>45541</v>
      </c>
      <c r="G629" s="1">
        <v>45506</v>
      </c>
      <c r="H629">
        <v>540561</v>
      </c>
      <c r="I629">
        <v>3982</v>
      </c>
      <c r="J629" s="5">
        <v>2152513902</v>
      </c>
      <c r="K629">
        <v>4</v>
      </c>
      <c r="L629">
        <v>3</v>
      </c>
      <c r="M629" t="s">
        <v>30</v>
      </c>
      <c r="N629">
        <v>2011</v>
      </c>
      <c r="O629">
        <v>3</v>
      </c>
      <c r="P629">
        <v>4</v>
      </c>
      <c r="Q629" t="s">
        <v>38</v>
      </c>
      <c r="R629" t="s">
        <v>1618</v>
      </c>
      <c r="S629" t="s">
        <v>25</v>
      </c>
      <c r="T629" t="s">
        <v>1619</v>
      </c>
    </row>
    <row r="630" spans="1:20" ht="16.5" x14ac:dyDescent="0.45">
      <c r="A630">
        <v>1629</v>
      </c>
      <c r="B630" t="s">
        <v>1620</v>
      </c>
      <c r="C630" t="s">
        <v>20</v>
      </c>
      <c r="D630" t="s">
        <v>21</v>
      </c>
      <c r="E630">
        <v>629305</v>
      </c>
      <c r="F630" s="1">
        <v>45534</v>
      </c>
      <c r="G630" s="1"/>
      <c r="I630">
        <v>1669</v>
      </c>
      <c r="K630">
        <v>3</v>
      </c>
      <c r="L630">
        <v>5</v>
      </c>
      <c r="M630" t="s">
        <v>37</v>
      </c>
      <c r="N630">
        <v>2008</v>
      </c>
      <c r="O630">
        <v>3</v>
      </c>
      <c r="P630">
        <v>1</v>
      </c>
      <c r="Q630" t="s">
        <v>23</v>
      </c>
      <c r="R630" t="s">
        <v>1621</v>
      </c>
      <c r="S630" t="s">
        <v>33</v>
      </c>
      <c r="T630" t="s">
        <v>137</v>
      </c>
    </row>
    <row r="631" spans="1:20" ht="16.5" x14ac:dyDescent="0.45">
      <c r="A631">
        <v>1630</v>
      </c>
      <c r="B631" t="s">
        <v>1622</v>
      </c>
      <c r="C631" t="s">
        <v>47</v>
      </c>
      <c r="D631" t="s">
        <v>42</v>
      </c>
      <c r="E631">
        <v>533166</v>
      </c>
      <c r="F631" s="1">
        <v>45346</v>
      </c>
      <c r="G631" s="1"/>
      <c r="I631">
        <v>1272</v>
      </c>
      <c r="K631">
        <v>2</v>
      </c>
      <c r="L631">
        <v>3</v>
      </c>
      <c r="M631" t="s">
        <v>22</v>
      </c>
      <c r="N631">
        <v>2023</v>
      </c>
      <c r="P631">
        <v>3</v>
      </c>
      <c r="Q631" t="s">
        <v>38</v>
      </c>
      <c r="R631" t="s">
        <v>1623</v>
      </c>
      <c r="S631" t="s">
        <v>33</v>
      </c>
      <c r="T631" t="s">
        <v>1624</v>
      </c>
    </row>
    <row r="632" spans="1:20" ht="16.5" x14ac:dyDescent="0.45">
      <c r="A632">
        <v>1631</v>
      </c>
      <c r="B632" t="s">
        <v>1625</v>
      </c>
      <c r="C632" t="s">
        <v>47</v>
      </c>
      <c r="D632" t="s">
        <v>42</v>
      </c>
      <c r="E632">
        <v>722396</v>
      </c>
      <c r="F632" s="1">
        <v>45599</v>
      </c>
      <c r="G632" s="1">
        <v>45500</v>
      </c>
      <c r="H632">
        <v>743093</v>
      </c>
      <c r="I632">
        <v>4732</v>
      </c>
      <c r="J632" s="5">
        <v>3516316076</v>
      </c>
      <c r="K632">
        <v>5</v>
      </c>
      <c r="L632">
        <v>3</v>
      </c>
      <c r="M632" t="s">
        <v>30</v>
      </c>
      <c r="N632">
        <v>2016</v>
      </c>
      <c r="O632">
        <v>4</v>
      </c>
      <c r="P632">
        <v>4</v>
      </c>
      <c r="Q632" t="s">
        <v>38</v>
      </c>
      <c r="R632" t="s">
        <v>1626</v>
      </c>
      <c r="S632" t="s">
        <v>25</v>
      </c>
      <c r="T632" t="s">
        <v>137</v>
      </c>
    </row>
    <row r="633" spans="1:20" ht="16.5" x14ac:dyDescent="0.45">
      <c r="A633">
        <v>1632</v>
      </c>
      <c r="B633" t="s">
        <v>1627</v>
      </c>
      <c r="C633" t="s">
        <v>28</v>
      </c>
      <c r="D633" t="s">
        <v>29</v>
      </c>
      <c r="E633">
        <v>883020</v>
      </c>
      <c r="F633" s="1">
        <v>45468</v>
      </c>
      <c r="G633" s="1">
        <v>45402</v>
      </c>
      <c r="H633">
        <v>909552</v>
      </c>
      <c r="I633">
        <v>4306</v>
      </c>
      <c r="J633" s="5">
        <v>3916530912</v>
      </c>
      <c r="K633">
        <v>4</v>
      </c>
      <c r="L633">
        <v>5</v>
      </c>
      <c r="M633" t="s">
        <v>62</v>
      </c>
      <c r="N633">
        <v>2001</v>
      </c>
      <c r="O633">
        <v>9</v>
      </c>
      <c r="P633">
        <v>1</v>
      </c>
      <c r="Q633" t="s">
        <v>31</v>
      </c>
      <c r="R633" t="s">
        <v>1628</v>
      </c>
      <c r="S633" t="s">
        <v>25</v>
      </c>
      <c r="T633" t="s">
        <v>110</v>
      </c>
    </row>
    <row r="634" spans="1:20" ht="16.5" x14ac:dyDescent="0.45">
      <c r="A634">
        <v>1633</v>
      </c>
      <c r="B634" t="s">
        <v>1629</v>
      </c>
      <c r="C634" t="s">
        <v>20</v>
      </c>
      <c r="D634" t="s">
        <v>29</v>
      </c>
      <c r="E634">
        <v>974917</v>
      </c>
      <c r="F634" s="1">
        <v>45468</v>
      </c>
      <c r="G634" s="1">
        <v>45324</v>
      </c>
      <c r="H634">
        <v>1000796</v>
      </c>
      <c r="I634">
        <v>3099</v>
      </c>
      <c r="J634" s="5">
        <v>3101466804</v>
      </c>
      <c r="K634">
        <v>4</v>
      </c>
      <c r="L634">
        <v>5</v>
      </c>
      <c r="M634" t="s">
        <v>22</v>
      </c>
      <c r="N634">
        <v>2015</v>
      </c>
      <c r="P634">
        <v>2</v>
      </c>
      <c r="Q634" t="s">
        <v>75</v>
      </c>
      <c r="R634" t="s">
        <v>1630</v>
      </c>
      <c r="S634" t="s">
        <v>25</v>
      </c>
      <c r="T634" t="s">
        <v>1631</v>
      </c>
    </row>
    <row r="635" spans="1:20" ht="16.5" x14ac:dyDescent="0.45">
      <c r="A635">
        <v>1634</v>
      </c>
      <c r="B635" t="s">
        <v>1632</v>
      </c>
      <c r="C635" t="s">
        <v>28</v>
      </c>
      <c r="D635" t="s">
        <v>21</v>
      </c>
      <c r="E635">
        <v>559085</v>
      </c>
      <c r="F635" s="1">
        <v>45529</v>
      </c>
      <c r="G635" s="1">
        <v>45454</v>
      </c>
      <c r="H635">
        <v>609008</v>
      </c>
      <c r="I635">
        <v>3490</v>
      </c>
      <c r="J635" s="5">
        <v>2125437920</v>
      </c>
      <c r="K635">
        <v>2</v>
      </c>
      <c r="L635">
        <v>4</v>
      </c>
      <c r="M635" t="s">
        <v>22</v>
      </c>
      <c r="N635">
        <v>2008</v>
      </c>
      <c r="P635">
        <v>1</v>
      </c>
      <c r="Q635" t="s">
        <v>162</v>
      </c>
      <c r="R635" t="s">
        <v>1633</v>
      </c>
      <c r="S635" t="s">
        <v>25</v>
      </c>
      <c r="T635" t="s">
        <v>1634</v>
      </c>
    </row>
    <row r="636" spans="1:20" ht="16.5" x14ac:dyDescent="0.45">
      <c r="A636">
        <v>1635</v>
      </c>
      <c r="B636" t="s">
        <v>1635</v>
      </c>
      <c r="C636" t="s">
        <v>20</v>
      </c>
      <c r="D636" t="s">
        <v>21</v>
      </c>
      <c r="E636">
        <v>415479</v>
      </c>
      <c r="F636" s="1">
        <v>45577</v>
      </c>
      <c r="G636" s="1">
        <v>45560</v>
      </c>
      <c r="H636">
        <v>450220</v>
      </c>
      <c r="I636">
        <v>3259</v>
      </c>
      <c r="J636" s="5">
        <v>1467266980</v>
      </c>
      <c r="K636">
        <v>3</v>
      </c>
      <c r="L636">
        <v>5</v>
      </c>
      <c r="M636" t="s">
        <v>30</v>
      </c>
      <c r="N636">
        <v>2018</v>
      </c>
      <c r="O636">
        <v>9</v>
      </c>
      <c r="P636">
        <v>3</v>
      </c>
      <c r="Q636" t="s">
        <v>132</v>
      </c>
      <c r="R636" t="s">
        <v>1636</v>
      </c>
      <c r="S636" t="s">
        <v>25</v>
      </c>
      <c r="T636" t="s">
        <v>1378</v>
      </c>
    </row>
    <row r="637" spans="1:20" ht="16.5" x14ac:dyDescent="0.45">
      <c r="A637">
        <v>1636</v>
      </c>
      <c r="B637" t="s">
        <v>1637</v>
      </c>
      <c r="C637" t="s">
        <v>36</v>
      </c>
      <c r="D637" t="s">
        <v>42</v>
      </c>
      <c r="E637">
        <v>741298</v>
      </c>
      <c r="F637" s="1">
        <v>45346</v>
      </c>
      <c r="G637" s="1">
        <v>45447</v>
      </c>
      <c r="H637">
        <v>778079</v>
      </c>
      <c r="I637">
        <v>2049</v>
      </c>
      <c r="J637" s="5">
        <v>1594283871</v>
      </c>
      <c r="K637">
        <v>2</v>
      </c>
      <c r="L637">
        <v>4</v>
      </c>
      <c r="M637" t="s">
        <v>22</v>
      </c>
      <c r="N637">
        <v>2016</v>
      </c>
      <c r="P637">
        <v>1</v>
      </c>
      <c r="Q637" t="s">
        <v>93</v>
      </c>
      <c r="R637" t="s">
        <v>1638</v>
      </c>
      <c r="S637" t="s">
        <v>25</v>
      </c>
      <c r="T637" t="s">
        <v>1639</v>
      </c>
    </row>
    <row r="638" spans="1:20" ht="16.5" x14ac:dyDescent="0.45">
      <c r="A638">
        <v>1637</v>
      </c>
      <c r="B638" t="s">
        <v>1640</v>
      </c>
      <c r="C638" t="s">
        <v>51</v>
      </c>
      <c r="D638" t="s">
        <v>42</v>
      </c>
      <c r="E638">
        <v>563104</v>
      </c>
      <c r="F638" s="1">
        <v>45641</v>
      </c>
      <c r="G638" s="1">
        <v>45494</v>
      </c>
      <c r="H638">
        <v>579740</v>
      </c>
      <c r="I638">
        <v>1460</v>
      </c>
      <c r="J638" s="5">
        <v>846420400</v>
      </c>
      <c r="K638">
        <v>5</v>
      </c>
      <c r="L638">
        <v>2</v>
      </c>
      <c r="M638" t="s">
        <v>62</v>
      </c>
      <c r="N638">
        <v>2022</v>
      </c>
      <c r="O638">
        <v>9</v>
      </c>
      <c r="P638">
        <v>3</v>
      </c>
      <c r="Q638" t="s">
        <v>132</v>
      </c>
      <c r="R638" t="s">
        <v>1641</v>
      </c>
      <c r="S638" t="s">
        <v>25</v>
      </c>
      <c r="T638" t="s">
        <v>1642</v>
      </c>
    </row>
    <row r="639" spans="1:20" ht="16.5" x14ac:dyDescent="0.45">
      <c r="A639">
        <v>1638</v>
      </c>
      <c r="B639" t="s">
        <v>1643</v>
      </c>
      <c r="C639" t="s">
        <v>51</v>
      </c>
      <c r="D639" t="s">
        <v>21</v>
      </c>
      <c r="E639">
        <v>533042</v>
      </c>
      <c r="F639" s="1">
        <v>45320</v>
      </c>
      <c r="G639" s="1"/>
      <c r="I639">
        <v>2469</v>
      </c>
      <c r="K639">
        <v>2</v>
      </c>
      <c r="L639">
        <v>5</v>
      </c>
      <c r="M639" t="s">
        <v>22</v>
      </c>
      <c r="N639">
        <v>2009</v>
      </c>
      <c r="P639">
        <v>2</v>
      </c>
      <c r="Q639" t="s">
        <v>58</v>
      </c>
      <c r="R639" t="s">
        <v>1644</v>
      </c>
      <c r="S639" t="s">
        <v>33</v>
      </c>
      <c r="T639" t="s">
        <v>152</v>
      </c>
    </row>
    <row r="640" spans="1:20" ht="16.5" x14ac:dyDescent="0.45">
      <c r="A640">
        <v>1639</v>
      </c>
      <c r="B640" t="s">
        <v>1645</v>
      </c>
      <c r="C640" t="s">
        <v>47</v>
      </c>
      <c r="D640" t="s">
        <v>21</v>
      </c>
      <c r="E640">
        <v>947561</v>
      </c>
      <c r="F640" s="1">
        <v>45442</v>
      </c>
      <c r="G640" s="1">
        <v>45335</v>
      </c>
      <c r="H640">
        <v>983217</v>
      </c>
      <c r="I640">
        <v>4827</v>
      </c>
      <c r="J640" s="5">
        <v>4745988459</v>
      </c>
      <c r="K640">
        <v>3</v>
      </c>
      <c r="L640">
        <v>4</v>
      </c>
      <c r="M640" t="s">
        <v>62</v>
      </c>
      <c r="N640">
        <v>2017</v>
      </c>
      <c r="O640">
        <v>7</v>
      </c>
      <c r="P640">
        <v>4</v>
      </c>
      <c r="Q640" t="s">
        <v>93</v>
      </c>
      <c r="R640" t="s">
        <v>1646</v>
      </c>
      <c r="S640" t="s">
        <v>25</v>
      </c>
      <c r="T640" t="s">
        <v>1647</v>
      </c>
    </row>
    <row r="641" spans="1:20" ht="16.5" x14ac:dyDescent="0.45">
      <c r="A641">
        <v>1640</v>
      </c>
      <c r="B641" t="s">
        <v>1648</v>
      </c>
      <c r="C641" t="s">
        <v>20</v>
      </c>
      <c r="D641" t="s">
        <v>21</v>
      </c>
      <c r="E641">
        <v>960868</v>
      </c>
      <c r="F641" s="1">
        <v>45552</v>
      </c>
      <c r="G641" s="1">
        <v>45642</v>
      </c>
      <c r="H641">
        <v>1009597</v>
      </c>
      <c r="I641">
        <v>3143</v>
      </c>
      <c r="J641" s="5">
        <v>3173163371</v>
      </c>
      <c r="K641">
        <v>6</v>
      </c>
      <c r="L641">
        <v>3</v>
      </c>
      <c r="M641" t="s">
        <v>62</v>
      </c>
      <c r="N641">
        <v>2008</v>
      </c>
      <c r="O641">
        <v>3</v>
      </c>
      <c r="P641">
        <v>3</v>
      </c>
      <c r="Q641" t="s">
        <v>162</v>
      </c>
      <c r="R641" t="s">
        <v>1649</v>
      </c>
      <c r="S641" t="s">
        <v>25</v>
      </c>
      <c r="T641" t="s">
        <v>822</v>
      </c>
    </row>
    <row r="642" spans="1:20" ht="16.5" x14ac:dyDescent="0.45">
      <c r="A642">
        <v>1641</v>
      </c>
      <c r="B642" t="s">
        <v>1650</v>
      </c>
      <c r="C642" t="s">
        <v>20</v>
      </c>
      <c r="D642" t="s">
        <v>29</v>
      </c>
      <c r="E642">
        <v>465185</v>
      </c>
      <c r="F642" s="1">
        <v>45589</v>
      </c>
      <c r="G642" s="1"/>
      <c r="I642">
        <v>1327</v>
      </c>
      <c r="K642">
        <v>4</v>
      </c>
      <c r="L642">
        <v>5</v>
      </c>
      <c r="M642" t="s">
        <v>22</v>
      </c>
      <c r="N642">
        <v>2023</v>
      </c>
      <c r="P642">
        <v>4</v>
      </c>
      <c r="Q642" t="s">
        <v>93</v>
      </c>
      <c r="R642" t="s">
        <v>1651</v>
      </c>
      <c r="S642" t="s">
        <v>33</v>
      </c>
      <c r="T642" t="s">
        <v>77</v>
      </c>
    </row>
    <row r="643" spans="1:20" ht="16.5" x14ac:dyDescent="0.45">
      <c r="A643">
        <v>1642</v>
      </c>
      <c r="B643" t="s">
        <v>1652</v>
      </c>
      <c r="C643" t="s">
        <v>47</v>
      </c>
      <c r="D643" t="s">
        <v>29</v>
      </c>
      <c r="E643">
        <v>587836</v>
      </c>
      <c r="F643" s="1">
        <v>45499</v>
      </c>
      <c r="G643" s="1"/>
      <c r="I643">
        <v>2409</v>
      </c>
      <c r="K643">
        <v>4</v>
      </c>
      <c r="L643">
        <v>5</v>
      </c>
      <c r="M643" t="s">
        <v>37</v>
      </c>
      <c r="N643">
        <v>2011</v>
      </c>
      <c r="O643">
        <v>5</v>
      </c>
      <c r="P643">
        <v>4</v>
      </c>
      <c r="Q643" t="s">
        <v>43</v>
      </c>
      <c r="R643" t="s">
        <v>1653</v>
      </c>
      <c r="S643" t="s">
        <v>33</v>
      </c>
      <c r="T643" t="s">
        <v>70</v>
      </c>
    </row>
    <row r="644" spans="1:20" ht="16.5" x14ac:dyDescent="0.45">
      <c r="A644">
        <v>1643</v>
      </c>
      <c r="B644" t="s">
        <v>1654</v>
      </c>
      <c r="C644" t="s">
        <v>47</v>
      </c>
      <c r="D644" t="s">
        <v>42</v>
      </c>
      <c r="E644">
        <v>395155</v>
      </c>
      <c r="F644" s="1">
        <v>45637</v>
      </c>
      <c r="G644" s="1"/>
      <c r="I644">
        <v>4116</v>
      </c>
      <c r="K644">
        <v>2</v>
      </c>
      <c r="L644">
        <v>3</v>
      </c>
      <c r="M644" t="s">
        <v>30</v>
      </c>
      <c r="N644">
        <v>2004</v>
      </c>
      <c r="O644">
        <v>6</v>
      </c>
      <c r="P644">
        <v>2</v>
      </c>
      <c r="Q644" t="s">
        <v>75</v>
      </c>
      <c r="R644" t="s">
        <v>1655</v>
      </c>
      <c r="S644" t="s">
        <v>33</v>
      </c>
      <c r="T644" t="s">
        <v>230</v>
      </c>
    </row>
    <row r="645" spans="1:20" ht="16.5" x14ac:dyDescent="0.45">
      <c r="A645">
        <v>1644</v>
      </c>
      <c r="B645" t="s">
        <v>1656</v>
      </c>
      <c r="C645" t="s">
        <v>47</v>
      </c>
      <c r="D645" t="s">
        <v>42</v>
      </c>
      <c r="E645">
        <v>557859</v>
      </c>
      <c r="F645" s="1">
        <v>45530</v>
      </c>
      <c r="G645" s="1">
        <v>45557</v>
      </c>
      <c r="H645">
        <v>574775</v>
      </c>
      <c r="I645">
        <v>3592</v>
      </c>
      <c r="J645" s="5">
        <v>2064591800</v>
      </c>
      <c r="K645">
        <v>5</v>
      </c>
      <c r="L645">
        <v>2</v>
      </c>
      <c r="M645" t="s">
        <v>37</v>
      </c>
      <c r="N645">
        <v>2002</v>
      </c>
      <c r="O645">
        <v>5</v>
      </c>
      <c r="P645">
        <v>3</v>
      </c>
      <c r="Q645" t="s">
        <v>31</v>
      </c>
      <c r="R645" t="s">
        <v>1657</v>
      </c>
      <c r="S645" t="s">
        <v>25</v>
      </c>
      <c r="T645" t="s">
        <v>1658</v>
      </c>
    </row>
    <row r="646" spans="1:20" ht="16.5" x14ac:dyDescent="0.45">
      <c r="A646">
        <v>1645</v>
      </c>
      <c r="B646" t="s">
        <v>1659</v>
      </c>
      <c r="C646" t="s">
        <v>47</v>
      </c>
      <c r="D646" t="s">
        <v>29</v>
      </c>
      <c r="E646">
        <v>568725</v>
      </c>
      <c r="F646" s="1">
        <v>45576</v>
      </c>
      <c r="G646" s="1">
        <v>45576</v>
      </c>
      <c r="H646">
        <v>616274</v>
      </c>
      <c r="I646">
        <v>1900</v>
      </c>
      <c r="J646" s="5">
        <v>1170920600</v>
      </c>
      <c r="K646">
        <v>5</v>
      </c>
      <c r="L646">
        <v>5</v>
      </c>
      <c r="M646" t="s">
        <v>37</v>
      </c>
      <c r="N646">
        <v>2022</v>
      </c>
      <c r="O646">
        <v>6</v>
      </c>
      <c r="P646">
        <v>4</v>
      </c>
      <c r="Q646" t="s">
        <v>86</v>
      </c>
      <c r="R646" t="s">
        <v>1660</v>
      </c>
      <c r="S646" t="s">
        <v>25</v>
      </c>
      <c r="T646" t="s">
        <v>1661</v>
      </c>
    </row>
    <row r="647" spans="1:20" ht="16.5" x14ac:dyDescent="0.45">
      <c r="A647">
        <v>1646</v>
      </c>
      <c r="B647" t="s">
        <v>1662</v>
      </c>
      <c r="C647" t="s">
        <v>47</v>
      </c>
      <c r="D647" t="s">
        <v>42</v>
      </c>
      <c r="E647">
        <v>841509</v>
      </c>
      <c r="F647" s="1">
        <v>45387</v>
      </c>
      <c r="G647" s="1"/>
      <c r="I647">
        <v>4591</v>
      </c>
      <c r="K647">
        <v>6</v>
      </c>
      <c r="L647">
        <v>3</v>
      </c>
      <c r="M647" t="s">
        <v>22</v>
      </c>
      <c r="N647">
        <v>2001</v>
      </c>
      <c r="P647">
        <v>1</v>
      </c>
      <c r="Q647" t="s">
        <v>162</v>
      </c>
      <c r="R647" t="s">
        <v>1663</v>
      </c>
      <c r="S647" t="s">
        <v>33</v>
      </c>
      <c r="T647" t="s">
        <v>934</v>
      </c>
    </row>
    <row r="648" spans="1:20" ht="16.5" x14ac:dyDescent="0.45">
      <c r="A648">
        <v>1647</v>
      </c>
      <c r="B648" t="s">
        <v>1664</v>
      </c>
      <c r="C648" t="s">
        <v>36</v>
      </c>
      <c r="D648" t="s">
        <v>29</v>
      </c>
      <c r="E648">
        <v>870237</v>
      </c>
      <c r="F648" s="1">
        <v>45391</v>
      </c>
      <c r="G648" s="1"/>
      <c r="I648">
        <v>3006</v>
      </c>
      <c r="K648">
        <v>3</v>
      </c>
      <c r="L648">
        <v>3</v>
      </c>
      <c r="M648" t="s">
        <v>22</v>
      </c>
      <c r="N648">
        <v>2019</v>
      </c>
      <c r="P648">
        <v>2</v>
      </c>
      <c r="Q648" t="s">
        <v>58</v>
      </c>
      <c r="R648" t="s">
        <v>1665</v>
      </c>
      <c r="S648" t="s">
        <v>33</v>
      </c>
      <c r="T648" t="s">
        <v>70</v>
      </c>
    </row>
    <row r="649" spans="1:20" ht="16.5" x14ac:dyDescent="0.45">
      <c r="A649">
        <v>1648</v>
      </c>
      <c r="B649" t="s">
        <v>1666</v>
      </c>
      <c r="C649" t="s">
        <v>20</v>
      </c>
      <c r="D649" t="s">
        <v>21</v>
      </c>
      <c r="E649">
        <v>671648</v>
      </c>
      <c r="F649" s="1">
        <v>45517</v>
      </c>
      <c r="G649" s="1">
        <v>45414</v>
      </c>
      <c r="H649">
        <v>695181</v>
      </c>
      <c r="I649">
        <v>1119</v>
      </c>
      <c r="J649" s="5">
        <v>777907539</v>
      </c>
      <c r="K649">
        <v>3</v>
      </c>
      <c r="L649">
        <v>4</v>
      </c>
      <c r="M649" t="s">
        <v>30</v>
      </c>
      <c r="N649">
        <v>2014</v>
      </c>
      <c r="O649">
        <v>2</v>
      </c>
      <c r="P649">
        <v>1</v>
      </c>
      <c r="Q649" t="s">
        <v>86</v>
      </c>
      <c r="R649" t="s">
        <v>1667</v>
      </c>
      <c r="S649" t="s">
        <v>25</v>
      </c>
      <c r="T649" t="s">
        <v>1668</v>
      </c>
    </row>
    <row r="650" spans="1:20" ht="16.5" x14ac:dyDescent="0.45">
      <c r="A650">
        <v>1649</v>
      </c>
      <c r="B650" t="s">
        <v>1669</v>
      </c>
      <c r="C650" t="s">
        <v>28</v>
      </c>
      <c r="D650" t="s">
        <v>21</v>
      </c>
      <c r="E650">
        <v>440473</v>
      </c>
      <c r="F650" s="1">
        <v>45581</v>
      </c>
      <c r="G650" s="1"/>
      <c r="I650">
        <v>4580</v>
      </c>
      <c r="K650">
        <v>5</v>
      </c>
      <c r="L650">
        <v>5</v>
      </c>
      <c r="M650" t="s">
        <v>22</v>
      </c>
      <c r="N650">
        <v>2009</v>
      </c>
      <c r="P650">
        <v>1</v>
      </c>
      <c r="Q650" t="s">
        <v>31</v>
      </c>
      <c r="R650" t="s">
        <v>768</v>
      </c>
      <c r="S650" t="s">
        <v>33</v>
      </c>
      <c r="T650" t="s">
        <v>904</v>
      </c>
    </row>
    <row r="651" spans="1:20" ht="16.5" x14ac:dyDescent="0.45">
      <c r="A651">
        <v>1650</v>
      </c>
      <c r="B651" t="s">
        <v>1670</v>
      </c>
      <c r="C651" t="s">
        <v>51</v>
      </c>
      <c r="D651" t="s">
        <v>29</v>
      </c>
      <c r="E651">
        <v>769029</v>
      </c>
      <c r="F651" s="1">
        <v>45332</v>
      </c>
      <c r="G651" s="1">
        <v>45576</v>
      </c>
      <c r="H651">
        <v>789068</v>
      </c>
      <c r="I651">
        <v>3904</v>
      </c>
      <c r="J651" s="5">
        <v>3080521472</v>
      </c>
      <c r="K651">
        <v>5</v>
      </c>
      <c r="L651">
        <v>2</v>
      </c>
      <c r="M651" t="s">
        <v>22</v>
      </c>
      <c r="N651">
        <v>2010</v>
      </c>
      <c r="P651">
        <v>1</v>
      </c>
      <c r="Q651" t="s">
        <v>75</v>
      </c>
      <c r="R651" t="s">
        <v>1671</v>
      </c>
      <c r="S651" t="s">
        <v>25</v>
      </c>
      <c r="T651" t="s">
        <v>1672</v>
      </c>
    </row>
    <row r="652" spans="1:20" ht="16.5" x14ac:dyDescent="0.45">
      <c r="A652">
        <v>1651</v>
      </c>
      <c r="B652" t="s">
        <v>1673</v>
      </c>
      <c r="C652" t="s">
        <v>36</v>
      </c>
      <c r="D652" t="s">
        <v>42</v>
      </c>
      <c r="E652">
        <v>850901</v>
      </c>
      <c r="F652" s="1">
        <v>45328</v>
      </c>
      <c r="G652" s="1"/>
      <c r="I652">
        <v>3582</v>
      </c>
      <c r="K652">
        <v>5</v>
      </c>
      <c r="L652">
        <v>4</v>
      </c>
      <c r="M652" t="s">
        <v>62</v>
      </c>
      <c r="N652">
        <v>2015</v>
      </c>
      <c r="O652">
        <v>5</v>
      </c>
      <c r="P652">
        <v>2</v>
      </c>
      <c r="Q652" t="s">
        <v>75</v>
      </c>
      <c r="R652" t="s">
        <v>1674</v>
      </c>
      <c r="S652" t="s">
        <v>33</v>
      </c>
      <c r="T652" t="s">
        <v>1675</v>
      </c>
    </row>
    <row r="653" spans="1:20" ht="16.5" x14ac:dyDescent="0.45">
      <c r="A653">
        <v>1652</v>
      </c>
      <c r="B653" t="s">
        <v>1676</v>
      </c>
      <c r="C653" t="s">
        <v>51</v>
      </c>
      <c r="D653" t="s">
        <v>21</v>
      </c>
      <c r="E653">
        <v>429325</v>
      </c>
      <c r="F653" s="1">
        <v>45382</v>
      </c>
      <c r="G653" s="1">
        <v>45599</v>
      </c>
      <c r="H653">
        <v>446043</v>
      </c>
      <c r="I653">
        <v>1129</v>
      </c>
      <c r="J653" s="5">
        <v>503582547</v>
      </c>
      <c r="K653">
        <v>2</v>
      </c>
      <c r="L653">
        <v>5</v>
      </c>
      <c r="M653" t="s">
        <v>37</v>
      </c>
      <c r="N653">
        <v>2013</v>
      </c>
      <c r="O653">
        <v>8</v>
      </c>
      <c r="P653">
        <v>3</v>
      </c>
      <c r="Q653" t="s">
        <v>58</v>
      </c>
      <c r="R653" t="s">
        <v>1677</v>
      </c>
      <c r="S653" t="s">
        <v>25</v>
      </c>
      <c r="T653" t="s">
        <v>1273</v>
      </c>
    </row>
    <row r="654" spans="1:20" ht="16.5" x14ac:dyDescent="0.45">
      <c r="A654">
        <v>1653</v>
      </c>
      <c r="B654" t="s">
        <v>1678</v>
      </c>
      <c r="C654" t="s">
        <v>47</v>
      </c>
      <c r="D654" t="s">
        <v>29</v>
      </c>
      <c r="E654">
        <v>361763</v>
      </c>
      <c r="F654" s="1">
        <v>45324</v>
      </c>
      <c r="G654" s="1"/>
      <c r="I654">
        <v>3155</v>
      </c>
      <c r="K654">
        <v>6</v>
      </c>
      <c r="L654">
        <v>2</v>
      </c>
      <c r="M654" t="s">
        <v>30</v>
      </c>
      <c r="N654">
        <v>2020</v>
      </c>
      <c r="O654">
        <v>1</v>
      </c>
      <c r="P654">
        <v>4</v>
      </c>
      <c r="Q654" t="s">
        <v>75</v>
      </c>
      <c r="R654" t="s">
        <v>1679</v>
      </c>
      <c r="S654" t="s">
        <v>33</v>
      </c>
      <c r="T654" t="s">
        <v>1680</v>
      </c>
    </row>
    <row r="655" spans="1:20" ht="16.5" x14ac:dyDescent="0.45">
      <c r="A655">
        <v>1654</v>
      </c>
      <c r="B655" t="s">
        <v>1681</v>
      </c>
      <c r="C655" t="s">
        <v>20</v>
      </c>
      <c r="D655" t="s">
        <v>29</v>
      </c>
      <c r="E655">
        <v>724333</v>
      </c>
      <c r="F655" s="1">
        <v>45456</v>
      </c>
      <c r="G655" s="1">
        <v>45312</v>
      </c>
      <c r="H655">
        <v>735514</v>
      </c>
      <c r="I655">
        <v>2308</v>
      </c>
      <c r="J655" s="5">
        <v>1697566312</v>
      </c>
      <c r="K655">
        <v>4</v>
      </c>
      <c r="L655">
        <v>2</v>
      </c>
      <c r="M655" t="s">
        <v>62</v>
      </c>
      <c r="N655">
        <v>2013</v>
      </c>
      <c r="O655">
        <v>8</v>
      </c>
      <c r="P655">
        <v>1</v>
      </c>
      <c r="Q655" t="s">
        <v>58</v>
      </c>
      <c r="R655" t="s">
        <v>1682</v>
      </c>
      <c r="S655" t="s">
        <v>25</v>
      </c>
      <c r="T655" t="s">
        <v>180</v>
      </c>
    </row>
    <row r="656" spans="1:20" ht="16.5" x14ac:dyDescent="0.45">
      <c r="A656">
        <v>1655</v>
      </c>
      <c r="B656" t="s">
        <v>1683</v>
      </c>
      <c r="C656" t="s">
        <v>36</v>
      </c>
      <c r="D656" t="s">
        <v>21</v>
      </c>
      <c r="E656">
        <v>703906</v>
      </c>
      <c r="F656" s="1">
        <v>45514</v>
      </c>
      <c r="G656" s="1">
        <v>45356</v>
      </c>
      <c r="H656">
        <v>737751</v>
      </c>
      <c r="I656">
        <v>1881</v>
      </c>
      <c r="J656" s="5">
        <v>1387709631</v>
      </c>
      <c r="K656">
        <v>3</v>
      </c>
      <c r="L656">
        <v>3</v>
      </c>
      <c r="M656" t="s">
        <v>22</v>
      </c>
      <c r="N656">
        <v>2011</v>
      </c>
      <c r="P656">
        <v>3</v>
      </c>
      <c r="Q656" t="s">
        <v>43</v>
      </c>
      <c r="R656" t="s">
        <v>1684</v>
      </c>
      <c r="S656" t="s">
        <v>25</v>
      </c>
      <c r="T656" t="s">
        <v>194</v>
      </c>
    </row>
    <row r="657" spans="1:20" ht="16.5" x14ac:dyDescent="0.45">
      <c r="A657">
        <v>1656</v>
      </c>
      <c r="B657" t="s">
        <v>1685</v>
      </c>
      <c r="C657" t="s">
        <v>51</v>
      </c>
      <c r="D657" t="s">
        <v>42</v>
      </c>
      <c r="E657">
        <v>634288</v>
      </c>
      <c r="F657" s="1">
        <v>45439</v>
      </c>
      <c r="G657" s="1"/>
      <c r="I657">
        <v>2816</v>
      </c>
      <c r="K657">
        <v>6</v>
      </c>
      <c r="L657">
        <v>2</v>
      </c>
      <c r="M657" t="s">
        <v>30</v>
      </c>
      <c r="N657">
        <v>2020</v>
      </c>
      <c r="O657">
        <v>8</v>
      </c>
      <c r="P657">
        <v>4</v>
      </c>
      <c r="Q657" t="s">
        <v>58</v>
      </c>
      <c r="R657" t="s">
        <v>1686</v>
      </c>
      <c r="S657" t="s">
        <v>33</v>
      </c>
      <c r="T657" t="s">
        <v>180</v>
      </c>
    </row>
    <row r="658" spans="1:20" ht="16.5" x14ac:dyDescent="0.45">
      <c r="A658">
        <v>1657</v>
      </c>
      <c r="B658" t="s">
        <v>1687</v>
      </c>
      <c r="C658" t="s">
        <v>20</v>
      </c>
      <c r="D658" t="s">
        <v>21</v>
      </c>
      <c r="E658">
        <v>457646</v>
      </c>
      <c r="F658" s="1">
        <v>45474</v>
      </c>
      <c r="G658" s="1">
        <v>45397</v>
      </c>
      <c r="H658">
        <v>485645</v>
      </c>
      <c r="I658">
        <v>3022</v>
      </c>
      <c r="J658" s="5">
        <v>1467619190</v>
      </c>
      <c r="K658">
        <v>6</v>
      </c>
      <c r="L658">
        <v>3</v>
      </c>
      <c r="M658" t="s">
        <v>30</v>
      </c>
      <c r="N658">
        <v>2017</v>
      </c>
      <c r="O658">
        <v>5</v>
      </c>
      <c r="P658">
        <v>1</v>
      </c>
      <c r="Q658" t="s">
        <v>86</v>
      </c>
      <c r="R658" t="s">
        <v>1688</v>
      </c>
      <c r="S658" t="s">
        <v>25</v>
      </c>
      <c r="T658" t="s">
        <v>1689</v>
      </c>
    </row>
    <row r="659" spans="1:20" ht="16.5" x14ac:dyDescent="0.45">
      <c r="A659">
        <v>1658</v>
      </c>
      <c r="B659" t="s">
        <v>1690</v>
      </c>
      <c r="C659" t="s">
        <v>20</v>
      </c>
      <c r="D659" t="s">
        <v>21</v>
      </c>
      <c r="E659">
        <v>978031</v>
      </c>
      <c r="F659" s="1">
        <v>45517</v>
      </c>
      <c r="G659" s="1">
        <v>45597</v>
      </c>
      <c r="H659">
        <v>1017767</v>
      </c>
      <c r="I659">
        <v>3763</v>
      </c>
      <c r="J659" s="5">
        <v>3829857221</v>
      </c>
      <c r="K659">
        <v>4</v>
      </c>
      <c r="L659">
        <v>2</v>
      </c>
      <c r="M659" t="s">
        <v>22</v>
      </c>
      <c r="N659">
        <v>2016</v>
      </c>
      <c r="P659">
        <v>1</v>
      </c>
      <c r="Q659" t="s">
        <v>162</v>
      </c>
      <c r="R659" t="s">
        <v>1691</v>
      </c>
      <c r="S659" t="s">
        <v>25</v>
      </c>
      <c r="T659" t="s">
        <v>1477</v>
      </c>
    </row>
    <row r="660" spans="1:20" ht="16.5" x14ac:dyDescent="0.45">
      <c r="A660">
        <v>1659</v>
      </c>
      <c r="B660" t="s">
        <v>1692</v>
      </c>
      <c r="C660" t="s">
        <v>36</v>
      </c>
      <c r="D660" t="s">
        <v>21</v>
      </c>
      <c r="E660">
        <v>694309</v>
      </c>
      <c r="F660" s="1">
        <v>45550</v>
      </c>
      <c r="G660" s="1"/>
      <c r="I660">
        <v>1435</v>
      </c>
      <c r="K660">
        <v>4</v>
      </c>
      <c r="L660">
        <v>3</v>
      </c>
      <c r="M660" t="s">
        <v>22</v>
      </c>
      <c r="N660">
        <v>2005</v>
      </c>
      <c r="P660">
        <v>1</v>
      </c>
      <c r="Q660" t="s">
        <v>162</v>
      </c>
      <c r="R660" t="s">
        <v>465</v>
      </c>
      <c r="S660" t="s">
        <v>33</v>
      </c>
      <c r="T660" t="s">
        <v>158</v>
      </c>
    </row>
    <row r="661" spans="1:20" ht="16.5" x14ac:dyDescent="0.45">
      <c r="A661">
        <v>1660</v>
      </c>
      <c r="B661" t="s">
        <v>1693</v>
      </c>
      <c r="C661" t="s">
        <v>47</v>
      </c>
      <c r="D661" t="s">
        <v>29</v>
      </c>
      <c r="E661">
        <v>876146</v>
      </c>
      <c r="F661" s="1">
        <v>45625</v>
      </c>
      <c r="G661" s="1"/>
      <c r="I661">
        <v>2748</v>
      </c>
      <c r="K661">
        <v>6</v>
      </c>
      <c r="L661">
        <v>4</v>
      </c>
      <c r="M661" t="s">
        <v>30</v>
      </c>
      <c r="N661">
        <v>2020</v>
      </c>
      <c r="O661">
        <v>7</v>
      </c>
      <c r="P661">
        <v>3</v>
      </c>
      <c r="Q661" t="s">
        <v>23</v>
      </c>
      <c r="R661" t="s">
        <v>1694</v>
      </c>
      <c r="S661" t="s">
        <v>33</v>
      </c>
      <c r="T661" t="s">
        <v>1695</v>
      </c>
    </row>
    <row r="662" spans="1:20" ht="16.5" x14ac:dyDescent="0.45">
      <c r="A662">
        <v>1661</v>
      </c>
      <c r="B662" t="s">
        <v>1696</v>
      </c>
      <c r="C662" t="s">
        <v>47</v>
      </c>
      <c r="D662" t="s">
        <v>21</v>
      </c>
      <c r="E662">
        <v>836119</v>
      </c>
      <c r="F662" s="1">
        <v>45503</v>
      </c>
      <c r="G662" s="1"/>
      <c r="I662">
        <v>2571</v>
      </c>
      <c r="K662">
        <v>6</v>
      </c>
      <c r="L662">
        <v>3</v>
      </c>
      <c r="M662" t="s">
        <v>37</v>
      </c>
      <c r="N662">
        <v>2006</v>
      </c>
      <c r="O662">
        <v>3</v>
      </c>
      <c r="P662">
        <v>2</v>
      </c>
      <c r="Q662" t="s">
        <v>86</v>
      </c>
      <c r="R662" t="s">
        <v>1697</v>
      </c>
      <c r="S662" t="s">
        <v>33</v>
      </c>
      <c r="T662" t="s">
        <v>110</v>
      </c>
    </row>
    <row r="663" spans="1:20" ht="16.5" x14ac:dyDescent="0.45">
      <c r="A663">
        <v>1662</v>
      </c>
      <c r="B663" t="s">
        <v>1698</v>
      </c>
      <c r="C663" t="s">
        <v>47</v>
      </c>
      <c r="D663" t="s">
        <v>21</v>
      </c>
      <c r="E663">
        <v>335990</v>
      </c>
      <c r="F663" s="1">
        <v>45513</v>
      </c>
      <c r="G663" s="1">
        <v>45447</v>
      </c>
      <c r="H663">
        <v>375821</v>
      </c>
      <c r="I663">
        <v>4948</v>
      </c>
      <c r="J663" s="5">
        <v>1859562308</v>
      </c>
      <c r="K663">
        <v>4</v>
      </c>
      <c r="L663">
        <v>4</v>
      </c>
      <c r="M663" t="s">
        <v>22</v>
      </c>
      <c r="N663">
        <v>2015</v>
      </c>
      <c r="P663">
        <v>3</v>
      </c>
      <c r="Q663" t="s">
        <v>58</v>
      </c>
      <c r="R663" t="s">
        <v>1337</v>
      </c>
      <c r="S663" t="s">
        <v>25</v>
      </c>
      <c r="T663" t="s">
        <v>91</v>
      </c>
    </row>
    <row r="664" spans="1:20" ht="16.5" x14ac:dyDescent="0.45">
      <c r="A664">
        <v>1663</v>
      </c>
      <c r="B664" t="s">
        <v>1699</v>
      </c>
      <c r="C664" t="s">
        <v>36</v>
      </c>
      <c r="D664" t="s">
        <v>42</v>
      </c>
      <c r="E664">
        <v>541818</v>
      </c>
      <c r="F664" s="1">
        <v>45528</v>
      </c>
      <c r="G664" s="1"/>
      <c r="I664">
        <v>2075</v>
      </c>
      <c r="K664">
        <v>3</v>
      </c>
      <c r="L664">
        <v>3</v>
      </c>
      <c r="M664" t="s">
        <v>62</v>
      </c>
      <c r="N664">
        <v>2004</v>
      </c>
      <c r="O664">
        <v>1</v>
      </c>
      <c r="P664">
        <v>2</v>
      </c>
      <c r="Q664" t="s">
        <v>75</v>
      </c>
      <c r="R664" t="s">
        <v>1700</v>
      </c>
      <c r="S664" t="s">
        <v>33</v>
      </c>
      <c r="T664" t="s">
        <v>881</v>
      </c>
    </row>
    <row r="665" spans="1:20" ht="16.5" x14ac:dyDescent="0.45">
      <c r="A665">
        <v>1664</v>
      </c>
      <c r="B665" t="s">
        <v>1701</v>
      </c>
      <c r="C665" t="s">
        <v>20</v>
      </c>
      <c r="D665" t="s">
        <v>29</v>
      </c>
      <c r="E665">
        <v>752483</v>
      </c>
      <c r="F665" s="1">
        <v>45290</v>
      </c>
      <c r="G665" s="1">
        <v>45334</v>
      </c>
      <c r="H665">
        <v>792115</v>
      </c>
      <c r="I665">
        <v>1510</v>
      </c>
      <c r="J665" s="5">
        <v>1196093650</v>
      </c>
      <c r="K665">
        <v>3</v>
      </c>
      <c r="L665">
        <v>2</v>
      </c>
      <c r="M665" t="s">
        <v>30</v>
      </c>
      <c r="N665">
        <v>2007</v>
      </c>
      <c r="O665">
        <v>1</v>
      </c>
      <c r="P665">
        <v>3</v>
      </c>
      <c r="Q665" t="s">
        <v>58</v>
      </c>
      <c r="R665" t="s">
        <v>1702</v>
      </c>
      <c r="S665" t="s">
        <v>25</v>
      </c>
      <c r="T665" t="s">
        <v>1489</v>
      </c>
    </row>
    <row r="666" spans="1:20" ht="16.5" x14ac:dyDescent="0.45">
      <c r="A666">
        <v>1665</v>
      </c>
      <c r="B666" t="s">
        <v>1703</v>
      </c>
      <c r="C666" t="s">
        <v>47</v>
      </c>
      <c r="D666" t="s">
        <v>29</v>
      </c>
      <c r="E666">
        <v>531094</v>
      </c>
      <c r="F666" s="1">
        <v>45345</v>
      </c>
      <c r="G666" s="1">
        <v>45613</v>
      </c>
      <c r="H666">
        <v>541798</v>
      </c>
      <c r="I666">
        <v>4420</v>
      </c>
      <c r="J666" s="5">
        <v>2394747160</v>
      </c>
      <c r="K666">
        <v>4</v>
      </c>
      <c r="L666">
        <v>4</v>
      </c>
      <c r="M666" t="s">
        <v>30</v>
      </c>
      <c r="N666">
        <v>2004</v>
      </c>
      <c r="O666">
        <v>1</v>
      </c>
      <c r="P666">
        <v>3</v>
      </c>
      <c r="Q666" t="s">
        <v>162</v>
      </c>
      <c r="R666" t="s">
        <v>1704</v>
      </c>
      <c r="S666" t="s">
        <v>25</v>
      </c>
      <c r="T666" t="s">
        <v>1705</v>
      </c>
    </row>
    <row r="667" spans="1:20" ht="16.5" x14ac:dyDescent="0.45">
      <c r="A667">
        <v>1666</v>
      </c>
      <c r="B667" t="s">
        <v>1706</v>
      </c>
      <c r="C667" t="s">
        <v>28</v>
      </c>
      <c r="D667" t="s">
        <v>21</v>
      </c>
      <c r="E667">
        <v>976257</v>
      </c>
      <c r="F667" s="1">
        <v>45344</v>
      </c>
      <c r="G667" s="1"/>
      <c r="I667">
        <v>2342</v>
      </c>
      <c r="K667">
        <v>2</v>
      </c>
      <c r="L667">
        <v>4</v>
      </c>
      <c r="M667" t="s">
        <v>37</v>
      </c>
      <c r="N667">
        <v>2003</v>
      </c>
      <c r="O667">
        <v>6</v>
      </c>
      <c r="P667">
        <v>1</v>
      </c>
      <c r="Q667" t="s">
        <v>38</v>
      </c>
      <c r="R667" t="s">
        <v>1707</v>
      </c>
      <c r="S667" t="s">
        <v>33</v>
      </c>
      <c r="T667" t="s">
        <v>1223</v>
      </c>
    </row>
    <row r="668" spans="1:20" ht="16.5" x14ac:dyDescent="0.45">
      <c r="A668">
        <v>1667</v>
      </c>
      <c r="B668" t="s">
        <v>1708</v>
      </c>
      <c r="C668" t="s">
        <v>28</v>
      </c>
      <c r="D668" t="s">
        <v>21</v>
      </c>
      <c r="E668">
        <v>465224</v>
      </c>
      <c r="F668" s="1">
        <v>45539</v>
      </c>
      <c r="G668" s="1">
        <v>45342</v>
      </c>
      <c r="H668">
        <v>476253</v>
      </c>
      <c r="I668">
        <v>3279</v>
      </c>
      <c r="J668" s="5">
        <v>1561633587</v>
      </c>
      <c r="K668">
        <v>3</v>
      </c>
      <c r="L668">
        <v>3</v>
      </c>
      <c r="M668" t="s">
        <v>62</v>
      </c>
      <c r="N668">
        <v>2001</v>
      </c>
      <c r="O668">
        <v>10</v>
      </c>
      <c r="P668">
        <v>2</v>
      </c>
      <c r="Q668" t="s">
        <v>38</v>
      </c>
      <c r="R668" t="s">
        <v>1709</v>
      </c>
      <c r="S668" t="s">
        <v>25</v>
      </c>
      <c r="T668" t="s">
        <v>152</v>
      </c>
    </row>
    <row r="669" spans="1:20" ht="16.5" x14ac:dyDescent="0.45">
      <c r="A669">
        <v>1668</v>
      </c>
      <c r="B669" t="s">
        <v>1710</v>
      </c>
      <c r="C669" t="s">
        <v>28</v>
      </c>
      <c r="D669" t="s">
        <v>21</v>
      </c>
      <c r="E669">
        <v>959769</v>
      </c>
      <c r="F669" s="1">
        <v>45536</v>
      </c>
      <c r="G669" s="1"/>
      <c r="I669">
        <v>4431</v>
      </c>
      <c r="K669">
        <v>5</v>
      </c>
      <c r="L669">
        <v>5</v>
      </c>
      <c r="M669" t="s">
        <v>37</v>
      </c>
      <c r="N669">
        <v>2016</v>
      </c>
      <c r="O669">
        <v>10</v>
      </c>
      <c r="P669">
        <v>4</v>
      </c>
      <c r="Q669" t="s">
        <v>75</v>
      </c>
      <c r="R669" t="s">
        <v>1711</v>
      </c>
      <c r="S669" t="s">
        <v>33</v>
      </c>
      <c r="T669" t="s">
        <v>1712</v>
      </c>
    </row>
    <row r="670" spans="1:20" ht="16.5" x14ac:dyDescent="0.45">
      <c r="A670">
        <v>1669</v>
      </c>
      <c r="B670" t="s">
        <v>1713</v>
      </c>
      <c r="C670" t="s">
        <v>20</v>
      </c>
      <c r="D670" t="s">
        <v>21</v>
      </c>
      <c r="E670">
        <v>882386</v>
      </c>
      <c r="F670" s="1">
        <v>45603</v>
      </c>
      <c r="G670" s="1">
        <v>45464</v>
      </c>
      <c r="H670">
        <v>921267</v>
      </c>
      <c r="I670">
        <v>1228</v>
      </c>
      <c r="J670" s="5">
        <v>1131315876</v>
      </c>
      <c r="K670">
        <v>3</v>
      </c>
      <c r="L670">
        <v>3</v>
      </c>
      <c r="M670" t="s">
        <v>30</v>
      </c>
      <c r="N670">
        <v>2023</v>
      </c>
      <c r="O670">
        <v>6</v>
      </c>
      <c r="P670">
        <v>3</v>
      </c>
      <c r="Q670" t="s">
        <v>58</v>
      </c>
      <c r="R670" t="s">
        <v>1714</v>
      </c>
      <c r="S670" t="s">
        <v>25</v>
      </c>
      <c r="T670" t="s">
        <v>1715</v>
      </c>
    </row>
    <row r="671" spans="1:20" ht="16.5" x14ac:dyDescent="0.45">
      <c r="A671">
        <v>1670</v>
      </c>
      <c r="B671" t="s">
        <v>1716</v>
      </c>
      <c r="C671" t="s">
        <v>36</v>
      </c>
      <c r="D671" t="s">
        <v>42</v>
      </c>
      <c r="E671">
        <v>716524</v>
      </c>
      <c r="F671" s="1">
        <v>45638</v>
      </c>
      <c r="G671" s="1"/>
      <c r="I671">
        <v>2109</v>
      </c>
      <c r="K671">
        <v>6</v>
      </c>
      <c r="L671">
        <v>4</v>
      </c>
      <c r="M671" t="s">
        <v>62</v>
      </c>
      <c r="N671">
        <v>2022</v>
      </c>
      <c r="O671">
        <v>7</v>
      </c>
      <c r="P671">
        <v>4</v>
      </c>
      <c r="Q671" t="s">
        <v>31</v>
      </c>
      <c r="R671" t="s">
        <v>1717</v>
      </c>
      <c r="S671" t="s">
        <v>33</v>
      </c>
      <c r="T671" t="s">
        <v>592</v>
      </c>
    </row>
    <row r="672" spans="1:20" ht="16.5" x14ac:dyDescent="0.45">
      <c r="A672">
        <v>1671</v>
      </c>
      <c r="B672" t="s">
        <v>1718</v>
      </c>
      <c r="C672" t="s">
        <v>47</v>
      </c>
      <c r="D672" t="s">
        <v>42</v>
      </c>
      <c r="E672">
        <v>508186</v>
      </c>
      <c r="F672" s="1">
        <v>45389</v>
      </c>
      <c r="G672" s="1">
        <v>45289</v>
      </c>
      <c r="H672">
        <v>539019</v>
      </c>
      <c r="I672">
        <v>2294</v>
      </c>
      <c r="J672" s="5">
        <v>1236509586</v>
      </c>
      <c r="K672">
        <v>4</v>
      </c>
      <c r="L672">
        <v>5</v>
      </c>
      <c r="M672" t="s">
        <v>22</v>
      </c>
      <c r="N672">
        <v>2015</v>
      </c>
      <c r="P672">
        <v>2</v>
      </c>
      <c r="Q672" t="s">
        <v>23</v>
      </c>
      <c r="R672" t="s">
        <v>1719</v>
      </c>
      <c r="S672" t="s">
        <v>25</v>
      </c>
      <c r="T672" t="s">
        <v>1720</v>
      </c>
    </row>
    <row r="673" spans="1:20" ht="16.5" x14ac:dyDescent="0.45">
      <c r="A673">
        <v>1672</v>
      </c>
      <c r="B673" t="s">
        <v>1721</v>
      </c>
      <c r="C673" t="s">
        <v>36</v>
      </c>
      <c r="D673" t="s">
        <v>21</v>
      </c>
      <c r="E673">
        <v>896862</v>
      </c>
      <c r="F673" s="1">
        <v>45521</v>
      </c>
      <c r="G673" s="1"/>
      <c r="I673">
        <v>4677</v>
      </c>
      <c r="K673">
        <v>6</v>
      </c>
      <c r="L673">
        <v>4</v>
      </c>
      <c r="M673" t="s">
        <v>30</v>
      </c>
      <c r="N673">
        <v>2014</v>
      </c>
      <c r="O673">
        <v>1</v>
      </c>
      <c r="P673">
        <v>4</v>
      </c>
      <c r="Q673" t="s">
        <v>58</v>
      </c>
      <c r="R673" t="s">
        <v>1722</v>
      </c>
      <c r="S673" t="s">
        <v>33</v>
      </c>
      <c r="T673" t="s">
        <v>493</v>
      </c>
    </row>
    <row r="674" spans="1:20" ht="16.5" x14ac:dyDescent="0.45">
      <c r="A674">
        <v>1673</v>
      </c>
      <c r="B674" t="s">
        <v>1723</v>
      </c>
      <c r="C674" t="s">
        <v>51</v>
      </c>
      <c r="D674" t="s">
        <v>42</v>
      </c>
      <c r="E674">
        <v>412994</v>
      </c>
      <c r="F674" s="1">
        <v>45435</v>
      </c>
      <c r="G674" s="1"/>
      <c r="I674">
        <v>4838</v>
      </c>
      <c r="K674">
        <v>3</v>
      </c>
      <c r="L674">
        <v>4</v>
      </c>
      <c r="M674" t="s">
        <v>22</v>
      </c>
      <c r="N674">
        <v>2017</v>
      </c>
      <c r="P674">
        <v>1</v>
      </c>
      <c r="Q674" t="s">
        <v>86</v>
      </c>
      <c r="R674" t="s">
        <v>1724</v>
      </c>
      <c r="S674" t="s">
        <v>33</v>
      </c>
      <c r="T674" t="s">
        <v>180</v>
      </c>
    </row>
    <row r="675" spans="1:20" ht="16.5" x14ac:dyDescent="0.45">
      <c r="A675">
        <v>1674</v>
      </c>
      <c r="B675" t="s">
        <v>1725</v>
      </c>
      <c r="C675" t="s">
        <v>20</v>
      </c>
      <c r="D675" t="s">
        <v>21</v>
      </c>
      <c r="E675">
        <v>710654</v>
      </c>
      <c r="F675" s="1">
        <v>45431</v>
      </c>
      <c r="G675" s="1">
        <v>45510</v>
      </c>
      <c r="H675">
        <v>727740</v>
      </c>
      <c r="I675">
        <v>3930</v>
      </c>
      <c r="J675" s="5">
        <v>2860018200</v>
      </c>
      <c r="K675">
        <v>2</v>
      </c>
      <c r="L675">
        <v>5</v>
      </c>
      <c r="M675" t="s">
        <v>22</v>
      </c>
      <c r="N675">
        <v>2023</v>
      </c>
      <c r="P675">
        <v>1</v>
      </c>
      <c r="Q675" t="s">
        <v>86</v>
      </c>
      <c r="R675" t="s">
        <v>1726</v>
      </c>
      <c r="S675" t="s">
        <v>25</v>
      </c>
      <c r="T675" t="s">
        <v>1658</v>
      </c>
    </row>
    <row r="676" spans="1:20" ht="16.5" x14ac:dyDescent="0.45">
      <c r="A676">
        <v>1675</v>
      </c>
      <c r="B676" t="s">
        <v>1727</v>
      </c>
      <c r="C676" t="s">
        <v>36</v>
      </c>
      <c r="D676" t="s">
        <v>21</v>
      </c>
      <c r="E676">
        <v>355941</v>
      </c>
      <c r="F676" s="1">
        <v>45624</v>
      </c>
      <c r="G676" s="1">
        <v>45450</v>
      </c>
      <c r="H676">
        <v>371865</v>
      </c>
      <c r="I676">
        <v>4764</v>
      </c>
      <c r="J676" s="5">
        <v>1771564860</v>
      </c>
      <c r="K676">
        <v>2</v>
      </c>
      <c r="L676">
        <v>2</v>
      </c>
      <c r="M676" t="s">
        <v>22</v>
      </c>
      <c r="N676">
        <v>2023</v>
      </c>
      <c r="P676">
        <v>2</v>
      </c>
      <c r="Q676" t="s">
        <v>38</v>
      </c>
      <c r="R676" t="s">
        <v>104</v>
      </c>
      <c r="S676" t="s">
        <v>25</v>
      </c>
      <c r="T676" t="s">
        <v>287</v>
      </c>
    </row>
    <row r="677" spans="1:20" ht="16.5" x14ac:dyDescent="0.45">
      <c r="A677">
        <v>1676</v>
      </c>
      <c r="B677" t="s">
        <v>1728</v>
      </c>
      <c r="C677" t="s">
        <v>47</v>
      </c>
      <c r="D677" t="s">
        <v>21</v>
      </c>
      <c r="E677">
        <v>537515</v>
      </c>
      <c r="F677" s="1">
        <v>45314</v>
      </c>
      <c r="G677" s="1">
        <v>45329</v>
      </c>
      <c r="H677">
        <v>568647</v>
      </c>
      <c r="I677">
        <v>4474</v>
      </c>
      <c r="J677" s="5">
        <v>2544126678</v>
      </c>
      <c r="K677">
        <v>5</v>
      </c>
      <c r="L677">
        <v>4</v>
      </c>
      <c r="M677" t="s">
        <v>62</v>
      </c>
      <c r="N677">
        <v>2009</v>
      </c>
      <c r="O677">
        <v>2</v>
      </c>
      <c r="P677">
        <v>3</v>
      </c>
      <c r="Q677" t="s">
        <v>86</v>
      </c>
      <c r="R677" t="s">
        <v>1729</v>
      </c>
      <c r="S677" t="s">
        <v>25</v>
      </c>
      <c r="T677" t="s">
        <v>1730</v>
      </c>
    </row>
    <row r="678" spans="1:20" ht="16.5" x14ac:dyDescent="0.45">
      <c r="A678">
        <v>1677</v>
      </c>
      <c r="B678" t="s">
        <v>1731</v>
      </c>
      <c r="C678" t="s">
        <v>51</v>
      </c>
      <c r="D678" t="s">
        <v>21</v>
      </c>
      <c r="E678">
        <v>946433</v>
      </c>
      <c r="F678" s="1">
        <v>45629</v>
      </c>
      <c r="G678" s="1">
        <v>45504</v>
      </c>
      <c r="H678">
        <v>980260</v>
      </c>
      <c r="I678">
        <v>4388</v>
      </c>
      <c r="J678" s="5">
        <v>4301380880</v>
      </c>
      <c r="K678">
        <v>6</v>
      </c>
      <c r="L678">
        <v>3</v>
      </c>
      <c r="M678" t="s">
        <v>30</v>
      </c>
      <c r="N678">
        <v>2013</v>
      </c>
      <c r="O678">
        <v>9</v>
      </c>
      <c r="P678">
        <v>2</v>
      </c>
      <c r="Q678" t="s">
        <v>58</v>
      </c>
      <c r="R678" t="s">
        <v>1732</v>
      </c>
      <c r="S678" t="s">
        <v>25</v>
      </c>
      <c r="T678" t="s">
        <v>312</v>
      </c>
    </row>
    <row r="679" spans="1:20" ht="16.5" x14ac:dyDescent="0.45">
      <c r="A679">
        <v>1678</v>
      </c>
      <c r="B679" t="s">
        <v>1733</v>
      </c>
      <c r="C679" t="s">
        <v>28</v>
      </c>
      <c r="D679" t="s">
        <v>21</v>
      </c>
      <c r="E679">
        <v>625863</v>
      </c>
      <c r="F679" s="1">
        <v>45330</v>
      </c>
      <c r="G679" s="1">
        <v>45403</v>
      </c>
      <c r="H679">
        <v>645172</v>
      </c>
      <c r="I679">
        <v>2423</v>
      </c>
      <c r="J679" s="5">
        <v>1563251756</v>
      </c>
      <c r="K679">
        <v>4</v>
      </c>
      <c r="L679">
        <v>4</v>
      </c>
      <c r="M679" t="s">
        <v>37</v>
      </c>
      <c r="N679">
        <v>2019</v>
      </c>
      <c r="O679">
        <v>4</v>
      </c>
      <c r="P679">
        <v>4</v>
      </c>
      <c r="Q679" t="s">
        <v>93</v>
      </c>
      <c r="R679" t="s">
        <v>1734</v>
      </c>
      <c r="S679" t="s">
        <v>25</v>
      </c>
      <c r="T679" t="s">
        <v>230</v>
      </c>
    </row>
    <row r="680" spans="1:20" ht="16.5" x14ac:dyDescent="0.45">
      <c r="A680">
        <v>1679</v>
      </c>
      <c r="B680" t="s">
        <v>1735</v>
      </c>
      <c r="C680" t="s">
        <v>36</v>
      </c>
      <c r="D680" t="s">
        <v>21</v>
      </c>
      <c r="E680">
        <v>745439</v>
      </c>
      <c r="F680" s="1">
        <v>45321</v>
      </c>
      <c r="G680" s="1">
        <v>45541</v>
      </c>
      <c r="H680">
        <v>771285</v>
      </c>
      <c r="I680">
        <v>4848</v>
      </c>
      <c r="J680" s="5">
        <v>3739189680</v>
      </c>
      <c r="K680">
        <v>3</v>
      </c>
      <c r="L680">
        <v>3</v>
      </c>
      <c r="M680" t="s">
        <v>37</v>
      </c>
      <c r="N680">
        <v>2002</v>
      </c>
      <c r="O680">
        <v>1</v>
      </c>
      <c r="P680">
        <v>2</v>
      </c>
      <c r="Q680" t="s">
        <v>162</v>
      </c>
      <c r="R680" t="s">
        <v>1736</v>
      </c>
      <c r="S680" t="s">
        <v>25</v>
      </c>
      <c r="T680" t="s">
        <v>1737</v>
      </c>
    </row>
    <row r="681" spans="1:20" ht="16.5" x14ac:dyDescent="0.45">
      <c r="A681">
        <v>1680</v>
      </c>
      <c r="B681" t="s">
        <v>1738</v>
      </c>
      <c r="C681" t="s">
        <v>20</v>
      </c>
      <c r="D681" t="s">
        <v>29</v>
      </c>
      <c r="E681">
        <v>608235</v>
      </c>
      <c r="F681" s="1">
        <v>45310</v>
      </c>
      <c r="G681" s="1">
        <v>45545</v>
      </c>
      <c r="H681">
        <v>622426</v>
      </c>
      <c r="I681">
        <v>2009</v>
      </c>
      <c r="J681" s="5">
        <v>1250453834</v>
      </c>
      <c r="K681">
        <v>4</v>
      </c>
      <c r="L681">
        <v>5</v>
      </c>
      <c r="M681" t="s">
        <v>62</v>
      </c>
      <c r="N681">
        <v>2002</v>
      </c>
      <c r="O681">
        <v>2</v>
      </c>
      <c r="P681">
        <v>2</v>
      </c>
      <c r="Q681" t="s">
        <v>162</v>
      </c>
      <c r="R681" t="s">
        <v>1739</v>
      </c>
      <c r="S681" t="s">
        <v>25</v>
      </c>
      <c r="T681" t="s">
        <v>1740</v>
      </c>
    </row>
    <row r="682" spans="1:20" ht="16.5" x14ac:dyDescent="0.45">
      <c r="A682">
        <v>1681</v>
      </c>
      <c r="B682" t="s">
        <v>1741</v>
      </c>
      <c r="C682" t="s">
        <v>47</v>
      </c>
      <c r="D682" t="s">
        <v>21</v>
      </c>
      <c r="E682">
        <v>753850</v>
      </c>
      <c r="F682" s="1">
        <v>45287</v>
      </c>
      <c r="G682" s="1">
        <v>45436</v>
      </c>
      <c r="H682">
        <v>769579</v>
      </c>
      <c r="I682">
        <v>3517</v>
      </c>
      <c r="J682" s="5">
        <v>2706609343</v>
      </c>
      <c r="K682">
        <v>6</v>
      </c>
      <c r="L682">
        <v>3</v>
      </c>
      <c r="M682" t="s">
        <v>22</v>
      </c>
      <c r="N682">
        <v>2007</v>
      </c>
      <c r="P682">
        <v>4</v>
      </c>
      <c r="Q682" t="s">
        <v>23</v>
      </c>
      <c r="R682" t="s">
        <v>1742</v>
      </c>
      <c r="S682" t="s">
        <v>25</v>
      </c>
      <c r="T682" t="s">
        <v>651</v>
      </c>
    </row>
    <row r="683" spans="1:20" ht="16.5" x14ac:dyDescent="0.45">
      <c r="A683">
        <v>1682</v>
      </c>
      <c r="B683" t="s">
        <v>1743</v>
      </c>
      <c r="C683" t="s">
        <v>36</v>
      </c>
      <c r="D683" t="s">
        <v>42</v>
      </c>
      <c r="E683">
        <v>918004</v>
      </c>
      <c r="F683" s="1">
        <v>45373</v>
      </c>
      <c r="G683" s="1"/>
      <c r="I683">
        <v>3159</v>
      </c>
      <c r="K683">
        <v>4</v>
      </c>
      <c r="L683">
        <v>5</v>
      </c>
      <c r="M683" t="s">
        <v>37</v>
      </c>
      <c r="N683">
        <v>2016</v>
      </c>
      <c r="O683">
        <v>4</v>
      </c>
      <c r="P683">
        <v>4</v>
      </c>
      <c r="Q683" t="s">
        <v>43</v>
      </c>
      <c r="R683" t="s">
        <v>1744</v>
      </c>
      <c r="S683" t="s">
        <v>33</v>
      </c>
      <c r="T683" t="s">
        <v>1745</v>
      </c>
    </row>
    <row r="684" spans="1:20" ht="16.5" x14ac:dyDescent="0.45">
      <c r="A684">
        <v>1683</v>
      </c>
      <c r="B684" t="s">
        <v>1746</v>
      </c>
      <c r="C684" t="s">
        <v>20</v>
      </c>
      <c r="D684" t="s">
        <v>42</v>
      </c>
      <c r="E684">
        <v>812463</v>
      </c>
      <c r="F684" s="1">
        <v>45614</v>
      </c>
      <c r="G684" s="1">
        <v>45538</v>
      </c>
      <c r="H684">
        <v>857128</v>
      </c>
      <c r="I684">
        <v>1415</v>
      </c>
      <c r="J684" s="5">
        <v>1212836120</v>
      </c>
      <c r="K684">
        <v>3</v>
      </c>
      <c r="L684">
        <v>4</v>
      </c>
      <c r="M684" t="s">
        <v>62</v>
      </c>
      <c r="N684">
        <v>2012</v>
      </c>
      <c r="O684">
        <v>8</v>
      </c>
      <c r="P684">
        <v>4</v>
      </c>
      <c r="Q684" t="s">
        <v>43</v>
      </c>
      <c r="R684" t="s">
        <v>1747</v>
      </c>
      <c r="S684" t="s">
        <v>25</v>
      </c>
      <c r="T684" t="s">
        <v>1748</v>
      </c>
    </row>
    <row r="685" spans="1:20" ht="16.5" x14ac:dyDescent="0.45">
      <c r="A685">
        <v>1684</v>
      </c>
      <c r="B685" t="s">
        <v>1749</v>
      </c>
      <c r="C685" t="s">
        <v>28</v>
      </c>
      <c r="D685" t="s">
        <v>42</v>
      </c>
      <c r="E685">
        <v>833093</v>
      </c>
      <c r="F685" s="1">
        <v>45590</v>
      </c>
      <c r="G685" s="1">
        <v>45474</v>
      </c>
      <c r="H685">
        <v>864582</v>
      </c>
      <c r="I685">
        <v>3929</v>
      </c>
      <c r="J685" s="5">
        <v>3396942678</v>
      </c>
      <c r="K685">
        <v>4</v>
      </c>
      <c r="L685">
        <v>2</v>
      </c>
      <c r="M685" t="s">
        <v>30</v>
      </c>
      <c r="N685">
        <v>2017</v>
      </c>
      <c r="O685">
        <v>5</v>
      </c>
      <c r="P685">
        <v>3</v>
      </c>
      <c r="Q685" t="s">
        <v>58</v>
      </c>
      <c r="R685" t="s">
        <v>1750</v>
      </c>
      <c r="S685" t="s">
        <v>25</v>
      </c>
      <c r="T685" t="s">
        <v>939</v>
      </c>
    </row>
    <row r="686" spans="1:20" ht="16.5" x14ac:dyDescent="0.45">
      <c r="A686">
        <v>1685</v>
      </c>
      <c r="B686" t="s">
        <v>1751</v>
      </c>
      <c r="C686" t="s">
        <v>20</v>
      </c>
      <c r="D686" t="s">
        <v>42</v>
      </c>
      <c r="E686">
        <v>343062</v>
      </c>
      <c r="F686" s="1">
        <v>45402</v>
      </c>
      <c r="G686" s="1">
        <v>45396</v>
      </c>
      <c r="H686">
        <v>388896</v>
      </c>
      <c r="I686">
        <v>2138</v>
      </c>
      <c r="J686" s="5">
        <v>831459648</v>
      </c>
      <c r="K686">
        <v>5</v>
      </c>
      <c r="L686">
        <v>2</v>
      </c>
      <c r="M686" t="s">
        <v>37</v>
      </c>
      <c r="N686">
        <v>2009</v>
      </c>
      <c r="O686">
        <v>6</v>
      </c>
      <c r="P686">
        <v>2</v>
      </c>
      <c r="Q686" t="s">
        <v>31</v>
      </c>
      <c r="R686" t="s">
        <v>1752</v>
      </c>
      <c r="S686" t="s">
        <v>25</v>
      </c>
      <c r="T686" t="s">
        <v>137</v>
      </c>
    </row>
    <row r="687" spans="1:20" ht="16.5" x14ac:dyDescent="0.45">
      <c r="A687">
        <v>1686</v>
      </c>
      <c r="B687" t="s">
        <v>1753</v>
      </c>
      <c r="C687" t="s">
        <v>28</v>
      </c>
      <c r="D687" t="s">
        <v>21</v>
      </c>
      <c r="E687">
        <v>692323</v>
      </c>
      <c r="F687" s="1">
        <v>45444</v>
      </c>
      <c r="G687" s="1">
        <v>45317</v>
      </c>
      <c r="H687">
        <v>739647</v>
      </c>
      <c r="I687">
        <v>4794</v>
      </c>
      <c r="J687" s="5">
        <v>3545867718</v>
      </c>
      <c r="K687">
        <v>2</v>
      </c>
      <c r="L687">
        <v>2</v>
      </c>
      <c r="M687" t="s">
        <v>37</v>
      </c>
      <c r="N687">
        <v>2005</v>
      </c>
      <c r="O687">
        <v>2</v>
      </c>
      <c r="P687">
        <v>2</v>
      </c>
      <c r="Q687" t="s">
        <v>43</v>
      </c>
      <c r="R687" t="s">
        <v>1754</v>
      </c>
      <c r="S687" t="s">
        <v>25</v>
      </c>
      <c r="T687" t="s">
        <v>603</v>
      </c>
    </row>
    <row r="688" spans="1:20" ht="16.5" x14ac:dyDescent="0.45">
      <c r="A688">
        <v>1687</v>
      </c>
      <c r="B688" t="s">
        <v>1755</v>
      </c>
      <c r="C688" t="s">
        <v>20</v>
      </c>
      <c r="D688" t="s">
        <v>21</v>
      </c>
      <c r="E688">
        <v>536945</v>
      </c>
      <c r="F688" s="1">
        <v>45364</v>
      </c>
      <c r="G688" s="1">
        <v>45609</v>
      </c>
      <c r="H688">
        <v>549307</v>
      </c>
      <c r="I688">
        <v>1286</v>
      </c>
      <c r="J688" s="5">
        <v>706408802</v>
      </c>
      <c r="K688">
        <v>2</v>
      </c>
      <c r="L688">
        <v>4</v>
      </c>
      <c r="M688" t="s">
        <v>30</v>
      </c>
      <c r="N688">
        <v>2000</v>
      </c>
      <c r="O688">
        <v>2</v>
      </c>
      <c r="P688">
        <v>2</v>
      </c>
      <c r="Q688" t="s">
        <v>75</v>
      </c>
      <c r="R688" t="s">
        <v>1756</v>
      </c>
      <c r="S688" t="s">
        <v>25</v>
      </c>
      <c r="T688" t="s">
        <v>1757</v>
      </c>
    </row>
    <row r="689" spans="1:20" ht="16.5" x14ac:dyDescent="0.45">
      <c r="A689">
        <v>1688</v>
      </c>
      <c r="B689" t="s">
        <v>1758</v>
      </c>
      <c r="C689" t="s">
        <v>28</v>
      </c>
      <c r="D689" t="s">
        <v>29</v>
      </c>
      <c r="E689">
        <v>487045</v>
      </c>
      <c r="F689" s="1">
        <v>45491</v>
      </c>
      <c r="G689" s="1">
        <v>45314</v>
      </c>
      <c r="H689">
        <v>531558</v>
      </c>
      <c r="I689">
        <v>4294</v>
      </c>
      <c r="J689" s="5">
        <v>2282510052</v>
      </c>
      <c r="K689">
        <v>6</v>
      </c>
      <c r="L689">
        <v>4</v>
      </c>
      <c r="M689" t="s">
        <v>37</v>
      </c>
      <c r="N689">
        <v>2008</v>
      </c>
      <c r="O689">
        <v>10</v>
      </c>
      <c r="P689">
        <v>4</v>
      </c>
      <c r="Q689" t="s">
        <v>132</v>
      </c>
      <c r="R689" t="s">
        <v>1759</v>
      </c>
      <c r="S689" t="s">
        <v>25</v>
      </c>
      <c r="T689" t="s">
        <v>1760</v>
      </c>
    </row>
    <row r="690" spans="1:20" ht="16.5" x14ac:dyDescent="0.45">
      <c r="A690">
        <v>1689</v>
      </c>
      <c r="B690" t="s">
        <v>1761</v>
      </c>
      <c r="C690" t="s">
        <v>51</v>
      </c>
      <c r="D690" t="s">
        <v>29</v>
      </c>
      <c r="E690">
        <v>427700</v>
      </c>
      <c r="F690" s="1">
        <v>45639</v>
      </c>
      <c r="G690" s="1"/>
      <c r="I690">
        <v>3409</v>
      </c>
      <c r="K690">
        <v>6</v>
      </c>
      <c r="L690">
        <v>2</v>
      </c>
      <c r="M690" t="s">
        <v>22</v>
      </c>
      <c r="N690">
        <v>2021</v>
      </c>
      <c r="P690">
        <v>3</v>
      </c>
      <c r="Q690" t="s">
        <v>43</v>
      </c>
      <c r="R690" t="s">
        <v>1762</v>
      </c>
      <c r="S690" t="s">
        <v>33</v>
      </c>
      <c r="T690" t="s">
        <v>142</v>
      </c>
    </row>
    <row r="691" spans="1:20" ht="16.5" x14ac:dyDescent="0.45">
      <c r="A691">
        <v>1690</v>
      </c>
      <c r="B691" t="s">
        <v>1763</v>
      </c>
      <c r="C691" t="s">
        <v>20</v>
      </c>
      <c r="D691" t="s">
        <v>42</v>
      </c>
      <c r="E691">
        <v>710583</v>
      </c>
      <c r="F691" s="1">
        <v>45375</v>
      </c>
      <c r="G691" s="1"/>
      <c r="I691">
        <v>1888</v>
      </c>
      <c r="K691">
        <v>2</v>
      </c>
      <c r="L691">
        <v>5</v>
      </c>
      <c r="M691" t="s">
        <v>30</v>
      </c>
      <c r="N691">
        <v>2016</v>
      </c>
      <c r="O691">
        <v>6</v>
      </c>
      <c r="P691">
        <v>3</v>
      </c>
      <c r="Q691" t="s">
        <v>58</v>
      </c>
      <c r="R691" t="s">
        <v>749</v>
      </c>
      <c r="S691" t="s">
        <v>33</v>
      </c>
      <c r="T691" t="s">
        <v>45</v>
      </c>
    </row>
    <row r="692" spans="1:20" ht="16.5" x14ac:dyDescent="0.45">
      <c r="A692">
        <v>1691</v>
      </c>
      <c r="B692" t="s">
        <v>1764</v>
      </c>
      <c r="C692" t="s">
        <v>51</v>
      </c>
      <c r="D692" t="s">
        <v>29</v>
      </c>
      <c r="E692">
        <v>713129</v>
      </c>
      <c r="F692" s="1">
        <v>45279</v>
      </c>
      <c r="G692" s="1"/>
      <c r="I692">
        <v>3403</v>
      </c>
      <c r="K692">
        <v>4</v>
      </c>
      <c r="L692">
        <v>3</v>
      </c>
      <c r="M692" t="s">
        <v>22</v>
      </c>
      <c r="N692">
        <v>2003</v>
      </c>
      <c r="P692">
        <v>4</v>
      </c>
      <c r="Q692" t="s">
        <v>86</v>
      </c>
      <c r="R692" t="s">
        <v>1765</v>
      </c>
      <c r="S692" t="s">
        <v>33</v>
      </c>
      <c r="T692" t="s">
        <v>463</v>
      </c>
    </row>
    <row r="693" spans="1:20" ht="16.5" x14ac:dyDescent="0.45">
      <c r="A693">
        <v>1692</v>
      </c>
      <c r="B693" t="s">
        <v>1766</v>
      </c>
      <c r="C693" t="s">
        <v>20</v>
      </c>
      <c r="D693" t="s">
        <v>42</v>
      </c>
      <c r="E693">
        <v>681701</v>
      </c>
      <c r="F693" s="1">
        <v>45621</v>
      </c>
      <c r="G693" s="1"/>
      <c r="I693">
        <v>2951</v>
      </c>
      <c r="K693">
        <v>6</v>
      </c>
      <c r="L693">
        <v>3</v>
      </c>
      <c r="M693" t="s">
        <v>22</v>
      </c>
      <c r="N693">
        <v>2013</v>
      </c>
      <c r="P693">
        <v>4</v>
      </c>
      <c r="Q693" t="s">
        <v>132</v>
      </c>
      <c r="R693" t="s">
        <v>1767</v>
      </c>
      <c r="S693" t="s">
        <v>33</v>
      </c>
      <c r="T693" t="s">
        <v>40</v>
      </c>
    </row>
    <row r="694" spans="1:20" ht="16.5" x14ac:dyDescent="0.45">
      <c r="A694">
        <v>1693</v>
      </c>
      <c r="B694" t="s">
        <v>1768</v>
      </c>
      <c r="C694" t="s">
        <v>20</v>
      </c>
      <c r="D694" t="s">
        <v>21</v>
      </c>
      <c r="E694">
        <v>429189</v>
      </c>
      <c r="F694" s="1">
        <v>45553</v>
      </c>
      <c r="G694" s="1"/>
      <c r="I694">
        <v>4892</v>
      </c>
      <c r="K694">
        <v>4</v>
      </c>
      <c r="L694">
        <v>3</v>
      </c>
      <c r="M694" t="s">
        <v>62</v>
      </c>
      <c r="N694">
        <v>2003</v>
      </c>
      <c r="O694">
        <v>1</v>
      </c>
      <c r="P694">
        <v>3</v>
      </c>
      <c r="Q694" t="s">
        <v>58</v>
      </c>
      <c r="R694" t="s">
        <v>1769</v>
      </c>
      <c r="S694" t="s">
        <v>33</v>
      </c>
      <c r="T694" t="s">
        <v>91</v>
      </c>
    </row>
    <row r="695" spans="1:20" ht="16.5" x14ac:dyDescent="0.45">
      <c r="A695">
        <v>1694</v>
      </c>
      <c r="B695" t="s">
        <v>1770</v>
      </c>
      <c r="C695" t="s">
        <v>47</v>
      </c>
      <c r="D695" t="s">
        <v>42</v>
      </c>
      <c r="E695">
        <v>990161</v>
      </c>
      <c r="F695" s="1">
        <v>45472</v>
      </c>
      <c r="G695" s="1"/>
      <c r="I695">
        <v>4317</v>
      </c>
      <c r="K695">
        <v>3</v>
      </c>
      <c r="L695">
        <v>2</v>
      </c>
      <c r="M695" t="s">
        <v>62</v>
      </c>
      <c r="N695">
        <v>2016</v>
      </c>
      <c r="O695">
        <v>1</v>
      </c>
      <c r="P695">
        <v>2</v>
      </c>
      <c r="Q695" t="s">
        <v>132</v>
      </c>
      <c r="R695" t="s">
        <v>1771</v>
      </c>
      <c r="S695" t="s">
        <v>33</v>
      </c>
      <c r="T695" t="s">
        <v>1343</v>
      </c>
    </row>
    <row r="696" spans="1:20" ht="16.5" x14ac:dyDescent="0.45">
      <c r="A696">
        <v>1695</v>
      </c>
      <c r="B696" t="s">
        <v>1772</v>
      </c>
      <c r="C696" t="s">
        <v>36</v>
      </c>
      <c r="D696" t="s">
        <v>29</v>
      </c>
      <c r="E696">
        <v>731198</v>
      </c>
      <c r="F696" s="1">
        <v>45321</v>
      </c>
      <c r="G696" s="1">
        <v>45497</v>
      </c>
      <c r="H696">
        <v>757691</v>
      </c>
      <c r="I696">
        <v>3113</v>
      </c>
      <c r="J696" s="5">
        <v>2358692083</v>
      </c>
      <c r="K696">
        <v>2</v>
      </c>
      <c r="L696">
        <v>4</v>
      </c>
      <c r="M696" t="s">
        <v>37</v>
      </c>
      <c r="N696">
        <v>2003</v>
      </c>
      <c r="O696">
        <v>4</v>
      </c>
      <c r="P696">
        <v>3</v>
      </c>
      <c r="Q696" t="s">
        <v>38</v>
      </c>
      <c r="R696" t="s">
        <v>1773</v>
      </c>
      <c r="S696" t="s">
        <v>25</v>
      </c>
      <c r="T696" t="s">
        <v>1774</v>
      </c>
    </row>
    <row r="697" spans="1:20" ht="16.5" x14ac:dyDescent="0.45">
      <c r="A697">
        <v>1696</v>
      </c>
      <c r="B697" t="s">
        <v>1775</v>
      </c>
      <c r="C697" t="s">
        <v>20</v>
      </c>
      <c r="D697" t="s">
        <v>21</v>
      </c>
      <c r="E697">
        <v>471590</v>
      </c>
      <c r="F697" s="1">
        <v>45339</v>
      </c>
      <c r="G697" s="1">
        <v>45566</v>
      </c>
      <c r="H697">
        <v>504979</v>
      </c>
      <c r="I697">
        <v>1366</v>
      </c>
      <c r="J697" s="5">
        <v>689801314</v>
      </c>
      <c r="K697">
        <v>5</v>
      </c>
      <c r="L697">
        <v>4</v>
      </c>
      <c r="M697" t="s">
        <v>37</v>
      </c>
      <c r="N697">
        <v>2022</v>
      </c>
      <c r="O697">
        <v>6</v>
      </c>
      <c r="P697">
        <v>2</v>
      </c>
      <c r="Q697" t="s">
        <v>58</v>
      </c>
      <c r="R697" t="s">
        <v>1776</v>
      </c>
      <c r="S697" t="s">
        <v>25</v>
      </c>
      <c r="T697" t="s">
        <v>1777</v>
      </c>
    </row>
    <row r="698" spans="1:20" ht="16.5" x14ac:dyDescent="0.45">
      <c r="A698">
        <v>1697</v>
      </c>
      <c r="B698" t="s">
        <v>1778</v>
      </c>
      <c r="C698" t="s">
        <v>28</v>
      </c>
      <c r="D698" t="s">
        <v>29</v>
      </c>
      <c r="E698">
        <v>892780</v>
      </c>
      <c r="F698" s="1">
        <v>45580</v>
      </c>
      <c r="G698" s="1"/>
      <c r="I698">
        <v>4455</v>
      </c>
      <c r="K698">
        <v>3</v>
      </c>
      <c r="L698">
        <v>2</v>
      </c>
      <c r="M698" t="s">
        <v>62</v>
      </c>
      <c r="N698">
        <v>2019</v>
      </c>
      <c r="O698">
        <v>3</v>
      </c>
      <c r="P698">
        <v>1</v>
      </c>
      <c r="Q698" t="s">
        <v>23</v>
      </c>
      <c r="R698" t="s">
        <v>1779</v>
      </c>
      <c r="S698" t="s">
        <v>33</v>
      </c>
      <c r="T698" t="s">
        <v>1780</v>
      </c>
    </row>
    <row r="699" spans="1:20" ht="16.5" x14ac:dyDescent="0.45">
      <c r="A699">
        <v>1698</v>
      </c>
      <c r="B699" t="s">
        <v>1781</v>
      </c>
      <c r="C699" t="s">
        <v>28</v>
      </c>
      <c r="D699" t="s">
        <v>21</v>
      </c>
      <c r="E699">
        <v>566890</v>
      </c>
      <c r="F699" s="1">
        <v>45366</v>
      </c>
      <c r="G699" s="1"/>
      <c r="I699">
        <v>3153</v>
      </c>
      <c r="K699">
        <v>3</v>
      </c>
      <c r="L699">
        <v>4</v>
      </c>
      <c r="M699" t="s">
        <v>37</v>
      </c>
      <c r="N699">
        <v>2009</v>
      </c>
      <c r="O699">
        <v>7</v>
      </c>
      <c r="P699">
        <v>4</v>
      </c>
      <c r="Q699" t="s">
        <v>75</v>
      </c>
      <c r="R699" t="s">
        <v>1782</v>
      </c>
      <c r="S699" t="s">
        <v>33</v>
      </c>
      <c r="T699" t="s">
        <v>1783</v>
      </c>
    </row>
    <row r="700" spans="1:20" ht="16.5" x14ac:dyDescent="0.45">
      <c r="A700">
        <v>1699</v>
      </c>
      <c r="B700" t="s">
        <v>1784</v>
      </c>
      <c r="C700" t="s">
        <v>36</v>
      </c>
      <c r="D700" t="s">
        <v>21</v>
      </c>
      <c r="E700">
        <v>530327</v>
      </c>
      <c r="F700" s="1">
        <v>45287</v>
      </c>
      <c r="G700" s="1"/>
      <c r="I700">
        <v>3752</v>
      </c>
      <c r="K700">
        <v>5</v>
      </c>
      <c r="L700">
        <v>2</v>
      </c>
      <c r="M700" t="s">
        <v>30</v>
      </c>
      <c r="N700">
        <v>2016</v>
      </c>
      <c r="O700">
        <v>9</v>
      </c>
      <c r="P700">
        <v>2</v>
      </c>
      <c r="Q700" t="s">
        <v>58</v>
      </c>
      <c r="R700" t="s">
        <v>1785</v>
      </c>
      <c r="S700" t="s">
        <v>33</v>
      </c>
      <c r="T700" t="s">
        <v>91</v>
      </c>
    </row>
    <row r="701" spans="1:20" ht="16.5" x14ac:dyDescent="0.45">
      <c r="A701">
        <v>1700</v>
      </c>
      <c r="B701" t="s">
        <v>1786</v>
      </c>
      <c r="C701" t="s">
        <v>36</v>
      </c>
      <c r="D701" t="s">
        <v>29</v>
      </c>
      <c r="E701">
        <v>967917</v>
      </c>
      <c r="F701" s="1">
        <v>45548</v>
      </c>
      <c r="G701" s="1">
        <v>45357</v>
      </c>
      <c r="H701">
        <v>995688</v>
      </c>
      <c r="I701">
        <v>3595</v>
      </c>
      <c r="J701" s="5">
        <v>3579498360</v>
      </c>
      <c r="K701">
        <v>3</v>
      </c>
      <c r="L701">
        <v>4</v>
      </c>
      <c r="M701" t="s">
        <v>22</v>
      </c>
      <c r="N701">
        <v>2004</v>
      </c>
      <c r="P701">
        <v>3</v>
      </c>
      <c r="Q701" t="s">
        <v>58</v>
      </c>
      <c r="R701" t="s">
        <v>1168</v>
      </c>
      <c r="S701" t="s">
        <v>25</v>
      </c>
      <c r="T701" t="s">
        <v>256</v>
      </c>
    </row>
    <row r="702" spans="1:20" ht="16.5" x14ac:dyDescent="0.45">
      <c r="A702">
        <v>1701</v>
      </c>
      <c r="B702" t="s">
        <v>1787</v>
      </c>
      <c r="C702" t="s">
        <v>36</v>
      </c>
      <c r="D702" t="s">
        <v>42</v>
      </c>
      <c r="E702">
        <v>556323</v>
      </c>
      <c r="F702" s="1">
        <v>45591</v>
      </c>
      <c r="G702" s="1">
        <v>45469</v>
      </c>
      <c r="H702">
        <v>591600</v>
      </c>
      <c r="I702">
        <v>4542</v>
      </c>
      <c r="J702" s="5">
        <v>2687047200</v>
      </c>
      <c r="K702">
        <v>5</v>
      </c>
      <c r="L702">
        <v>4</v>
      </c>
      <c r="M702" t="s">
        <v>37</v>
      </c>
      <c r="N702">
        <v>2020</v>
      </c>
      <c r="O702">
        <v>6</v>
      </c>
      <c r="P702">
        <v>3</v>
      </c>
      <c r="Q702" t="s">
        <v>162</v>
      </c>
      <c r="R702" t="s">
        <v>1788</v>
      </c>
      <c r="S702" t="s">
        <v>25</v>
      </c>
      <c r="T702" t="s">
        <v>1789</v>
      </c>
    </row>
    <row r="703" spans="1:20" ht="16.5" x14ac:dyDescent="0.45">
      <c r="A703">
        <v>1702</v>
      </c>
      <c r="B703" t="s">
        <v>1790</v>
      </c>
      <c r="C703" t="s">
        <v>51</v>
      </c>
      <c r="D703" t="s">
        <v>21</v>
      </c>
      <c r="E703">
        <v>924042</v>
      </c>
      <c r="F703" s="1">
        <v>45464</v>
      </c>
      <c r="G703" s="1">
        <v>45306</v>
      </c>
      <c r="H703">
        <v>952844</v>
      </c>
      <c r="I703">
        <v>1266</v>
      </c>
      <c r="J703" s="5">
        <v>1206300504</v>
      </c>
      <c r="K703">
        <v>6</v>
      </c>
      <c r="L703">
        <v>3</v>
      </c>
      <c r="M703" t="s">
        <v>30</v>
      </c>
      <c r="N703">
        <v>2013</v>
      </c>
      <c r="O703">
        <v>6</v>
      </c>
      <c r="P703">
        <v>2</v>
      </c>
      <c r="Q703" t="s">
        <v>43</v>
      </c>
      <c r="R703" t="s">
        <v>1791</v>
      </c>
      <c r="S703" t="s">
        <v>25</v>
      </c>
      <c r="T703" t="s">
        <v>1792</v>
      </c>
    </row>
    <row r="704" spans="1:20" ht="16.5" x14ac:dyDescent="0.45">
      <c r="A704">
        <v>1703</v>
      </c>
      <c r="B704" t="s">
        <v>1793</v>
      </c>
      <c r="C704" t="s">
        <v>20</v>
      </c>
      <c r="D704" t="s">
        <v>21</v>
      </c>
      <c r="E704">
        <v>979445</v>
      </c>
      <c r="F704" s="1">
        <v>45533</v>
      </c>
      <c r="G704" s="1">
        <v>45363</v>
      </c>
      <c r="H704">
        <v>994622</v>
      </c>
      <c r="I704">
        <v>1809</v>
      </c>
      <c r="J704" s="5">
        <v>1799271198</v>
      </c>
      <c r="K704">
        <v>5</v>
      </c>
      <c r="L704">
        <v>4</v>
      </c>
      <c r="M704" t="s">
        <v>37</v>
      </c>
      <c r="N704">
        <v>2021</v>
      </c>
      <c r="O704">
        <v>8</v>
      </c>
      <c r="P704">
        <v>3</v>
      </c>
      <c r="Q704" t="s">
        <v>23</v>
      </c>
      <c r="R704" t="s">
        <v>1794</v>
      </c>
      <c r="S704" t="s">
        <v>25</v>
      </c>
      <c r="T704" t="s">
        <v>77</v>
      </c>
    </row>
    <row r="705" spans="1:20" ht="16.5" x14ac:dyDescent="0.45">
      <c r="A705">
        <v>1704</v>
      </c>
      <c r="B705" t="s">
        <v>1795</v>
      </c>
      <c r="C705" t="s">
        <v>36</v>
      </c>
      <c r="D705" t="s">
        <v>21</v>
      </c>
      <c r="E705">
        <v>471394</v>
      </c>
      <c r="F705" s="1">
        <v>45584</v>
      </c>
      <c r="G705" s="1"/>
      <c r="I705">
        <v>4365</v>
      </c>
      <c r="K705">
        <v>2</v>
      </c>
      <c r="L705">
        <v>2</v>
      </c>
      <c r="M705" t="s">
        <v>30</v>
      </c>
      <c r="N705">
        <v>2005</v>
      </c>
      <c r="O705">
        <v>2</v>
      </c>
      <c r="P705">
        <v>2</v>
      </c>
      <c r="Q705" t="s">
        <v>75</v>
      </c>
      <c r="R705" t="s">
        <v>1796</v>
      </c>
      <c r="S705" t="s">
        <v>33</v>
      </c>
      <c r="T705" t="s">
        <v>1454</v>
      </c>
    </row>
    <row r="706" spans="1:20" ht="16.5" x14ac:dyDescent="0.45">
      <c r="A706">
        <v>1705</v>
      </c>
      <c r="B706" t="s">
        <v>1797</v>
      </c>
      <c r="C706" t="s">
        <v>47</v>
      </c>
      <c r="D706" t="s">
        <v>29</v>
      </c>
      <c r="E706">
        <v>443722</v>
      </c>
      <c r="F706" s="1">
        <v>45473</v>
      </c>
      <c r="G706" s="1"/>
      <c r="I706">
        <v>4695</v>
      </c>
      <c r="K706">
        <v>4</v>
      </c>
      <c r="L706">
        <v>4</v>
      </c>
      <c r="M706" t="s">
        <v>22</v>
      </c>
      <c r="N706">
        <v>2008</v>
      </c>
      <c r="P706">
        <v>4</v>
      </c>
      <c r="Q706" t="s">
        <v>23</v>
      </c>
      <c r="R706" t="s">
        <v>1798</v>
      </c>
      <c r="S706" t="s">
        <v>33</v>
      </c>
      <c r="T706" t="s">
        <v>77</v>
      </c>
    </row>
    <row r="707" spans="1:20" ht="16.5" x14ac:dyDescent="0.45">
      <c r="A707">
        <v>1706</v>
      </c>
      <c r="B707" t="s">
        <v>1799</v>
      </c>
      <c r="C707" t="s">
        <v>20</v>
      </c>
      <c r="D707" t="s">
        <v>42</v>
      </c>
      <c r="E707">
        <v>708027</v>
      </c>
      <c r="F707" s="1">
        <v>45480</v>
      </c>
      <c r="G707" s="1"/>
      <c r="I707">
        <v>1187</v>
      </c>
      <c r="K707">
        <v>6</v>
      </c>
      <c r="L707">
        <v>3</v>
      </c>
      <c r="M707" t="s">
        <v>22</v>
      </c>
      <c r="N707">
        <v>2020</v>
      </c>
      <c r="P707">
        <v>3</v>
      </c>
      <c r="Q707" t="s">
        <v>162</v>
      </c>
      <c r="R707" t="s">
        <v>1800</v>
      </c>
      <c r="S707" t="s">
        <v>33</v>
      </c>
      <c r="T707" t="s">
        <v>1801</v>
      </c>
    </row>
    <row r="708" spans="1:20" ht="16.5" x14ac:dyDescent="0.45">
      <c r="A708">
        <v>1707</v>
      </c>
      <c r="B708" t="s">
        <v>1802</v>
      </c>
      <c r="C708" t="s">
        <v>20</v>
      </c>
      <c r="D708" t="s">
        <v>21</v>
      </c>
      <c r="E708">
        <v>822015</v>
      </c>
      <c r="F708" s="1">
        <v>45514</v>
      </c>
      <c r="G708" s="1"/>
      <c r="I708">
        <v>1382</v>
      </c>
      <c r="K708">
        <v>6</v>
      </c>
      <c r="L708">
        <v>4</v>
      </c>
      <c r="M708" t="s">
        <v>62</v>
      </c>
      <c r="N708">
        <v>2012</v>
      </c>
      <c r="O708">
        <v>8</v>
      </c>
      <c r="P708">
        <v>3</v>
      </c>
      <c r="Q708" t="s">
        <v>93</v>
      </c>
      <c r="R708" t="s">
        <v>1803</v>
      </c>
      <c r="S708" t="s">
        <v>33</v>
      </c>
      <c r="T708" t="s">
        <v>1804</v>
      </c>
    </row>
    <row r="709" spans="1:20" ht="16.5" x14ac:dyDescent="0.45">
      <c r="A709">
        <v>1708</v>
      </c>
      <c r="B709" t="s">
        <v>1805</v>
      </c>
      <c r="C709" t="s">
        <v>20</v>
      </c>
      <c r="D709" t="s">
        <v>29</v>
      </c>
      <c r="E709">
        <v>436955</v>
      </c>
      <c r="F709" s="1">
        <v>45427</v>
      </c>
      <c r="G709" s="1">
        <v>45342</v>
      </c>
      <c r="H709">
        <v>463890</v>
      </c>
      <c r="I709">
        <v>3963</v>
      </c>
      <c r="J709" s="5">
        <v>1838396070</v>
      </c>
      <c r="K709">
        <v>2</v>
      </c>
      <c r="L709">
        <v>4</v>
      </c>
      <c r="M709" t="s">
        <v>30</v>
      </c>
      <c r="N709">
        <v>2014</v>
      </c>
      <c r="O709">
        <v>5</v>
      </c>
      <c r="P709">
        <v>1</v>
      </c>
      <c r="Q709" t="s">
        <v>23</v>
      </c>
      <c r="R709" t="s">
        <v>1806</v>
      </c>
      <c r="S709" t="s">
        <v>25</v>
      </c>
      <c r="T709" t="s">
        <v>70</v>
      </c>
    </row>
    <row r="710" spans="1:20" ht="16.5" x14ac:dyDescent="0.45">
      <c r="A710">
        <v>1709</v>
      </c>
      <c r="B710" t="s">
        <v>1807</v>
      </c>
      <c r="C710" t="s">
        <v>28</v>
      </c>
      <c r="D710" t="s">
        <v>29</v>
      </c>
      <c r="E710">
        <v>457636</v>
      </c>
      <c r="F710" s="1">
        <v>45360</v>
      </c>
      <c r="G710" s="1">
        <v>45416</v>
      </c>
      <c r="H710">
        <v>497840</v>
      </c>
      <c r="I710">
        <v>2770</v>
      </c>
      <c r="J710" s="5">
        <v>1379016800</v>
      </c>
      <c r="K710">
        <v>6</v>
      </c>
      <c r="L710">
        <v>2</v>
      </c>
      <c r="M710" t="s">
        <v>62</v>
      </c>
      <c r="N710">
        <v>2011</v>
      </c>
      <c r="O710">
        <v>2</v>
      </c>
      <c r="P710">
        <v>3</v>
      </c>
      <c r="Q710" t="s">
        <v>58</v>
      </c>
      <c r="R710" t="s">
        <v>457</v>
      </c>
      <c r="S710" t="s">
        <v>25</v>
      </c>
      <c r="T710" t="s">
        <v>70</v>
      </c>
    </row>
    <row r="711" spans="1:20" ht="16.5" x14ac:dyDescent="0.45">
      <c r="A711">
        <v>1710</v>
      </c>
      <c r="B711" t="s">
        <v>1808</v>
      </c>
      <c r="C711" t="s">
        <v>36</v>
      </c>
      <c r="D711" t="s">
        <v>21</v>
      </c>
      <c r="E711">
        <v>652765</v>
      </c>
      <c r="F711" s="1">
        <v>45503</v>
      </c>
      <c r="G711" s="1"/>
      <c r="I711">
        <v>3106</v>
      </c>
      <c r="K711">
        <v>3</v>
      </c>
      <c r="L711">
        <v>5</v>
      </c>
      <c r="M711" t="s">
        <v>37</v>
      </c>
      <c r="N711">
        <v>2011</v>
      </c>
      <c r="O711">
        <v>5</v>
      </c>
      <c r="P711">
        <v>2</v>
      </c>
      <c r="Q711" t="s">
        <v>93</v>
      </c>
      <c r="R711" t="s">
        <v>1809</v>
      </c>
      <c r="S711" t="s">
        <v>33</v>
      </c>
      <c r="T711" t="s">
        <v>1810</v>
      </c>
    </row>
    <row r="712" spans="1:20" ht="16.5" x14ac:dyDescent="0.45">
      <c r="A712">
        <v>1711</v>
      </c>
      <c r="B712" t="s">
        <v>1811</v>
      </c>
      <c r="C712" t="s">
        <v>28</v>
      </c>
      <c r="D712" t="s">
        <v>42</v>
      </c>
      <c r="E712">
        <v>556477</v>
      </c>
      <c r="F712" s="1">
        <v>45584</v>
      </c>
      <c r="G712" s="1">
        <v>45421</v>
      </c>
      <c r="H712">
        <v>595076</v>
      </c>
      <c r="I712">
        <v>1549</v>
      </c>
      <c r="J712" s="5">
        <v>921772724</v>
      </c>
      <c r="K712">
        <v>6</v>
      </c>
      <c r="L712">
        <v>2</v>
      </c>
      <c r="M712" t="s">
        <v>22</v>
      </c>
      <c r="N712">
        <v>2015</v>
      </c>
      <c r="P712">
        <v>2</v>
      </c>
      <c r="Q712" t="s">
        <v>23</v>
      </c>
      <c r="R712" t="s">
        <v>1812</v>
      </c>
      <c r="S712" t="s">
        <v>25</v>
      </c>
      <c r="T712" t="s">
        <v>77</v>
      </c>
    </row>
    <row r="713" spans="1:20" ht="16.5" x14ac:dyDescent="0.45">
      <c r="A713">
        <v>1712</v>
      </c>
      <c r="B713" t="s">
        <v>1813</v>
      </c>
      <c r="C713" t="s">
        <v>20</v>
      </c>
      <c r="D713" t="s">
        <v>42</v>
      </c>
      <c r="E713">
        <v>855776</v>
      </c>
      <c r="F713" s="1">
        <v>45515</v>
      </c>
      <c r="G713" s="1">
        <v>45378</v>
      </c>
      <c r="H713">
        <v>872464</v>
      </c>
      <c r="I713">
        <v>3931</v>
      </c>
      <c r="J713" s="5">
        <v>3429655984</v>
      </c>
      <c r="K713">
        <v>4</v>
      </c>
      <c r="L713">
        <v>2</v>
      </c>
      <c r="M713" t="s">
        <v>37</v>
      </c>
      <c r="N713">
        <v>2013</v>
      </c>
      <c r="O713">
        <v>5</v>
      </c>
      <c r="P713">
        <v>2</v>
      </c>
      <c r="Q713" t="s">
        <v>75</v>
      </c>
      <c r="R713" t="s">
        <v>1814</v>
      </c>
      <c r="S713" t="s">
        <v>25</v>
      </c>
      <c r="T713" t="s">
        <v>40</v>
      </c>
    </row>
    <row r="714" spans="1:20" ht="16.5" x14ac:dyDescent="0.45">
      <c r="A714">
        <v>1713</v>
      </c>
      <c r="B714" t="s">
        <v>1815</v>
      </c>
      <c r="C714" t="s">
        <v>36</v>
      </c>
      <c r="D714" t="s">
        <v>29</v>
      </c>
      <c r="E714">
        <v>365762</v>
      </c>
      <c r="F714" s="1">
        <v>45496</v>
      </c>
      <c r="G714" s="1"/>
      <c r="I714">
        <v>2019</v>
      </c>
      <c r="K714">
        <v>4</v>
      </c>
      <c r="L714">
        <v>2</v>
      </c>
      <c r="M714" t="s">
        <v>22</v>
      </c>
      <c r="N714">
        <v>2018</v>
      </c>
      <c r="P714">
        <v>1</v>
      </c>
      <c r="Q714" t="s">
        <v>162</v>
      </c>
      <c r="R714" t="s">
        <v>1816</v>
      </c>
      <c r="S714" t="s">
        <v>33</v>
      </c>
      <c r="T714" t="s">
        <v>441</v>
      </c>
    </row>
    <row r="715" spans="1:20" ht="16.5" x14ac:dyDescent="0.45">
      <c r="A715">
        <v>1714</v>
      </c>
      <c r="B715" t="s">
        <v>1817</v>
      </c>
      <c r="C715" t="s">
        <v>47</v>
      </c>
      <c r="D715" t="s">
        <v>29</v>
      </c>
      <c r="E715">
        <v>653546</v>
      </c>
      <c r="F715" s="1">
        <v>45422</v>
      </c>
      <c r="G715" s="1"/>
      <c r="I715">
        <v>1915</v>
      </c>
      <c r="K715">
        <v>6</v>
      </c>
      <c r="L715">
        <v>3</v>
      </c>
      <c r="M715" t="s">
        <v>22</v>
      </c>
      <c r="N715">
        <v>2004</v>
      </c>
      <c r="P715">
        <v>1</v>
      </c>
      <c r="Q715" t="s">
        <v>86</v>
      </c>
      <c r="R715" t="s">
        <v>1818</v>
      </c>
      <c r="S715" t="s">
        <v>33</v>
      </c>
      <c r="T715" t="s">
        <v>1587</v>
      </c>
    </row>
    <row r="716" spans="1:20" ht="16.5" x14ac:dyDescent="0.45">
      <c r="A716">
        <v>1715</v>
      </c>
      <c r="B716" t="s">
        <v>1819</v>
      </c>
      <c r="C716" t="s">
        <v>20</v>
      </c>
      <c r="D716" t="s">
        <v>21</v>
      </c>
      <c r="E716">
        <v>904121</v>
      </c>
      <c r="F716" s="1">
        <v>45395</v>
      </c>
      <c r="G716" s="1">
        <v>45495</v>
      </c>
      <c r="H716">
        <v>938499</v>
      </c>
      <c r="I716">
        <v>2178</v>
      </c>
      <c r="J716" s="5">
        <v>2044050822</v>
      </c>
      <c r="K716">
        <v>6</v>
      </c>
      <c r="L716">
        <v>5</v>
      </c>
      <c r="M716" t="s">
        <v>22</v>
      </c>
      <c r="N716">
        <v>2002</v>
      </c>
      <c r="P716">
        <v>4</v>
      </c>
      <c r="Q716" t="s">
        <v>23</v>
      </c>
      <c r="R716" t="s">
        <v>1820</v>
      </c>
      <c r="S716" t="s">
        <v>25</v>
      </c>
      <c r="T716" t="s">
        <v>180</v>
      </c>
    </row>
    <row r="717" spans="1:20" ht="16.5" x14ac:dyDescent="0.45">
      <c r="A717">
        <v>1716</v>
      </c>
      <c r="B717" t="s">
        <v>1821</v>
      </c>
      <c r="C717" t="s">
        <v>20</v>
      </c>
      <c r="D717" t="s">
        <v>42</v>
      </c>
      <c r="E717">
        <v>581728</v>
      </c>
      <c r="F717" s="1">
        <v>45430</v>
      </c>
      <c r="G717" s="1"/>
      <c r="I717">
        <v>1500</v>
      </c>
      <c r="K717">
        <v>6</v>
      </c>
      <c r="L717">
        <v>2</v>
      </c>
      <c r="M717" t="s">
        <v>62</v>
      </c>
      <c r="N717">
        <v>2000</v>
      </c>
      <c r="O717">
        <v>9</v>
      </c>
      <c r="P717">
        <v>2</v>
      </c>
      <c r="Q717" t="s">
        <v>43</v>
      </c>
      <c r="R717" t="s">
        <v>1822</v>
      </c>
      <c r="S717" t="s">
        <v>33</v>
      </c>
      <c r="T717" t="s">
        <v>40</v>
      </c>
    </row>
    <row r="718" spans="1:20" ht="16.5" x14ac:dyDescent="0.45">
      <c r="A718">
        <v>1717</v>
      </c>
      <c r="B718" t="s">
        <v>1823</v>
      </c>
      <c r="C718" t="s">
        <v>28</v>
      </c>
      <c r="D718" t="s">
        <v>42</v>
      </c>
      <c r="E718">
        <v>616901</v>
      </c>
      <c r="F718" s="1">
        <v>45512</v>
      </c>
      <c r="G718" s="1"/>
      <c r="I718">
        <v>1457</v>
      </c>
      <c r="K718">
        <v>4</v>
      </c>
      <c r="L718">
        <v>4</v>
      </c>
      <c r="M718" t="s">
        <v>37</v>
      </c>
      <c r="N718">
        <v>2018</v>
      </c>
      <c r="O718">
        <v>1</v>
      </c>
      <c r="P718">
        <v>3</v>
      </c>
      <c r="Q718" t="s">
        <v>75</v>
      </c>
      <c r="R718" t="s">
        <v>1824</v>
      </c>
      <c r="S718" t="s">
        <v>33</v>
      </c>
      <c r="T718" t="s">
        <v>1825</v>
      </c>
    </row>
    <row r="719" spans="1:20" ht="16.5" x14ac:dyDescent="0.45">
      <c r="A719">
        <v>1718</v>
      </c>
      <c r="B719" t="s">
        <v>1826</v>
      </c>
      <c r="C719" t="s">
        <v>51</v>
      </c>
      <c r="D719" t="s">
        <v>42</v>
      </c>
      <c r="E719">
        <v>537397</v>
      </c>
      <c r="F719" s="1">
        <v>45594</v>
      </c>
      <c r="G719" s="1">
        <v>45348</v>
      </c>
      <c r="H719">
        <v>572531</v>
      </c>
      <c r="I719">
        <v>4518</v>
      </c>
      <c r="J719" s="5">
        <v>2586695058</v>
      </c>
      <c r="K719">
        <v>6</v>
      </c>
      <c r="L719">
        <v>3</v>
      </c>
      <c r="M719" t="s">
        <v>22</v>
      </c>
      <c r="N719">
        <v>2019</v>
      </c>
      <c r="P719">
        <v>1</v>
      </c>
      <c r="Q719" t="s">
        <v>31</v>
      </c>
      <c r="R719" t="s">
        <v>1827</v>
      </c>
      <c r="S719" t="s">
        <v>25</v>
      </c>
      <c r="T719" t="s">
        <v>1828</v>
      </c>
    </row>
    <row r="720" spans="1:20" ht="16.5" x14ac:dyDescent="0.45">
      <c r="A720">
        <v>1719</v>
      </c>
      <c r="B720" t="s">
        <v>1829</v>
      </c>
      <c r="C720" t="s">
        <v>36</v>
      </c>
      <c r="D720" t="s">
        <v>21</v>
      </c>
      <c r="E720">
        <v>514534</v>
      </c>
      <c r="F720" s="1">
        <v>45602</v>
      </c>
      <c r="G720" s="1"/>
      <c r="I720">
        <v>4242</v>
      </c>
      <c r="K720">
        <v>4</v>
      </c>
      <c r="L720">
        <v>5</v>
      </c>
      <c r="M720" t="s">
        <v>62</v>
      </c>
      <c r="N720">
        <v>2004</v>
      </c>
      <c r="O720">
        <v>4</v>
      </c>
      <c r="P720">
        <v>1</v>
      </c>
      <c r="Q720" t="s">
        <v>38</v>
      </c>
      <c r="R720" t="s">
        <v>1830</v>
      </c>
      <c r="S720" t="s">
        <v>33</v>
      </c>
      <c r="T720" t="s">
        <v>1831</v>
      </c>
    </row>
    <row r="721" spans="1:20" ht="16.5" x14ac:dyDescent="0.45">
      <c r="A721">
        <v>1720</v>
      </c>
      <c r="B721" t="s">
        <v>1832</v>
      </c>
      <c r="C721" t="s">
        <v>20</v>
      </c>
      <c r="D721" t="s">
        <v>21</v>
      </c>
      <c r="E721">
        <v>966179</v>
      </c>
      <c r="F721" s="1">
        <v>45482</v>
      </c>
      <c r="G721" s="1"/>
      <c r="I721">
        <v>4122</v>
      </c>
      <c r="K721">
        <v>5</v>
      </c>
      <c r="L721">
        <v>4</v>
      </c>
      <c r="M721" t="s">
        <v>30</v>
      </c>
      <c r="N721">
        <v>2009</v>
      </c>
      <c r="O721">
        <v>9</v>
      </c>
      <c r="P721">
        <v>1</v>
      </c>
      <c r="Q721" t="s">
        <v>162</v>
      </c>
      <c r="R721" t="s">
        <v>1833</v>
      </c>
      <c r="S721" t="s">
        <v>33</v>
      </c>
      <c r="T721" t="s">
        <v>426</v>
      </c>
    </row>
    <row r="722" spans="1:20" ht="16.5" x14ac:dyDescent="0.45">
      <c r="A722">
        <v>1721</v>
      </c>
      <c r="B722" t="s">
        <v>1834</v>
      </c>
      <c r="C722" t="s">
        <v>47</v>
      </c>
      <c r="D722" t="s">
        <v>42</v>
      </c>
      <c r="E722">
        <v>957801</v>
      </c>
      <c r="F722" s="1">
        <v>45300</v>
      </c>
      <c r="G722" s="1">
        <v>45544</v>
      </c>
      <c r="H722">
        <v>997664</v>
      </c>
      <c r="I722">
        <v>2130</v>
      </c>
      <c r="J722" s="5">
        <v>2125024320</v>
      </c>
      <c r="K722">
        <v>5</v>
      </c>
      <c r="L722">
        <v>4</v>
      </c>
      <c r="M722" t="s">
        <v>62</v>
      </c>
      <c r="N722">
        <v>2002</v>
      </c>
      <c r="O722">
        <v>6</v>
      </c>
      <c r="P722">
        <v>1</v>
      </c>
      <c r="Q722" t="s">
        <v>93</v>
      </c>
      <c r="R722" t="s">
        <v>1835</v>
      </c>
      <c r="S722" t="s">
        <v>25</v>
      </c>
      <c r="T722" t="s">
        <v>128</v>
      </c>
    </row>
    <row r="723" spans="1:20" ht="16.5" x14ac:dyDescent="0.45">
      <c r="A723">
        <v>1722</v>
      </c>
      <c r="B723" t="s">
        <v>1836</v>
      </c>
      <c r="C723" t="s">
        <v>20</v>
      </c>
      <c r="D723" t="s">
        <v>21</v>
      </c>
      <c r="E723">
        <v>697117</v>
      </c>
      <c r="F723" s="1">
        <v>45386</v>
      </c>
      <c r="G723" s="1"/>
      <c r="I723">
        <v>3603</v>
      </c>
      <c r="K723">
        <v>4</v>
      </c>
      <c r="L723">
        <v>4</v>
      </c>
      <c r="M723" t="s">
        <v>62</v>
      </c>
      <c r="N723">
        <v>2017</v>
      </c>
      <c r="O723">
        <v>7</v>
      </c>
      <c r="P723">
        <v>4</v>
      </c>
      <c r="Q723" t="s">
        <v>86</v>
      </c>
      <c r="R723" t="s">
        <v>1837</v>
      </c>
      <c r="S723" t="s">
        <v>33</v>
      </c>
      <c r="T723" t="s">
        <v>183</v>
      </c>
    </row>
    <row r="724" spans="1:20" ht="16.5" x14ac:dyDescent="0.45">
      <c r="A724">
        <v>1723</v>
      </c>
      <c r="B724" t="s">
        <v>1838</v>
      </c>
      <c r="C724" t="s">
        <v>20</v>
      </c>
      <c r="D724" t="s">
        <v>21</v>
      </c>
      <c r="E724">
        <v>571534</v>
      </c>
      <c r="F724" s="1">
        <v>45406</v>
      </c>
      <c r="G724" s="1">
        <v>45579</v>
      </c>
      <c r="H724">
        <v>583634</v>
      </c>
      <c r="I724">
        <v>3617</v>
      </c>
      <c r="J724" s="5">
        <v>2111004178</v>
      </c>
      <c r="K724">
        <v>2</v>
      </c>
      <c r="L724">
        <v>5</v>
      </c>
      <c r="M724" t="s">
        <v>30</v>
      </c>
      <c r="N724">
        <v>2011</v>
      </c>
      <c r="O724">
        <v>10</v>
      </c>
      <c r="P724">
        <v>3</v>
      </c>
      <c r="Q724" t="s">
        <v>43</v>
      </c>
      <c r="R724" t="s">
        <v>1839</v>
      </c>
      <c r="S724" t="s">
        <v>25</v>
      </c>
      <c r="T724" t="s">
        <v>1840</v>
      </c>
    </row>
    <row r="725" spans="1:20" ht="16.5" x14ac:dyDescent="0.45">
      <c r="A725">
        <v>1724</v>
      </c>
      <c r="B725" t="s">
        <v>1841</v>
      </c>
      <c r="C725" t="s">
        <v>47</v>
      </c>
      <c r="D725" t="s">
        <v>21</v>
      </c>
      <c r="E725">
        <v>999208</v>
      </c>
      <c r="F725" s="1">
        <v>45637</v>
      </c>
      <c r="G725" s="1"/>
      <c r="I725">
        <v>4651</v>
      </c>
      <c r="K725">
        <v>6</v>
      </c>
      <c r="L725">
        <v>5</v>
      </c>
      <c r="M725" t="s">
        <v>30</v>
      </c>
      <c r="N725">
        <v>2020</v>
      </c>
      <c r="O725">
        <v>5</v>
      </c>
      <c r="P725">
        <v>4</v>
      </c>
      <c r="Q725" t="s">
        <v>75</v>
      </c>
      <c r="R725" t="s">
        <v>1842</v>
      </c>
      <c r="S725" t="s">
        <v>33</v>
      </c>
      <c r="T725" t="s">
        <v>45</v>
      </c>
    </row>
    <row r="726" spans="1:20" ht="16.5" x14ac:dyDescent="0.45">
      <c r="A726">
        <v>1725</v>
      </c>
      <c r="B726" t="s">
        <v>1843</v>
      </c>
      <c r="C726" t="s">
        <v>51</v>
      </c>
      <c r="D726" t="s">
        <v>21</v>
      </c>
      <c r="E726">
        <v>571926</v>
      </c>
      <c r="F726" s="1">
        <v>45535</v>
      </c>
      <c r="G726" s="1"/>
      <c r="I726">
        <v>1285</v>
      </c>
      <c r="K726">
        <v>6</v>
      </c>
      <c r="L726">
        <v>4</v>
      </c>
      <c r="M726" t="s">
        <v>22</v>
      </c>
      <c r="N726">
        <v>2021</v>
      </c>
      <c r="P726">
        <v>4</v>
      </c>
      <c r="Q726" t="s">
        <v>75</v>
      </c>
      <c r="R726" t="s">
        <v>1551</v>
      </c>
      <c r="S726" t="s">
        <v>33</v>
      </c>
      <c r="T726" t="s">
        <v>500</v>
      </c>
    </row>
    <row r="727" spans="1:20" ht="16.5" x14ac:dyDescent="0.45">
      <c r="A727">
        <v>1726</v>
      </c>
      <c r="B727" t="s">
        <v>1844</v>
      </c>
      <c r="C727" t="s">
        <v>28</v>
      </c>
      <c r="D727" t="s">
        <v>21</v>
      </c>
      <c r="E727">
        <v>962538</v>
      </c>
      <c r="F727" s="1">
        <v>45475</v>
      </c>
      <c r="G727" s="1"/>
      <c r="I727">
        <v>2921</v>
      </c>
      <c r="K727">
        <v>3</v>
      </c>
      <c r="L727">
        <v>2</v>
      </c>
      <c r="M727" t="s">
        <v>22</v>
      </c>
      <c r="N727">
        <v>2019</v>
      </c>
      <c r="P727">
        <v>1</v>
      </c>
      <c r="Q727" t="s">
        <v>75</v>
      </c>
      <c r="R727" t="s">
        <v>1845</v>
      </c>
      <c r="S727" t="s">
        <v>33</v>
      </c>
      <c r="T727" t="s">
        <v>1846</v>
      </c>
    </row>
    <row r="728" spans="1:20" ht="16.5" x14ac:dyDescent="0.45">
      <c r="A728">
        <v>1727</v>
      </c>
      <c r="B728" t="s">
        <v>1847</v>
      </c>
      <c r="C728" t="s">
        <v>36</v>
      </c>
      <c r="D728" t="s">
        <v>29</v>
      </c>
      <c r="E728">
        <v>433885</v>
      </c>
      <c r="F728" s="1">
        <v>45315</v>
      </c>
      <c r="G728" s="1"/>
      <c r="I728">
        <v>2599</v>
      </c>
      <c r="K728">
        <v>2</v>
      </c>
      <c r="L728">
        <v>2</v>
      </c>
      <c r="M728" t="s">
        <v>30</v>
      </c>
      <c r="N728">
        <v>2018</v>
      </c>
      <c r="O728">
        <v>7</v>
      </c>
      <c r="P728">
        <v>3</v>
      </c>
      <c r="Q728" t="s">
        <v>38</v>
      </c>
      <c r="R728" t="s">
        <v>1848</v>
      </c>
      <c r="S728" t="s">
        <v>33</v>
      </c>
      <c r="T728" t="s">
        <v>137</v>
      </c>
    </row>
    <row r="729" spans="1:20" ht="16.5" x14ac:dyDescent="0.45">
      <c r="A729">
        <v>1728</v>
      </c>
      <c r="B729" t="s">
        <v>1849</v>
      </c>
      <c r="C729" t="s">
        <v>51</v>
      </c>
      <c r="D729" t="s">
        <v>42</v>
      </c>
      <c r="E729">
        <v>784688</v>
      </c>
      <c r="F729" s="1">
        <v>45361</v>
      </c>
      <c r="G729" s="1"/>
      <c r="I729">
        <v>4385</v>
      </c>
      <c r="K729">
        <v>2</v>
      </c>
      <c r="L729">
        <v>3</v>
      </c>
      <c r="M729" t="s">
        <v>37</v>
      </c>
      <c r="N729">
        <v>2004</v>
      </c>
      <c r="O729">
        <v>2</v>
      </c>
      <c r="P729">
        <v>4</v>
      </c>
      <c r="Q729" t="s">
        <v>31</v>
      </c>
      <c r="R729" t="s">
        <v>1850</v>
      </c>
      <c r="S729" t="s">
        <v>33</v>
      </c>
      <c r="T729" t="s">
        <v>183</v>
      </c>
    </row>
    <row r="730" spans="1:20" ht="16.5" x14ac:dyDescent="0.45">
      <c r="A730">
        <v>1729</v>
      </c>
      <c r="B730" t="s">
        <v>1851</v>
      </c>
      <c r="C730" t="s">
        <v>36</v>
      </c>
      <c r="D730" t="s">
        <v>29</v>
      </c>
      <c r="E730">
        <v>998765</v>
      </c>
      <c r="F730" s="1">
        <v>45584</v>
      </c>
      <c r="G730" s="1"/>
      <c r="I730">
        <v>1043</v>
      </c>
      <c r="K730">
        <v>5</v>
      </c>
      <c r="L730">
        <v>4</v>
      </c>
      <c r="M730" t="s">
        <v>62</v>
      </c>
      <c r="N730">
        <v>2020</v>
      </c>
      <c r="O730">
        <v>8</v>
      </c>
      <c r="P730">
        <v>4</v>
      </c>
      <c r="Q730" t="s">
        <v>75</v>
      </c>
      <c r="R730" t="s">
        <v>1852</v>
      </c>
      <c r="S730" t="s">
        <v>33</v>
      </c>
      <c r="T730" t="s">
        <v>1090</v>
      </c>
    </row>
    <row r="731" spans="1:20" ht="16.5" x14ac:dyDescent="0.45">
      <c r="A731">
        <v>1730</v>
      </c>
      <c r="B731" t="s">
        <v>1853</v>
      </c>
      <c r="C731" t="s">
        <v>51</v>
      </c>
      <c r="D731" t="s">
        <v>21</v>
      </c>
      <c r="E731">
        <v>690361</v>
      </c>
      <c r="F731" s="1">
        <v>45605</v>
      </c>
      <c r="G731" s="1">
        <v>45445</v>
      </c>
      <c r="H731">
        <v>726307</v>
      </c>
      <c r="I731">
        <v>3271</v>
      </c>
      <c r="J731" s="5">
        <v>2375750197</v>
      </c>
      <c r="K731">
        <v>4</v>
      </c>
      <c r="L731">
        <v>4</v>
      </c>
      <c r="M731" t="s">
        <v>30</v>
      </c>
      <c r="N731">
        <v>2007</v>
      </c>
      <c r="O731">
        <v>9</v>
      </c>
      <c r="P731">
        <v>3</v>
      </c>
      <c r="Q731" t="s">
        <v>58</v>
      </c>
      <c r="R731" t="s">
        <v>1854</v>
      </c>
      <c r="S731" t="s">
        <v>25</v>
      </c>
      <c r="T731" t="s">
        <v>1855</v>
      </c>
    </row>
    <row r="732" spans="1:20" ht="16.5" x14ac:dyDescent="0.45">
      <c r="A732">
        <v>1731</v>
      </c>
      <c r="B732" t="s">
        <v>1856</v>
      </c>
      <c r="C732" t="s">
        <v>20</v>
      </c>
      <c r="D732" t="s">
        <v>29</v>
      </c>
      <c r="E732">
        <v>730255</v>
      </c>
      <c r="F732" s="1">
        <v>45621</v>
      </c>
      <c r="G732" s="1"/>
      <c r="I732">
        <v>2362</v>
      </c>
      <c r="K732">
        <v>3</v>
      </c>
      <c r="L732">
        <v>4</v>
      </c>
      <c r="M732" t="s">
        <v>37</v>
      </c>
      <c r="N732">
        <v>2017</v>
      </c>
      <c r="O732">
        <v>3</v>
      </c>
      <c r="P732">
        <v>4</v>
      </c>
      <c r="Q732" t="s">
        <v>86</v>
      </c>
      <c r="R732" t="s">
        <v>1857</v>
      </c>
      <c r="S732" t="s">
        <v>33</v>
      </c>
      <c r="T732" t="s">
        <v>1858</v>
      </c>
    </row>
    <row r="733" spans="1:20" ht="16.5" x14ac:dyDescent="0.45">
      <c r="A733">
        <v>1732</v>
      </c>
      <c r="B733" t="s">
        <v>1859</v>
      </c>
      <c r="C733" t="s">
        <v>28</v>
      </c>
      <c r="D733" t="s">
        <v>21</v>
      </c>
      <c r="E733">
        <v>341232</v>
      </c>
      <c r="F733" s="1">
        <v>45411</v>
      </c>
      <c r="G733" s="1"/>
      <c r="I733">
        <v>4189</v>
      </c>
      <c r="K733">
        <v>4</v>
      </c>
      <c r="L733">
        <v>4</v>
      </c>
      <c r="M733" t="s">
        <v>30</v>
      </c>
      <c r="N733">
        <v>2021</v>
      </c>
      <c r="O733">
        <v>8</v>
      </c>
      <c r="P733">
        <v>1</v>
      </c>
      <c r="Q733" t="s">
        <v>93</v>
      </c>
      <c r="R733" t="s">
        <v>1860</v>
      </c>
      <c r="S733" t="s">
        <v>33</v>
      </c>
      <c r="T733" t="s">
        <v>1861</v>
      </c>
    </row>
    <row r="734" spans="1:20" ht="16.5" x14ac:dyDescent="0.45">
      <c r="A734">
        <v>1733</v>
      </c>
      <c r="B734" t="s">
        <v>1862</v>
      </c>
      <c r="C734" t="s">
        <v>51</v>
      </c>
      <c r="D734" t="s">
        <v>29</v>
      </c>
      <c r="E734">
        <v>924199</v>
      </c>
      <c r="F734" s="1">
        <v>45523</v>
      </c>
      <c r="G734" s="1"/>
      <c r="I734">
        <v>3229</v>
      </c>
      <c r="K734">
        <v>2</v>
      </c>
      <c r="L734">
        <v>2</v>
      </c>
      <c r="M734" t="s">
        <v>30</v>
      </c>
      <c r="N734">
        <v>2014</v>
      </c>
      <c r="O734">
        <v>2</v>
      </c>
      <c r="P734">
        <v>3</v>
      </c>
      <c r="Q734" t="s">
        <v>43</v>
      </c>
      <c r="R734" t="s">
        <v>1863</v>
      </c>
      <c r="S734" t="s">
        <v>33</v>
      </c>
      <c r="T734" t="s">
        <v>1864</v>
      </c>
    </row>
    <row r="735" spans="1:20" ht="16.5" x14ac:dyDescent="0.45">
      <c r="A735">
        <v>1734</v>
      </c>
      <c r="B735" t="s">
        <v>1865</v>
      </c>
      <c r="C735" t="s">
        <v>20</v>
      </c>
      <c r="D735" t="s">
        <v>21</v>
      </c>
      <c r="E735">
        <v>589992</v>
      </c>
      <c r="F735" s="1">
        <v>45418</v>
      </c>
      <c r="G735" s="1"/>
      <c r="I735">
        <v>3934</v>
      </c>
      <c r="K735">
        <v>4</v>
      </c>
      <c r="L735">
        <v>4</v>
      </c>
      <c r="M735" t="s">
        <v>30</v>
      </c>
      <c r="N735">
        <v>2012</v>
      </c>
      <c r="O735">
        <v>10</v>
      </c>
      <c r="P735">
        <v>1</v>
      </c>
      <c r="Q735" t="s">
        <v>31</v>
      </c>
      <c r="R735" t="s">
        <v>1866</v>
      </c>
      <c r="S735" t="s">
        <v>33</v>
      </c>
      <c r="T735" t="s">
        <v>70</v>
      </c>
    </row>
    <row r="736" spans="1:20" ht="16.5" x14ac:dyDescent="0.45">
      <c r="A736">
        <v>1735</v>
      </c>
      <c r="B736" t="s">
        <v>1867</v>
      </c>
      <c r="C736" t="s">
        <v>28</v>
      </c>
      <c r="D736" t="s">
        <v>21</v>
      </c>
      <c r="E736">
        <v>887807</v>
      </c>
      <c r="F736" s="1">
        <v>45589</v>
      </c>
      <c r="G736" s="1"/>
      <c r="I736">
        <v>3429</v>
      </c>
      <c r="K736">
        <v>5</v>
      </c>
      <c r="L736">
        <v>2</v>
      </c>
      <c r="M736" t="s">
        <v>22</v>
      </c>
      <c r="N736">
        <v>2001</v>
      </c>
      <c r="P736">
        <v>2</v>
      </c>
      <c r="Q736" t="s">
        <v>58</v>
      </c>
      <c r="R736" t="s">
        <v>1868</v>
      </c>
      <c r="S736" t="s">
        <v>33</v>
      </c>
      <c r="T736" t="s">
        <v>88</v>
      </c>
    </row>
    <row r="737" spans="1:20" ht="16.5" x14ac:dyDescent="0.45">
      <c r="A737">
        <v>1736</v>
      </c>
      <c r="B737" t="s">
        <v>1869</v>
      </c>
      <c r="C737" t="s">
        <v>51</v>
      </c>
      <c r="D737" t="s">
        <v>21</v>
      </c>
      <c r="E737">
        <v>547089</v>
      </c>
      <c r="F737" s="1">
        <v>45463</v>
      </c>
      <c r="G737" s="1"/>
      <c r="I737">
        <v>1325</v>
      </c>
      <c r="K737">
        <v>5</v>
      </c>
      <c r="L737">
        <v>3</v>
      </c>
      <c r="M737" t="s">
        <v>30</v>
      </c>
      <c r="N737">
        <v>2018</v>
      </c>
      <c r="O737">
        <v>6</v>
      </c>
      <c r="P737">
        <v>2</v>
      </c>
      <c r="Q737" t="s">
        <v>38</v>
      </c>
      <c r="R737" t="s">
        <v>1870</v>
      </c>
      <c r="S737" t="s">
        <v>33</v>
      </c>
      <c r="T737" t="s">
        <v>77</v>
      </c>
    </row>
    <row r="738" spans="1:20" ht="16.5" x14ac:dyDescent="0.45">
      <c r="A738">
        <v>1737</v>
      </c>
      <c r="B738" t="s">
        <v>1871</v>
      </c>
      <c r="C738" t="s">
        <v>47</v>
      </c>
      <c r="D738" t="s">
        <v>21</v>
      </c>
      <c r="E738">
        <v>340896</v>
      </c>
      <c r="F738" s="1">
        <v>45361</v>
      </c>
      <c r="G738" s="1"/>
      <c r="I738">
        <v>4786</v>
      </c>
      <c r="K738">
        <v>2</v>
      </c>
      <c r="L738">
        <v>4</v>
      </c>
      <c r="M738" t="s">
        <v>22</v>
      </c>
      <c r="N738">
        <v>2006</v>
      </c>
      <c r="P738">
        <v>2</v>
      </c>
      <c r="Q738" t="s">
        <v>132</v>
      </c>
      <c r="R738" t="s">
        <v>1872</v>
      </c>
      <c r="S738" t="s">
        <v>33</v>
      </c>
      <c r="T738" t="s">
        <v>1873</v>
      </c>
    </row>
    <row r="739" spans="1:20" ht="16.5" x14ac:dyDescent="0.45">
      <c r="A739">
        <v>1738</v>
      </c>
      <c r="B739" t="s">
        <v>1874</v>
      </c>
      <c r="C739" t="s">
        <v>51</v>
      </c>
      <c r="D739" t="s">
        <v>42</v>
      </c>
      <c r="E739">
        <v>563606</v>
      </c>
      <c r="F739" s="1">
        <v>45376</v>
      </c>
      <c r="G739" s="1">
        <v>45297</v>
      </c>
      <c r="H739">
        <v>574151</v>
      </c>
      <c r="I739">
        <v>3999</v>
      </c>
      <c r="J739" s="5">
        <v>2296029849</v>
      </c>
      <c r="K739">
        <v>6</v>
      </c>
      <c r="L739">
        <v>5</v>
      </c>
      <c r="M739" t="s">
        <v>22</v>
      </c>
      <c r="N739">
        <v>2003</v>
      </c>
      <c r="P739">
        <v>4</v>
      </c>
      <c r="Q739" t="s">
        <v>132</v>
      </c>
      <c r="R739" t="s">
        <v>1875</v>
      </c>
      <c r="S739" t="s">
        <v>25</v>
      </c>
      <c r="T739" t="s">
        <v>1876</v>
      </c>
    </row>
    <row r="740" spans="1:20" ht="16.5" x14ac:dyDescent="0.45">
      <c r="A740">
        <v>1739</v>
      </c>
      <c r="B740" t="s">
        <v>1877</v>
      </c>
      <c r="C740" t="s">
        <v>36</v>
      </c>
      <c r="D740" t="s">
        <v>29</v>
      </c>
      <c r="E740">
        <v>464357</v>
      </c>
      <c r="F740" s="1">
        <v>45620</v>
      </c>
      <c r="G740" s="1"/>
      <c r="I740">
        <v>2603</v>
      </c>
      <c r="K740">
        <v>6</v>
      </c>
      <c r="L740">
        <v>4</v>
      </c>
      <c r="M740" t="s">
        <v>22</v>
      </c>
      <c r="N740">
        <v>2016</v>
      </c>
      <c r="P740">
        <v>1</v>
      </c>
      <c r="Q740" t="s">
        <v>38</v>
      </c>
      <c r="R740" t="s">
        <v>1878</v>
      </c>
      <c r="S740" t="s">
        <v>33</v>
      </c>
      <c r="T740" t="s">
        <v>1879</v>
      </c>
    </row>
    <row r="741" spans="1:20" ht="16.5" x14ac:dyDescent="0.45">
      <c r="A741">
        <v>1740</v>
      </c>
      <c r="B741" t="s">
        <v>1880</v>
      </c>
      <c r="C741" t="s">
        <v>28</v>
      </c>
      <c r="D741" t="s">
        <v>21</v>
      </c>
      <c r="E741">
        <v>508199</v>
      </c>
      <c r="F741" s="1">
        <v>45535</v>
      </c>
      <c r="G741" s="1">
        <v>45401</v>
      </c>
      <c r="H741">
        <v>524092</v>
      </c>
      <c r="I741">
        <v>3429</v>
      </c>
      <c r="J741" s="5">
        <v>1797111468</v>
      </c>
      <c r="K741">
        <v>4</v>
      </c>
      <c r="L741">
        <v>3</v>
      </c>
      <c r="M741" t="s">
        <v>62</v>
      </c>
      <c r="N741">
        <v>2022</v>
      </c>
      <c r="O741">
        <v>2</v>
      </c>
      <c r="P741">
        <v>1</v>
      </c>
      <c r="Q741" t="s">
        <v>31</v>
      </c>
      <c r="R741" t="s">
        <v>1881</v>
      </c>
      <c r="S741" t="s">
        <v>25</v>
      </c>
      <c r="T741" t="s">
        <v>1882</v>
      </c>
    </row>
    <row r="742" spans="1:20" ht="16.5" x14ac:dyDescent="0.45">
      <c r="A742">
        <v>1741</v>
      </c>
      <c r="B742" t="s">
        <v>1883</v>
      </c>
      <c r="C742" t="s">
        <v>20</v>
      </c>
      <c r="D742" t="s">
        <v>29</v>
      </c>
      <c r="E742">
        <v>323789</v>
      </c>
      <c r="F742" s="1">
        <v>45309</v>
      </c>
      <c r="G742" s="1">
        <v>45392</v>
      </c>
      <c r="H742">
        <v>361996</v>
      </c>
      <c r="I742">
        <v>4999</v>
      </c>
      <c r="J742" s="5">
        <v>1809618004</v>
      </c>
      <c r="K742">
        <v>6</v>
      </c>
      <c r="L742">
        <v>2</v>
      </c>
      <c r="M742" t="s">
        <v>37</v>
      </c>
      <c r="N742">
        <v>2001</v>
      </c>
      <c r="O742">
        <v>8</v>
      </c>
      <c r="P742">
        <v>3</v>
      </c>
      <c r="Q742" t="s">
        <v>86</v>
      </c>
      <c r="R742" t="s">
        <v>1884</v>
      </c>
      <c r="S742" t="s">
        <v>25</v>
      </c>
      <c r="T742" t="s">
        <v>1831</v>
      </c>
    </row>
    <row r="743" spans="1:20" ht="16.5" x14ac:dyDescent="0.45">
      <c r="A743">
        <v>1742</v>
      </c>
      <c r="B743" t="s">
        <v>1885</v>
      </c>
      <c r="C743" t="s">
        <v>28</v>
      </c>
      <c r="D743" t="s">
        <v>42</v>
      </c>
      <c r="E743">
        <v>716184</v>
      </c>
      <c r="F743" s="1">
        <v>45468</v>
      </c>
      <c r="G743" s="1">
        <v>45468</v>
      </c>
      <c r="H743">
        <v>728502</v>
      </c>
      <c r="I743">
        <v>3862</v>
      </c>
      <c r="J743" s="5">
        <v>2813474724</v>
      </c>
      <c r="K743">
        <v>5</v>
      </c>
      <c r="L743">
        <v>4</v>
      </c>
      <c r="M743" t="s">
        <v>62</v>
      </c>
      <c r="N743">
        <v>2000</v>
      </c>
      <c r="O743">
        <v>4</v>
      </c>
      <c r="P743">
        <v>3</v>
      </c>
      <c r="Q743" t="s">
        <v>58</v>
      </c>
      <c r="R743" t="s">
        <v>1886</v>
      </c>
      <c r="S743" t="s">
        <v>25</v>
      </c>
      <c r="T743" t="s">
        <v>1887</v>
      </c>
    </row>
    <row r="744" spans="1:20" ht="16.5" x14ac:dyDescent="0.45">
      <c r="A744">
        <v>1743</v>
      </c>
      <c r="B744" t="s">
        <v>1888</v>
      </c>
      <c r="C744" t="s">
        <v>47</v>
      </c>
      <c r="D744" t="s">
        <v>42</v>
      </c>
      <c r="E744">
        <v>486726</v>
      </c>
      <c r="F744" s="1">
        <v>45395</v>
      </c>
      <c r="G744" s="1"/>
      <c r="I744">
        <v>3337</v>
      </c>
      <c r="K744">
        <v>2</v>
      </c>
      <c r="L744">
        <v>4</v>
      </c>
      <c r="M744" t="s">
        <v>30</v>
      </c>
      <c r="N744">
        <v>2012</v>
      </c>
      <c r="O744">
        <v>2</v>
      </c>
      <c r="P744">
        <v>1</v>
      </c>
      <c r="Q744" t="s">
        <v>93</v>
      </c>
      <c r="R744" t="s">
        <v>1889</v>
      </c>
      <c r="S744" t="s">
        <v>33</v>
      </c>
      <c r="T744" t="s">
        <v>183</v>
      </c>
    </row>
    <row r="745" spans="1:20" ht="16.5" x14ac:dyDescent="0.45">
      <c r="A745">
        <v>1744</v>
      </c>
      <c r="B745" t="s">
        <v>1890</v>
      </c>
      <c r="C745" t="s">
        <v>28</v>
      </c>
      <c r="D745" t="s">
        <v>42</v>
      </c>
      <c r="E745">
        <v>454629</v>
      </c>
      <c r="F745" s="1">
        <v>45316</v>
      </c>
      <c r="G745" s="1">
        <v>45508</v>
      </c>
      <c r="H745">
        <v>489779</v>
      </c>
      <c r="I745">
        <v>4833</v>
      </c>
      <c r="J745" s="5">
        <v>2367101907</v>
      </c>
      <c r="K745">
        <v>3</v>
      </c>
      <c r="L745">
        <v>3</v>
      </c>
      <c r="M745" t="s">
        <v>30</v>
      </c>
      <c r="N745">
        <v>2011</v>
      </c>
      <c r="O745">
        <v>3</v>
      </c>
      <c r="P745">
        <v>2</v>
      </c>
      <c r="Q745" t="s">
        <v>58</v>
      </c>
      <c r="R745" t="s">
        <v>1891</v>
      </c>
      <c r="S745" t="s">
        <v>25</v>
      </c>
      <c r="T745" t="s">
        <v>180</v>
      </c>
    </row>
    <row r="746" spans="1:20" ht="16.5" x14ac:dyDescent="0.45">
      <c r="A746">
        <v>1745</v>
      </c>
      <c r="B746" t="s">
        <v>1892</v>
      </c>
      <c r="C746" t="s">
        <v>20</v>
      </c>
      <c r="D746" t="s">
        <v>21</v>
      </c>
      <c r="E746">
        <v>862443</v>
      </c>
      <c r="F746" s="1">
        <v>45288</v>
      </c>
      <c r="G746" s="1"/>
      <c r="I746">
        <v>2611</v>
      </c>
      <c r="K746">
        <v>6</v>
      </c>
      <c r="L746">
        <v>4</v>
      </c>
      <c r="M746" t="s">
        <v>62</v>
      </c>
      <c r="N746">
        <v>2023</v>
      </c>
      <c r="O746">
        <v>5</v>
      </c>
      <c r="P746">
        <v>4</v>
      </c>
      <c r="Q746" t="s">
        <v>23</v>
      </c>
      <c r="R746" t="s">
        <v>1893</v>
      </c>
      <c r="S746" t="s">
        <v>33</v>
      </c>
      <c r="T746" t="s">
        <v>1894</v>
      </c>
    </row>
    <row r="747" spans="1:20" ht="16.5" x14ac:dyDescent="0.45">
      <c r="A747">
        <v>1746</v>
      </c>
      <c r="B747" t="s">
        <v>1895</v>
      </c>
      <c r="C747" t="s">
        <v>36</v>
      </c>
      <c r="D747" t="s">
        <v>42</v>
      </c>
      <c r="E747">
        <v>784436</v>
      </c>
      <c r="F747" s="1">
        <v>45296</v>
      </c>
      <c r="G747" s="1">
        <v>45458</v>
      </c>
      <c r="H747">
        <v>827895</v>
      </c>
      <c r="I747">
        <v>1954</v>
      </c>
      <c r="J747" s="5">
        <v>1617706830</v>
      </c>
      <c r="K747">
        <v>2</v>
      </c>
      <c r="L747">
        <v>5</v>
      </c>
      <c r="M747" t="s">
        <v>22</v>
      </c>
      <c r="N747">
        <v>2011</v>
      </c>
      <c r="P747">
        <v>2</v>
      </c>
      <c r="Q747" t="s">
        <v>86</v>
      </c>
      <c r="R747" t="s">
        <v>1896</v>
      </c>
      <c r="S747" t="s">
        <v>25</v>
      </c>
      <c r="T747" t="s">
        <v>91</v>
      </c>
    </row>
    <row r="748" spans="1:20" ht="16.5" x14ac:dyDescent="0.45">
      <c r="A748">
        <v>1747</v>
      </c>
      <c r="B748" t="s">
        <v>1897</v>
      </c>
      <c r="C748" t="s">
        <v>28</v>
      </c>
      <c r="D748" t="s">
        <v>29</v>
      </c>
      <c r="E748">
        <v>391605</v>
      </c>
      <c r="F748" s="1">
        <v>45514</v>
      </c>
      <c r="G748" s="1">
        <v>45439</v>
      </c>
      <c r="H748">
        <v>434879</v>
      </c>
      <c r="I748">
        <v>2178</v>
      </c>
      <c r="J748" s="5">
        <v>947166462</v>
      </c>
      <c r="K748">
        <v>6</v>
      </c>
      <c r="L748">
        <v>4</v>
      </c>
      <c r="M748" t="s">
        <v>22</v>
      </c>
      <c r="N748">
        <v>2010</v>
      </c>
      <c r="P748">
        <v>1</v>
      </c>
      <c r="Q748" t="s">
        <v>162</v>
      </c>
      <c r="R748" t="s">
        <v>1898</v>
      </c>
      <c r="S748" t="s">
        <v>25</v>
      </c>
      <c r="T748" t="s">
        <v>40</v>
      </c>
    </row>
    <row r="749" spans="1:20" ht="16.5" x14ac:dyDescent="0.45">
      <c r="A749">
        <v>1748</v>
      </c>
      <c r="B749" t="s">
        <v>1899</v>
      </c>
      <c r="C749" t="s">
        <v>47</v>
      </c>
      <c r="D749" t="s">
        <v>42</v>
      </c>
      <c r="E749">
        <v>829013</v>
      </c>
      <c r="F749" s="1">
        <v>45372</v>
      </c>
      <c r="G749" s="1"/>
      <c r="I749">
        <v>1994</v>
      </c>
      <c r="K749">
        <v>2</v>
      </c>
      <c r="L749">
        <v>4</v>
      </c>
      <c r="M749" t="s">
        <v>22</v>
      </c>
      <c r="N749">
        <v>2002</v>
      </c>
      <c r="P749">
        <v>4</v>
      </c>
      <c r="Q749" t="s">
        <v>38</v>
      </c>
      <c r="R749" t="s">
        <v>1900</v>
      </c>
      <c r="S749" t="s">
        <v>33</v>
      </c>
      <c r="T749" t="s">
        <v>1658</v>
      </c>
    </row>
    <row r="750" spans="1:20" ht="16.5" x14ac:dyDescent="0.45">
      <c r="A750">
        <v>1749</v>
      </c>
      <c r="B750" t="s">
        <v>1901</v>
      </c>
      <c r="C750" t="s">
        <v>20</v>
      </c>
      <c r="D750" t="s">
        <v>42</v>
      </c>
      <c r="E750">
        <v>928267</v>
      </c>
      <c r="F750" s="1">
        <v>45437</v>
      </c>
      <c r="G750" s="1">
        <v>45340</v>
      </c>
      <c r="H750">
        <v>968456</v>
      </c>
      <c r="I750">
        <v>1882</v>
      </c>
      <c r="J750" s="5">
        <v>1822634192</v>
      </c>
      <c r="K750">
        <v>6</v>
      </c>
      <c r="L750">
        <v>2</v>
      </c>
      <c r="M750" t="s">
        <v>62</v>
      </c>
      <c r="N750">
        <v>2002</v>
      </c>
      <c r="O750">
        <v>7</v>
      </c>
      <c r="P750">
        <v>3</v>
      </c>
      <c r="Q750" t="s">
        <v>43</v>
      </c>
      <c r="R750" t="s">
        <v>1902</v>
      </c>
      <c r="S750" t="s">
        <v>25</v>
      </c>
      <c r="T750" t="s">
        <v>284</v>
      </c>
    </row>
    <row r="751" spans="1:20" ht="16.5" x14ac:dyDescent="0.45">
      <c r="A751">
        <v>1750</v>
      </c>
      <c r="B751" t="s">
        <v>1903</v>
      </c>
      <c r="C751" t="s">
        <v>28</v>
      </c>
      <c r="D751" t="s">
        <v>21</v>
      </c>
      <c r="E751">
        <v>532194</v>
      </c>
      <c r="F751" s="1">
        <v>45325</v>
      </c>
      <c r="G751" s="1"/>
      <c r="I751">
        <v>2231</v>
      </c>
      <c r="K751">
        <v>2</v>
      </c>
      <c r="L751">
        <v>4</v>
      </c>
      <c r="M751" t="s">
        <v>30</v>
      </c>
      <c r="N751">
        <v>2016</v>
      </c>
      <c r="O751">
        <v>9</v>
      </c>
      <c r="P751">
        <v>2</v>
      </c>
      <c r="Q751" t="s">
        <v>43</v>
      </c>
      <c r="R751" t="s">
        <v>1904</v>
      </c>
      <c r="S751" t="s">
        <v>33</v>
      </c>
      <c r="T751" t="s">
        <v>925</v>
      </c>
    </row>
    <row r="752" spans="1:20" ht="16.5" x14ac:dyDescent="0.45">
      <c r="A752">
        <v>1751</v>
      </c>
      <c r="B752" t="s">
        <v>1905</v>
      </c>
      <c r="C752" t="s">
        <v>20</v>
      </c>
      <c r="D752" t="s">
        <v>21</v>
      </c>
      <c r="E752">
        <v>615571</v>
      </c>
      <c r="F752" s="1">
        <v>45537</v>
      </c>
      <c r="G752" s="1"/>
      <c r="I752">
        <v>4039</v>
      </c>
      <c r="K752">
        <v>3</v>
      </c>
      <c r="L752">
        <v>4</v>
      </c>
      <c r="M752" t="s">
        <v>30</v>
      </c>
      <c r="N752">
        <v>2000</v>
      </c>
      <c r="O752">
        <v>8</v>
      </c>
      <c r="P752">
        <v>1</v>
      </c>
      <c r="Q752" t="s">
        <v>31</v>
      </c>
      <c r="R752" t="s">
        <v>1906</v>
      </c>
      <c r="S752" t="s">
        <v>33</v>
      </c>
      <c r="T752" t="s">
        <v>1907</v>
      </c>
    </row>
    <row r="753" spans="1:20" ht="16.5" x14ac:dyDescent="0.45">
      <c r="A753">
        <v>1752</v>
      </c>
      <c r="B753" t="s">
        <v>1908</v>
      </c>
      <c r="C753" t="s">
        <v>47</v>
      </c>
      <c r="D753" t="s">
        <v>42</v>
      </c>
      <c r="E753">
        <v>324213</v>
      </c>
      <c r="F753" s="1">
        <v>45603</v>
      </c>
      <c r="G753" s="1">
        <v>45550</v>
      </c>
      <c r="H753">
        <v>351884</v>
      </c>
      <c r="I753">
        <v>2301</v>
      </c>
      <c r="J753" s="5">
        <v>809685084</v>
      </c>
      <c r="K753">
        <v>6</v>
      </c>
      <c r="L753">
        <v>3</v>
      </c>
      <c r="M753" t="s">
        <v>62</v>
      </c>
      <c r="N753">
        <v>2005</v>
      </c>
      <c r="O753">
        <v>4</v>
      </c>
      <c r="P753">
        <v>3</v>
      </c>
      <c r="Q753" t="s">
        <v>75</v>
      </c>
      <c r="R753" t="s">
        <v>1909</v>
      </c>
      <c r="S753" t="s">
        <v>25</v>
      </c>
      <c r="T753" t="s">
        <v>77</v>
      </c>
    </row>
    <row r="754" spans="1:20" ht="16.5" x14ac:dyDescent="0.45">
      <c r="A754">
        <v>1753</v>
      </c>
      <c r="B754" t="s">
        <v>1910</v>
      </c>
      <c r="C754" t="s">
        <v>36</v>
      </c>
      <c r="D754" t="s">
        <v>42</v>
      </c>
      <c r="E754">
        <v>496094</v>
      </c>
      <c r="F754" s="1">
        <v>45403</v>
      </c>
      <c r="G754" s="1">
        <v>45328</v>
      </c>
      <c r="H754">
        <v>522014</v>
      </c>
      <c r="I754">
        <v>3945</v>
      </c>
      <c r="J754" s="5">
        <v>2059345230</v>
      </c>
      <c r="K754">
        <v>2</v>
      </c>
      <c r="L754">
        <v>5</v>
      </c>
      <c r="M754" t="s">
        <v>30</v>
      </c>
      <c r="N754">
        <v>2011</v>
      </c>
      <c r="O754">
        <v>2</v>
      </c>
      <c r="P754">
        <v>2</v>
      </c>
      <c r="Q754" t="s">
        <v>162</v>
      </c>
      <c r="R754" t="s">
        <v>1911</v>
      </c>
      <c r="S754" t="s">
        <v>25</v>
      </c>
      <c r="T754" t="s">
        <v>1912</v>
      </c>
    </row>
    <row r="755" spans="1:20" ht="16.5" x14ac:dyDescent="0.45">
      <c r="A755">
        <v>1754</v>
      </c>
      <c r="B755" t="s">
        <v>1913</v>
      </c>
      <c r="C755" t="s">
        <v>47</v>
      </c>
      <c r="D755" t="s">
        <v>42</v>
      </c>
      <c r="E755">
        <v>312010</v>
      </c>
      <c r="F755" s="1">
        <v>45363</v>
      </c>
      <c r="G755" s="1"/>
      <c r="I755">
        <v>2336</v>
      </c>
      <c r="K755">
        <v>4</v>
      </c>
      <c r="L755">
        <v>4</v>
      </c>
      <c r="M755" t="s">
        <v>22</v>
      </c>
      <c r="N755">
        <v>2013</v>
      </c>
      <c r="P755">
        <v>2</v>
      </c>
      <c r="Q755" t="s">
        <v>38</v>
      </c>
      <c r="R755" t="s">
        <v>1914</v>
      </c>
      <c r="S755" t="s">
        <v>33</v>
      </c>
      <c r="T755" t="s">
        <v>1915</v>
      </c>
    </row>
    <row r="756" spans="1:20" ht="16.5" x14ac:dyDescent="0.45">
      <c r="A756">
        <v>1755</v>
      </c>
      <c r="B756" t="s">
        <v>1916</v>
      </c>
      <c r="C756" t="s">
        <v>20</v>
      </c>
      <c r="D756" t="s">
        <v>42</v>
      </c>
      <c r="E756">
        <v>943115</v>
      </c>
      <c r="F756" s="1">
        <v>45545</v>
      </c>
      <c r="G756" s="1">
        <v>45529</v>
      </c>
      <c r="H756">
        <v>973365</v>
      </c>
      <c r="I756">
        <v>3368</v>
      </c>
      <c r="J756" s="5">
        <v>3278293320</v>
      </c>
      <c r="K756">
        <v>4</v>
      </c>
      <c r="L756">
        <v>3</v>
      </c>
      <c r="M756" t="s">
        <v>62</v>
      </c>
      <c r="N756">
        <v>2008</v>
      </c>
      <c r="O756">
        <v>5</v>
      </c>
      <c r="P756">
        <v>2</v>
      </c>
      <c r="Q756" t="s">
        <v>43</v>
      </c>
      <c r="R756" t="s">
        <v>1917</v>
      </c>
      <c r="S756" t="s">
        <v>25</v>
      </c>
      <c r="T756" t="s">
        <v>1090</v>
      </c>
    </row>
    <row r="757" spans="1:20" ht="16.5" x14ac:dyDescent="0.45">
      <c r="A757">
        <v>1756</v>
      </c>
      <c r="B757" t="s">
        <v>1918</v>
      </c>
      <c r="C757" t="s">
        <v>51</v>
      </c>
      <c r="D757" t="s">
        <v>42</v>
      </c>
      <c r="E757">
        <v>500196</v>
      </c>
      <c r="F757" s="1">
        <v>45516</v>
      </c>
      <c r="G757" s="1">
        <v>45497</v>
      </c>
      <c r="H757">
        <v>536303</v>
      </c>
      <c r="I757">
        <v>2844</v>
      </c>
      <c r="J757" s="5">
        <v>1525245732</v>
      </c>
      <c r="K757">
        <v>2</v>
      </c>
      <c r="L757">
        <v>5</v>
      </c>
      <c r="M757" t="s">
        <v>30</v>
      </c>
      <c r="N757">
        <v>2016</v>
      </c>
      <c r="O757">
        <v>7</v>
      </c>
      <c r="P757">
        <v>3</v>
      </c>
      <c r="Q757" t="s">
        <v>38</v>
      </c>
      <c r="R757" t="s">
        <v>340</v>
      </c>
      <c r="S757" t="s">
        <v>25</v>
      </c>
      <c r="T757" t="s">
        <v>180</v>
      </c>
    </row>
    <row r="758" spans="1:20" ht="16.5" x14ac:dyDescent="0.45">
      <c r="A758">
        <v>1757</v>
      </c>
      <c r="B758" t="s">
        <v>1919</v>
      </c>
      <c r="C758" t="s">
        <v>28</v>
      </c>
      <c r="D758" t="s">
        <v>42</v>
      </c>
      <c r="E758">
        <v>345122</v>
      </c>
      <c r="F758" s="1">
        <v>45462</v>
      </c>
      <c r="G758" s="1">
        <v>45455</v>
      </c>
      <c r="H758">
        <v>361073</v>
      </c>
      <c r="I758">
        <v>1506</v>
      </c>
      <c r="J758" s="5">
        <v>543775938</v>
      </c>
      <c r="K758">
        <v>5</v>
      </c>
      <c r="L758">
        <v>4</v>
      </c>
      <c r="M758" t="s">
        <v>30</v>
      </c>
      <c r="N758">
        <v>2018</v>
      </c>
      <c r="O758">
        <v>3</v>
      </c>
      <c r="P758">
        <v>4</v>
      </c>
      <c r="Q758" t="s">
        <v>132</v>
      </c>
      <c r="R758" t="s">
        <v>1920</v>
      </c>
      <c r="S758" t="s">
        <v>25</v>
      </c>
      <c r="T758" t="s">
        <v>91</v>
      </c>
    </row>
    <row r="759" spans="1:20" ht="16.5" x14ac:dyDescent="0.45">
      <c r="A759">
        <v>1758</v>
      </c>
      <c r="B759" t="s">
        <v>1921</v>
      </c>
      <c r="C759" t="s">
        <v>47</v>
      </c>
      <c r="D759" t="s">
        <v>29</v>
      </c>
      <c r="E759">
        <v>735864</v>
      </c>
      <c r="F759" s="1">
        <v>45367</v>
      </c>
      <c r="G759" s="1"/>
      <c r="I759">
        <v>3940</v>
      </c>
      <c r="K759">
        <v>5</v>
      </c>
      <c r="L759">
        <v>4</v>
      </c>
      <c r="M759" t="s">
        <v>30</v>
      </c>
      <c r="N759">
        <v>2023</v>
      </c>
      <c r="O759">
        <v>3</v>
      </c>
      <c r="P759">
        <v>2</v>
      </c>
      <c r="Q759" t="s">
        <v>75</v>
      </c>
      <c r="R759" t="s">
        <v>1522</v>
      </c>
      <c r="S759" t="s">
        <v>33</v>
      </c>
      <c r="T759" t="s">
        <v>1922</v>
      </c>
    </row>
    <row r="760" spans="1:20" ht="16.5" x14ac:dyDescent="0.45">
      <c r="A760">
        <v>1759</v>
      </c>
      <c r="B760" t="s">
        <v>1923</v>
      </c>
      <c r="C760" t="s">
        <v>36</v>
      </c>
      <c r="D760" t="s">
        <v>42</v>
      </c>
      <c r="E760">
        <v>952267</v>
      </c>
      <c r="F760" s="1">
        <v>45614</v>
      </c>
      <c r="G760" s="1"/>
      <c r="I760">
        <v>2133</v>
      </c>
      <c r="K760">
        <v>6</v>
      </c>
      <c r="L760">
        <v>2</v>
      </c>
      <c r="M760" t="s">
        <v>62</v>
      </c>
      <c r="N760">
        <v>2016</v>
      </c>
      <c r="O760">
        <v>6</v>
      </c>
      <c r="P760">
        <v>3</v>
      </c>
      <c r="Q760" t="s">
        <v>162</v>
      </c>
      <c r="R760" t="s">
        <v>1924</v>
      </c>
      <c r="S760" t="s">
        <v>33</v>
      </c>
      <c r="T760" t="s">
        <v>1297</v>
      </c>
    </row>
    <row r="761" spans="1:20" ht="16.5" x14ac:dyDescent="0.45">
      <c r="A761">
        <v>1760</v>
      </c>
      <c r="B761" t="s">
        <v>1925</v>
      </c>
      <c r="C761" t="s">
        <v>20</v>
      </c>
      <c r="D761" t="s">
        <v>29</v>
      </c>
      <c r="E761">
        <v>523177</v>
      </c>
      <c r="F761" s="1">
        <v>45405</v>
      </c>
      <c r="G761" s="1"/>
      <c r="I761">
        <v>4652</v>
      </c>
      <c r="K761">
        <v>4</v>
      </c>
      <c r="L761">
        <v>3</v>
      </c>
      <c r="M761" t="s">
        <v>22</v>
      </c>
      <c r="N761">
        <v>2002</v>
      </c>
      <c r="P761">
        <v>4</v>
      </c>
      <c r="Q761" t="s">
        <v>43</v>
      </c>
      <c r="R761" t="s">
        <v>1926</v>
      </c>
      <c r="S761" t="s">
        <v>33</v>
      </c>
      <c r="T761" t="s">
        <v>460</v>
      </c>
    </row>
    <row r="762" spans="1:20" ht="16.5" x14ac:dyDescent="0.45">
      <c r="A762">
        <v>1761</v>
      </c>
      <c r="B762" t="s">
        <v>1927</v>
      </c>
      <c r="C762" t="s">
        <v>51</v>
      </c>
      <c r="D762" t="s">
        <v>42</v>
      </c>
      <c r="E762">
        <v>526143</v>
      </c>
      <c r="F762" s="1">
        <v>45614</v>
      </c>
      <c r="G762" s="1">
        <v>45447</v>
      </c>
      <c r="H762">
        <v>554047</v>
      </c>
      <c r="I762">
        <v>2791</v>
      </c>
      <c r="J762" s="5">
        <v>1546345177</v>
      </c>
      <c r="K762">
        <v>4</v>
      </c>
      <c r="L762">
        <v>3</v>
      </c>
      <c r="M762" t="s">
        <v>62</v>
      </c>
      <c r="N762">
        <v>2004</v>
      </c>
      <c r="O762">
        <v>10</v>
      </c>
      <c r="P762">
        <v>2</v>
      </c>
      <c r="Q762" t="s">
        <v>86</v>
      </c>
      <c r="R762" t="s">
        <v>1928</v>
      </c>
      <c r="S762" t="s">
        <v>25</v>
      </c>
      <c r="T762" t="s">
        <v>460</v>
      </c>
    </row>
    <row r="763" spans="1:20" ht="16.5" x14ac:dyDescent="0.45">
      <c r="A763">
        <v>1762</v>
      </c>
      <c r="B763" t="s">
        <v>1929</v>
      </c>
      <c r="C763" t="s">
        <v>28</v>
      </c>
      <c r="D763" t="s">
        <v>29</v>
      </c>
      <c r="E763">
        <v>341823</v>
      </c>
      <c r="F763" s="1">
        <v>45466</v>
      </c>
      <c r="G763" s="1"/>
      <c r="I763">
        <v>1442</v>
      </c>
      <c r="K763">
        <v>6</v>
      </c>
      <c r="L763">
        <v>3</v>
      </c>
      <c r="M763" t="s">
        <v>30</v>
      </c>
      <c r="N763">
        <v>2004</v>
      </c>
      <c r="O763">
        <v>7</v>
      </c>
      <c r="P763">
        <v>2</v>
      </c>
      <c r="Q763" t="s">
        <v>38</v>
      </c>
      <c r="R763" t="s">
        <v>1930</v>
      </c>
      <c r="S763" t="s">
        <v>33</v>
      </c>
      <c r="T763" t="s">
        <v>1931</v>
      </c>
    </row>
    <row r="764" spans="1:20" ht="16.5" x14ac:dyDescent="0.45">
      <c r="A764">
        <v>1763</v>
      </c>
      <c r="B764" t="s">
        <v>1932</v>
      </c>
      <c r="C764" t="s">
        <v>47</v>
      </c>
      <c r="D764" t="s">
        <v>29</v>
      </c>
      <c r="E764">
        <v>598346</v>
      </c>
      <c r="F764" s="1">
        <v>45344</v>
      </c>
      <c r="G764" s="1">
        <v>45517</v>
      </c>
      <c r="H764">
        <v>635987</v>
      </c>
      <c r="I764">
        <v>3375</v>
      </c>
      <c r="J764" s="5">
        <v>2146456125</v>
      </c>
      <c r="K764">
        <v>5</v>
      </c>
      <c r="L764">
        <v>2</v>
      </c>
      <c r="M764" t="s">
        <v>30</v>
      </c>
      <c r="N764">
        <v>2019</v>
      </c>
      <c r="O764">
        <v>4</v>
      </c>
      <c r="P764">
        <v>2</v>
      </c>
      <c r="Q764" t="s">
        <v>93</v>
      </c>
      <c r="R764" t="s">
        <v>1933</v>
      </c>
      <c r="S764" t="s">
        <v>25</v>
      </c>
      <c r="T764" t="s">
        <v>56</v>
      </c>
    </row>
    <row r="765" spans="1:20" ht="16.5" x14ac:dyDescent="0.45">
      <c r="A765">
        <v>1764</v>
      </c>
      <c r="B765" t="s">
        <v>1934</v>
      </c>
      <c r="C765" t="s">
        <v>20</v>
      </c>
      <c r="D765" t="s">
        <v>29</v>
      </c>
      <c r="E765">
        <v>881511</v>
      </c>
      <c r="F765" s="1">
        <v>45308</v>
      </c>
      <c r="G765" s="1"/>
      <c r="I765">
        <v>3813</v>
      </c>
      <c r="K765">
        <v>4</v>
      </c>
      <c r="L765">
        <v>3</v>
      </c>
      <c r="M765" t="s">
        <v>37</v>
      </c>
      <c r="N765">
        <v>2019</v>
      </c>
      <c r="O765">
        <v>1</v>
      </c>
      <c r="P765">
        <v>1</v>
      </c>
      <c r="Q765" t="s">
        <v>31</v>
      </c>
      <c r="R765" t="s">
        <v>1679</v>
      </c>
      <c r="S765" t="s">
        <v>33</v>
      </c>
      <c r="T765" t="s">
        <v>1935</v>
      </c>
    </row>
    <row r="766" spans="1:20" ht="16.5" x14ac:dyDescent="0.45">
      <c r="A766">
        <v>1765</v>
      </c>
      <c r="B766" t="s">
        <v>1936</v>
      </c>
      <c r="C766" t="s">
        <v>51</v>
      </c>
      <c r="D766" t="s">
        <v>42</v>
      </c>
      <c r="E766">
        <v>545352</v>
      </c>
      <c r="F766" s="1">
        <v>45339</v>
      </c>
      <c r="G766" s="1">
        <v>45302</v>
      </c>
      <c r="H766">
        <v>568106</v>
      </c>
      <c r="I766">
        <v>3963</v>
      </c>
      <c r="J766" s="5">
        <v>2251404078</v>
      </c>
      <c r="K766">
        <v>4</v>
      </c>
      <c r="L766">
        <v>2</v>
      </c>
      <c r="M766" t="s">
        <v>37</v>
      </c>
      <c r="N766">
        <v>2019</v>
      </c>
      <c r="O766">
        <v>2</v>
      </c>
      <c r="P766">
        <v>1</v>
      </c>
      <c r="Q766" t="s">
        <v>23</v>
      </c>
      <c r="R766" t="s">
        <v>1937</v>
      </c>
      <c r="S766" t="s">
        <v>25</v>
      </c>
      <c r="T766" t="s">
        <v>1078</v>
      </c>
    </row>
    <row r="767" spans="1:20" ht="16.5" x14ac:dyDescent="0.45">
      <c r="A767">
        <v>1766</v>
      </c>
      <c r="B767" t="s">
        <v>1938</v>
      </c>
      <c r="C767" t="s">
        <v>51</v>
      </c>
      <c r="D767" t="s">
        <v>29</v>
      </c>
      <c r="E767">
        <v>839153</v>
      </c>
      <c r="F767" s="1">
        <v>45452</v>
      </c>
      <c r="G767" s="1">
        <v>45485</v>
      </c>
      <c r="H767">
        <v>870304</v>
      </c>
      <c r="I767">
        <v>2795</v>
      </c>
      <c r="J767" s="5">
        <v>2432499680</v>
      </c>
      <c r="K767">
        <v>2</v>
      </c>
      <c r="L767">
        <v>4</v>
      </c>
      <c r="M767" t="s">
        <v>30</v>
      </c>
      <c r="N767">
        <v>2004</v>
      </c>
      <c r="O767">
        <v>6</v>
      </c>
      <c r="P767">
        <v>2</v>
      </c>
      <c r="Q767" t="s">
        <v>38</v>
      </c>
      <c r="R767" t="s">
        <v>1939</v>
      </c>
      <c r="S767" t="s">
        <v>25</v>
      </c>
      <c r="T767" t="s">
        <v>595</v>
      </c>
    </row>
    <row r="768" spans="1:20" ht="16.5" x14ac:dyDescent="0.45">
      <c r="A768">
        <v>1767</v>
      </c>
      <c r="B768" t="s">
        <v>1940</v>
      </c>
      <c r="C768" t="s">
        <v>47</v>
      </c>
      <c r="D768" t="s">
        <v>21</v>
      </c>
      <c r="E768">
        <v>903126</v>
      </c>
      <c r="F768" s="1">
        <v>45578</v>
      </c>
      <c r="G768" s="1"/>
      <c r="I768">
        <v>3665</v>
      </c>
      <c r="K768">
        <v>2</v>
      </c>
      <c r="L768">
        <v>5</v>
      </c>
      <c r="M768" t="s">
        <v>22</v>
      </c>
      <c r="N768">
        <v>2021</v>
      </c>
      <c r="P768">
        <v>3</v>
      </c>
      <c r="Q768" t="s">
        <v>162</v>
      </c>
      <c r="R768" t="s">
        <v>1941</v>
      </c>
      <c r="S768" t="s">
        <v>33</v>
      </c>
      <c r="T768" t="s">
        <v>180</v>
      </c>
    </row>
    <row r="769" spans="1:20" ht="16.5" x14ac:dyDescent="0.45">
      <c r="A769">
        <v>1768</v>
      </c>
      <c r="B769" t="s">
        <v>1942</v>
      </c>
      <c r="C769" t="s">
        <v>51</v>
      </c>
      <c r="D769" t="s">
        <v>42</v>
      </c>
      <c r="E769">
        <v>453347</v>
      </c>
      <c r="F769" s="1">
        <v>45539</v>
      </c>
      <c r="G769" s="1"/>
      <c r="I769">
        <v>1534</v>
      </c>
      <c r="K769">
        <v>4</v>
      </c>
      <c r="L769">
        <v>2</v>
      </c>
      <c r="M769" t="s">
        <v>30</v>
      </c>
      <c r="N769">
        <v>2019</v>
      </c>
      <c r="O769">
        <v>1</v>
      </c>
      <c r="P769">
        <v>2</v>
      </c>
      <c r="Q769" t="s">
        <v>43</v>
      </c>
      <c r="R769" t="s">
        <v>1943</v>
      </c>
      <c r="S769" t="s">
        <v>33</v>
      </c>
      <c r="T769" t="s">
        <v>77</v>
      </c>
    </row>
    <row r="770" spans="1:20" ht="16.5" x14ac:dyDescent="0.45">
      <c r="A770">
        <v>1769</v>
      </c>
      <c r="B770" t="s">
        <v>1944</v>
      </c>
      <c r="C770" t="s">
        <v>20</v>
      </c>
      <c r="D770" t="s">
        <v>29</v>
      </c>
      <c r="E770">
        <v>674761</v>
      </c>
      <c r="F770" s="1">
        <v>45436</v>
      </c>
      <c r="G770" s="1">
        <v>45290</v>
      </c>
      <c r="H770">
        <v>708711</v>
      </c>
      <c r="I770">
        <v>3484</v>
      </c>
      <c r="J770" s="5">
        <v>2469149124</v>
      </c>
      <c r="K770">
        <v>6</v>
      </c>
      <c r="L770">
        <v>2</v>
      </c>
      <c r="M770" t="s">
        <v>62</v>
      </c>
      <c r="N770">
        <v>2016</v>
      </c>
      <c r="O770">
        <v>8</v>
      </c>
      <c r="P770">
        <v>3</v>
      </c>
      <c r="Q770" t="s">
        <v>162</v>
      </c>
      <c r="R770" t="s">
        <v>1945</v>
      </c>
      <c r="S770" t="s">
        <v>25</v>
      </c>
      <c r="T770" t="s">
        <v>1946</v>
      </c>
    </row>
    <row r="771" spans="1:20" ht="16.5" x14ac:dyDescent="0.45">
      <c r="A771">
        <v>1770</v>
      </c>
      <c r="B771" t="s">
        <v>1947</v>
      </c>
      <c r="C771" t="s">
        <v>47</v>
      </c>
      <c r="D771" t="s">
        <v>21</v>
      </c>
      <c r="E771">
        <v>871186</v>
      </c>
      <c r="F771" s="1">
        <v>45304</v>
      </c>
      <c r="G771" s="1"/>
      <c r="I771">
        <v>4601</v>
      </c>
      <c r="K771">
        <v>3</v>
      </c>
      <c r="L771">
        <v>2</v>
      </c>
      <c r="M771" t="s">
        <v>62</v>
      </c>
      <c r="N771">
        <v>2002</v>
      </c>
      <c r="O771">
        <v>9</v>
      </c>
      <c r="P771">
        <v>3</v>
      </c>
      <c r="Q771" t="s">
        <v>162</v>
      </c>
      <c r="R771" t="s">
        <v>1948</v>
      </c>
      <c r="S771" t="s">
        <v>33</v>
      </c>
      <c r="T771" t="s">
        <v>77</v>
      </c>
    </row>
    <row r="772" spans="1:20" ht="16.5" x14ac:dyDescent="0.45">
      <c r="A772">
        <v>1771</v>
      </c>
      <c r="B772" t="s">
        <v>1949</v>
      </c>
      <c r="C772" t="s">
        <v>20</v>
      </c>
      <c r="D772" t="s">
        <v>29</v>
      </c>
      <c r="E772">
        <v>956211</v>
      </c>
      <c r="F772" s="1">
        <v>45411</v>
      </c>
      <c r="G772" s="1"/>
      <c r="I772">
        <v>3154</v>
      </c>
      <c r="K772">
        <v>6</v>
      </c>
      <c r="L772">
        <v>5</v>
      </c>
      <c r="M772" t="s">
        <v>30</v>
      </c>
      <c r="N772">
        <v>2007</v>
      </c>
      <c r="O772">
        <v>7</v>
      </c>
      <c r="P772">
        <v>3</v>
      </c>
      <c r="Q772" t="s">
        <v>43</v>
      </c>
      <c r="R772" t="s">
        <v>1950</v>
      </c>
      <c r="S772" t="s">
        <v>33</v>
      </c>
      <c r="T772" t="s">
        <v>515</v>
      </c>
    </row>
    <row r="773" spans="1:20" ht="16.5" x14ac:dyDescent="0.45">
      <c r="A773">
        <v>1772</v>
      </c>
      <c r="B773" t="s">
        <v>1951</v>
      </c>
      <c r="C773" t="s">
        <v>36</v>
      </c>
      <c r="D773" t="s">
        <v>21</v>
      </c>
      <c r="E773">
        <v>398925</v>
      </c>
      <c r="F773" s="1">
        <v>45629</v>
      </c>
      <c r="G773" s="1">
        <v>45311</v>
      </c>
      <c r="H773">
        <v>439763</v>
      </c>
      <c r="I773">
        <v>3937</v>
      </c>
      <c r="J773" s="5">
        <v>1731346931</v>
      </c>
      <c r="K773">
        <v>3</v>
      </c>
      <c r="L773">
        <v>2</v>
      </c>
      <c r="M773" t="s">
        <v>37</v>
      </c>
      <c r="N773">
        <v>2003</v>
      </c>
      <c r="O773">
        <v>6</v>
      </c>
      <c r="P773">
        <v>1</v>
      </c>
      <c r="Q773" t="s">
        <v>75</v>
      </c>
      <c r="R773" t="s">
        <v>1952</v>
      </c>
      <c r="S773" t="s">
        <v>25</v>
      </c>
      <c r="T773" t="s">
        <v>1953</v>
      </c>
    </row>
    <row r="774" spans="1:20" ht="16.5" x14ac:dyDescent="0.45">
      <c r="A774">
        <v>1773</v>
      </c>
      <c r="B774" t="s">
        <v>1954</v>
      </c>
      <c r="C774" t="s">
        <v>47</v>
      </c>
      <c r="D774" t="s">
        <v>29</v>
      </c>
      <c r="E774">
        <v>614409</v>
      </c>
      <c r="F774" s="1">
        <v>45368</v>
      </c>
      <c r="G774" s="1">
        <v>45448</v>
      </c>
      <c r="H774">
        <v>662386</v>
      </c>
      <c r="I774">
        <v>3192</v>
      </c>
      <c r="J774" s="5">
        <v>2114336112</v>
      </c>
      <c r="K774">
        <v>5</v>
      </c>
      <c r="L774">
        <v>3</v>
      </c>
      <c r="M774" t="s">
        <v>30</v>
      </c>
      <c r="N774">
        <v>2006</v>
      </c>
      <c r="O774">
        <v>6</v>
      </c>
      <c r="P774">
        <v>1</v>
      </c>
      <c r="Q774" t="s">
        <v>132</v>
      </c>
      <c r="R774" t="s">
        <v>1955</v>
      </c>
      <c r="S774" t="s">
        <v>25</v>
      </c>
      <c r="T774" t="s">
        <v>989</v>
      </c>
    </row>
    <row r="775" spans="1:20" ht="16.5" x14ac:dyDescent="0.45">
      <c r="A775">
        <v>1774</v>
      </c>
      <c r="B775" t="s">
        <v>1956</v>
      </c>
      <c r="C775" t="s">
        <v>36</v>
      </c>
      <c r="D775" t="s">
        <v>21</v>
      </c>
      <c r="E775">
        <v>500013</v>
      </c>
      <c r="F775" s="1">
        <v>45556</v>
      </c>
      <c r="G775" s="1">
        <v>45414</v>
      </c>
      <c r="H775">
        <v>526181</v>
      </c>
      <c r="I775">
        <v>2175</v>
      </c>
      <c r="J775" s="5">
        <v>1144443675</v>
      </c>
      <c r="K775">
        <v>4</v>
      </c>
      <c r="L775">
        <v>2</v>
      </c>
      <c r="M775" t="s">
        <v>30</v>
      </c>
      <c r="N775">
        <v>2014</v>
      </c>
      <c r="O775">
        <v>5</v>
      </c>
      <c r="P775">
        <v>2</v>
      </c>
      <c r="Q775" t="s">
        <v>162</v>
      </c>
      <c r="R775" t="s">
        <v>1957</v>
      </c>
      <c r="S775" t="s">
        <v>25</v>
      </c>
      <c r="T775" t="s">
        <v>137</v>
      </c>
    </row>
    <row r="776" spans="1:20" ht="16.5" x14ac:dyDescent="0.45">
      <c r="A776">
        <v>1775</v>
      </c>
      <c r="B776" t="s">
        <v>1958</v>
      </c>
      <c r="C776" t="s">
        <v>28</v>
      </c>
      <c r="D776" t="s">
        <v>29</v>
      </c>
      <c r="E776">
        <v>892216</v>
      </c>
      <c r="F776" s="1">
        <v>45507</v>
      </c>
      <c r="G776" s="1"/>
      <c r="I776">
        <v>3706</v>
      </c>
      <c r="K776">
        <v>4</v>
      </c>
      <c r="L776">
        <v>2</v>
      </c>
      <c r="M776" t="s">
        <v>30</v>
      </c>
      <c r="N776">
        <v>2014</v>
      </c>
      <c r="O776">
        <v>5</v>
      </c>
      <c r="P776">
        <v>3</v>
      </c>
      <c r="Q776" t="s">
        <v>162</v>
      </c>
      <c r="R776" t="s">
        <v>1959</v>
      </c>
      <c r="S776" t="s">
        <v>33</v>
      </c>
      <c r="T776" t="s">
        <v>839</v>
      </c>
    </row>
    <row r="777" spans="1:20" ht="16.5" x14ac:dyDescent="0.45">
      <c r="A777">
        <v>1776</v>
      </c>
      <c r="B777" t="s">
        <v>1960</v>
      </c>
      <c r="C777" t="s">
        <v>20</v>
      </c>
      <c r="D777" t="s">
        <v>21</v>
      </c>
      <c r="E777">
        <v>661043</v>
      </c>
      <c r="F777" s="1">
        <v>45383</v>
      </c>
      <c r="G777" s="1">
        <v>45321</v>
      </c>
      <c r="H777">
        <v>693056</v>
      </c>
      <c r="I777">
        <v>1852</v>
      </c>
      <c r="J777" s="5">
        <v>1283539712</v>
      </c>
      <c r="K777">
        <v>5</v>
      </c>
      <c r="L777">
        <v>3</v>
      </c>
      <c r="M777" t="s">
        <v>22</v>
      </c>
      <c r="N777">
        <v>2016</v>
      </c>
      <c r="P777">
        <v>1</v>
      </c>
      <c r="Q777" t="s">
        <v>23</v>
      </c>
      <c r="R777" t="s">
        <v>1961</v>
      </c>
      <c r="S777" t="s">
        <v>25</v>
      </c>
      <c r="T777" t="s">
        <v>1962</v>
      </c>
    </row>
    <row r="778" spans="1:20" ht="16.5" x14ac:dyDescent="0.45">
      <c r="A778">
        <v>1777</v>
      </c>
      <c r="B778" t="s">
        <v>1963</v>
      </c>
      <c r="C778" t="s">
        <v>28</v>
      </c>
      <c r="D778" t="s">
        <v>29</v>
      </c>
      <c r="E778">
        <v>632819</v>
      </c>
      <c r="F778" s="1">
        <v>45478</v>
      </c>
      <c r="G778" s="1"/>
      <c r="I778">
        <v>2226</v>
      </c>
      <c r="K778">
        <v>5</v>
      </c>
      <c r="L778">
        <v>2</v>
      </c>
      <c r="M778" t="s">
        <v>30</v>
      </c>
      <c r="N778">
        <v>2010</v>
      </c>
      <c r="O778">
        <v>9</v>
      </c>
      <c r="P778">
        <v>2</v>
      </c>
      <c r="Q778" t="s">
        <v>43</v>
      </c>
      <c r="R778" t="s">
        <v>1964</v>
      </c>
      <c r="S778" t="s">
        <v>33</v>
      </c>
      <c r="T778" t="s">
        <v>1412</v>
      </c>
    </row>
    <row r="779" spans="1:20" ht="16.5" x14ac:dyDescent="0.45">
      <c r="A779">
        <v>1778</v>
      </c>
      <c r="B779" t="s">
        <v>1965</v>
      </c>
      <c r="C779" t="s">
        <v>28</v>
      </c>
      <c r="D779" t="s">
        <v>21</v>
      </c>
      <c r="E779">
        <v>557803</v>
      </c>
      <c r="F779" s="1">
        <v>45410</v>
      </c>
      <c r="G779" s="1">
        <v>45505</v>
      </c>
      <c r="H779">
        <v>600099</v>
      </c>
      <c r="I779">
        <v>3773</v>
      </c>
      <c r="J779" s="5">
        <v>2264173527</v>
      </c>
      <c r="K779">
        <v>2</v>
      </c>
      <c r="L779">
        <v>4</v>
      </c>
      <c r="M779" t="s">
        <v>22</v>
      </c>
      <c r="N779">
        <v>2010</v>
      </c>
      <c r="P779">
        <v>3</v>
      </c>
      <c r="Q779" t="s">
        <v>75</v>
      </c>
      <c r="R779" t="s">
        <v>1966</v>
      </c>
      <c r="S779" t="s">
        <v>25</v>
      </c>
      <c r="T779" t="s">
        <v>1967</v>
      </c>
    </row>
    <row r="780" spans="1:20" ht="16.5" x14ac:dyDescent="0.45">
      <c r="A780">
        <v>1779</v>
      </c>
      <c r="B780" t="s">
        <v>1968</v>
      </c>
      <c r="C780" t="s">
        <v>47</v>
      </c>
      <c r="D780" t="s">
        <v>21</v>
      </c>
      <c r="E780">
        <v>359511</v>
      </c>
      <c r="F780" s="1">
        <v>45512</v>
      </c>
      <c r="G780" s="1"/>
      <c r="I780">
        <v>2585</v>
      </c>
      <c r="K780">
        <v>4</v>
      </c>
      <c r="L780">
        <v>2</v>
      </c>
      <c r="M780" t="s">
        <v>62</v>
      </c>
      <c r="N780">
        <v>2001</v>
      </c>
      <c r="O780">
        <v>10</v>
      </c>
      <c r="P780">
        <v>3</v>
      </c>
      <c r="Q780" t="s">
        <v>93</v>
      </c>
      <c r="R780" t="s">
        <v>1969</v>
      </c>
      <c r="S780" t="s">
        <v>33</v>
      </c>
      <c r="T780" t="s">
        <v>1970</v>
      </c>
    </row>
    <row r="781" spans="1:20" ht="16.5" x14ac:dyDescent="0.45">
      <c r="A781">
        <v>1780</v>
      </c>
      <c r="B781" t="s">
        <v>1971</v>
      </c>
      <c r="C781" t="s">
        <v>28</v>
      </c>
      <c r="D781" t="s">
        <v>42</v>
      </c>
      <c r="E781">
        <v>473884</v>
      </c>
      <c r="F781" s="1">
        <v>45532</v>
      </c>
      <c r="G781" s="1">
        <v>45502</v>
      </c>
      <c r="H781">
        <v>508213</v>
      </c>
      <c r="I781">
        <v>1202</v>
      </c>
      <c r="J781" s="5">
        <v>610872026</v>
      </c>
      <c r="K781">
        <v>4</v>
      </c>
      <c r="L781">
        <v>2</v>
      </c>
      <c r="M781" t="s">
        <v>30</v>
      </c>
      <c r="N781">
        <v>2019</v>
      </c>
      <c r="O781">
        <v>6</v>
      </c>
      <c r="P781">
        <v>1</v>
      </c>
      <c r="Q781" t="s">
        <v>132</v>
      </c>
      <c r="R781" t="s">
        <v>1972</v>
      </c>
      <c r="S781" t="s">
        <v>25</v>
      </c>
      <c r="T781" t="s">
        <v>557</v>
      </c>
    </row>
    <row r="782" spans="1:20" ht="16.5" x14ac:dyDescent="0.45">
      <c r="A782">
        <v>1781</v>
      </c>
      <c r="B782" t="s">
        <v>1973</v>
      </c>
      <c r="C782" t="s">
        <v>20</v>
      </c>
      <c r="D782" t="s">
        <v>29</v>
      </c>
      <c r="E782">
        <v>479366</v>
      </c>
      <c r="F782" s="1">
        <v>45633</v>
      </c>
      <c r="G782" s="1">
        <v>45589</v>
      </c>
      <c r="H782">
        <v>514044</v>
      </c>
      <c r="I782">
        <v>4200</v>
      </c>
      <c r="J782" s="5">
        <v>2158984800</v>
      </c>
      <c r="K782">
        <v>4</v>
      </c>
      <c r="L782">
        <v>2</v>
      </c>
      <c r="M782" t="s">
        <v>62</v>
      </c>
      <c r="N782">
        <v>2019</v>
      </c>
      <c r="O782">
        <v>9</v>
      </c>
      <c r="P782">
        <v>4</v>
      </c>
      <c r="Q782" t="s">
        <v>93</v>
      </c>
      <c r="R782" t="s">
        <v>1974</v>
      </c>
      <c r="S782" t="s">
        <v>25</v>
      </c>
      <c r="T782" t="s">
        <v>256</v>
      </c>
    </row>
    <row r="783" spans="1:20" ht="16.5" x14ac:dyDescent="0.45">
      <c r="A783">
        <v>1782</v>
      </c>
      <c r="B783" t="s">
        <v>1975</v>
      </c>
      <c r="C783" t="s">
        <v>20</v>
      </c>
      <c r="D783" t="s">
        <v>29</v>
      </c>
      <c r="E783">
        <v>347255</v>
      </c>
      <c r="F783" s="1">
        <v>45452</v>
      </c>
      <c r="G783" s="1"/>
      <c r="I783">
        <v>4347</v>
      </c>
      <c r="K783">
        <v>4</v>
      </c>
      <c r="L783">
        <v>5</v>
      </c>
      <c r="M783" t="s">
        <v>22</v>
      </c>
      <c r="N783">
        <v>2003</v>
      </c>
      <c r="P783">
        <v>4</v>
      </c>
      <c r="Q783" t="s">
        <v>23</v>
      </c>
      <c r="R783" t="s">
        <v>1976</v>
      </c>
      <c r="S783" t="s">
        <v>33</v>
      </c>
      <c r="T783" t="s">
        <v>1977</v>
      </c>
    </row>
    <row r="784" spans="1:20" ht="16.5" x14ac:dyDescent="0.45">
      <c r="A784">
        <v>1783</v>
      </c>
      <c r="B784" t="s">
        <v>1978</v>
      </c>
      <c r="C784" t="s">
        <v>51</v>
      </c>
      <c r="D784" t="s">
        <v>42</v>
      </c>
      <c r="E784">
        <v>559535</v>
      </c>
      <c r="F784" s="1">
        <v>45606</v>
      </c>
      <c r="G784" s="1"/>
      <c r="I784">
        <v>1650</v>
      </c>
      <c r="K784">
        <v>2</v>
      </c>
      <c r="L784">
        <v>3</v>
      </c>
      <c r="M784" t="s">
        <v>22</v>
      </c>
      <c r="N784">
        <v>2017</v>
      </c>
      <c r="P784">
        <v>2</v>
      </c>
      <c r="Q784" t="s">
        <v>31</v>
      </c>
      <c r="R784" t="s">
        <v>1979</v>
      </c>
      <c r="S784" t="s">
        <v>33</v>
      </c>
      <c r="T784" t="s">
        <v>1980</v>
      </c>
    </row>
    <row r="785" spans="1:20" ht="16.5" x14ac:dyDescent="0.45">
      <c r="A785">
        <v>1784</v>
      </c>
      <c r="B785" t="s">
        <v>1981</v>
      </c>
      <c r="C785" t="s">
        <v>47</v>
      </c>
      <c r="D785" t="s">
        <v>29</v>
      </c>
      <c r="E785">
        <v>543400</v>
      </c>
      <c r="F785" s="1">
        <v>45454</v>
      </c>
      <c r="G785" s="1"/>
      <c r="I785">
        <v>1839</v>
      </c>
      <c r="K785">
        <v>6</v>
      </c>
      <c r="L785">
        <v>5</v>
      </c>
      <c r="M785" t="s">
        <v>37</v>
      </c>
      <c r="N785">
        <v>2001</v>
      </c>
      <c r="O785">
        <v>8</v>
      </c>
      <c r="P785">
        <v>3</v>
      </c>
      <c r="Q785" t="s">
        <v>132</v>
      </c>
      <c r="R785" t="s">
        <v>1982</v>
      </c>
      <c r="S785" t="s">
        <v>33</v>
      </c>
      <c r="T785" t="s">
        <v>1983</v>
      </c>
    </row>
    <row r="786" spans="1:20" ht="16.5" x14ac:dyDescent="0.45">
      <c r="A786">
        <v>1785</v>
      </c>
      <c r="B786" t="s">
        <v>1984</v>
      </c>
      <c r="C786" t="s">
        <v>51</v>
      </c>
      <c r="D786" t="s">
        <v>29</v>
      </c>
      <c r="E786">
        <v>705324</v>
      </c>
      <c r="F786" s="1">
        <v>45523</v>
      </c>
      <c r="G786" s="1">
        <v>45544</v>
      </c>
      <c r="H786">
        <v>715574</v>
      </c>
      <c r="I786">
        <v>2230</v>
      </c>
      <c r="J786" s="5">
        <v>1595730020</v>
      </c>
      <c r="K786">
        <v>5</v>
      </c>
      <c r="L786">
        <v>5</v>
      </c>
      <c r="M786" t="s">
        <v>22</v>
      </c>
      <c r="N786">
        <v>2010</v>
      </c>
      <c r="P786">
        <v>2</v>
      </c>
      <c r="Q786" t="s">
        <v>162</v>
      </c>
      <c r="R786" t="s">
        <v>1985</v>
      </c>
      <c r="S786" t="s">
        <v>25</v>
      </c>
      <c r="T786" t="s">
        <v>40</v>
      </c>
    </row>
    <row r="787" spans="1:20" ht="16.5" x14ac:dyDescent="0.45">
      <c r="A787">
        <v>1786</v>
      </c>
      <c r="B787" t="s">
        <v>1986</v>
      </c>
      <c r="C787" t="s">
        <v>20</v>
      </c>
      <c r="D787" t="s">
        <v>29</v>
      </c>
      <c r="E787">
        <v>817801</v>
      </c>
      <c r="F787" s="1">
        <v>45407</v>
      </c>
      <c r="G787" s="1">
        <v>45642</v>
      </c>
      <c r="H787">
        <v>866246</v>
      </c>
      <c r="I787">
        <v>3704</v>
      </c>
      <c r="J787" s="5">
        <v>3208575184</v>
      </c>
      <c r="K787">
        <v>5</v>
      </c>
      <c r="L787">
        <v>3</v>
      </c>
      <c r="M787" t="s">
        <v>22</v>
      </c>
      <c r="N787">
        <v>2006</v>
      </c>
      <c r="P787">
        <v>1</v>
      </c>
      <c r="Q787" t="s">
        <v>93</v>
      </c>
      <c r="R787" t="s">
        <v>1987</v>
      </c>
      <c r="S787" t="s">
        <v>25</v>
      </c>
      <c r="T787" t="s">
        <v>256</v>
      </c>
    </row>
    <row r="788" spans="1:20" ht="16.5" x14ac:dyDescent="0.45">
      <c r="A788">
        <v>1787</v>
      </c>
      <c r="B788" t="s">
        <v>1988</v>
      </c>
      <c r="C788" t="s">
        <v>36</v>
      </c>
      <c r="D788" t="s">
        <v>21</v>
      </c>
      <c r="E788">
        <v>704678</v>
      </c>
      <c r="F788" s="1">
        <v>45520</v>
      </c>
      <c r="G788" s="1">
        <v>45578</v>
      </c>
      <c r="H788">
        <v>743698</v>
      </c>
      <c r="I788">
        <v>2264</v>
      </c>
      <c r="J788" s="5">
        <v>1683732272</v>
      </c>
      <c r="K788">
        <v>3</v>
      </c>
      <c r="L788">
        <v>4</v>
      </c>
      <c r="M788" t="s">
        <v>37</v>
      </c>
      <c r="N788">
        <v>2019</v>
      </c>
      <c r="O788">
        <v>2</v>
      </c>
      <c r="P788">
        <v>2</v>
      </c>
      <c r="Q788" t="s">
        <v>38</v>
      </c>
      <c r="R788" t="s">
        <v>1989</v>
      </c>
      <c r="S788" t="s">
        <v>25</v>
      </c>
      <c r="T788" t="s">
        <v>256</v>
      </c>
    </row>
    <row r="789" spans="1:20" ht="16.5" x14ac:dyDescent="0.45">
      <c r="A789">
        <v>1788</v>
      </c>
      <c r="B789" t="s">
        <v>1990</v>
      </c>
      <c r="C789" t="s">
        <v>20</v>
      </c>
      <c r="D789" t="s">
        <v>42</v>
      </c>
      <c r="E789">
        <v>748178</v>
      </c>
      <c r="F789" s="1">
        <v>45535</v>
      </c>
      <c r="G789" s="1">
        <v>45324</v>
      </c>
      <c r="H789">
        <v>771317</v>
      </c>
      <c r="I789">
        <v>4121</v>
      </c>
      <c r="J789" s="5">
        <v>3178597357</v>
      </c>
      <c r="K789">
        <v>2</v>
      </c>
      <c r="L789">
        <v>5</v>
      </c>
      <c r="M789" t="s">
        <v>30</v>
      </c>
      <c r="N789">
        <v>2004</v>
      </c>
      <c r="O789">
        <v>1</v>
      </c>
      <c r="P789">
        <v>4</v>
      </c>
      <c r="Q789" t="s">
        <v>86</v>
      </c>
      <c r="R789" t="s">
        <v>1991</v>
      </c>
      <c r="S789" t="s">
        <v>25</v>
      </c>
      <c r="T789" t="s">
        <v>128</v>
      </c>
    </row>
    <row r="790" spans="1:20" ht="16.5" x14ac:dyDescent="0.45">
      <c r="A790">
        <v>1789</v>
      </c>
      <c r="B790" t="s">
        <v>1992</v>
      </c>
      <c r="C790" t="s">
        <v>36</v>
      </c>
      <c r="D790" t="s">
        <v>21</v>
      </c>
      <c r="E790">
        <v>946831</v>
      </c>
      <c r="F790" s="1">
        <v>45358</v>
      </c>
      <c r="G790" s="1">
        <v>45308</v>
      </c>
      <c r="H790">
        <v>976857</v>
      </c>
      <c r="I790">
        <v>4300</v>
      </c>
      <c r="J790" s="5">
        <v>4200485100</v>
      </c>
      <c r="K790">
        <v>2</v>
      </c>
      <c r="L790">
        <v>4</v>
      </c>
      <c r="M790" t="s">
        <v>37</v>
      </c>
      <c r="N790">
        <v>2000</v>
      </c>
      <c r="O790">
        <v>8</v>
      </c>
      <c r="P790">
        <v>1</v>
      </c>
      <c r="Q790" t="s">
        <v>75</v>
      </c>
      <c r="R790" t="s">
        <v>1993</v>
      </c>
      <c r="S790" t="s">
        <v>25</v>
      </c>
      <c r="T790" t="s">
        <v>122</v>
      </c>
    </row>
    <row r="791" spans="1:20" ht="16.5" x14ac:dyDescent="0.45">
      <c r="A791">
        <v>1790</v>
      </c>
      <c r="B791" t="s">
        <v>1994</v>
      </c>
      <c r="C791" t="s">
        <v>28</v>
      </c>
      <c r="D791" t="s">
        <v>21</v>
      </c>
      <c r="E791">
        <v>978901</v>
      </c>
      <c r="F791" s="1">
        <v>45312</v>
      </c>
      <c r="G791" s="1"/>
      <c r="I791">
        <v>2534</v>
      </c>
      <c r="K791">
        <v>4</v>
      </c>
      <c r="L791">
        <v>2</v>
      </c>
      <c r="M791" t="s">
        <v>62</v>
      </c>
      <c r="N791">
        <v>2009</v>
      </c>
      <c r="O791">
        <v>7</v>
      </c>
      <c r="P791">
        <v>3</v>
      </c>
      <c r="Q791" t="s">
        <v>38</v>
      </c>
      <c r="R791" t="s">
        <v>1995</v>
      </c>
      <c r="S791" t="s">
        <v>33</v>
      </c>
      <c r="T791" t="s">
        <v>426</v>
      </c>
    </row>
    <row r="792" spans="1:20" ht="16.5" x14ac:dyDescent="0.45">
      <c r="A792">
        <v>1791</v>
      </c>
      <c r="B792" t="s">
        <v>1996</v>
      </c>
      <c r="C792" t="s">
        <v>36</v>
      </c>
      <c r="D792" t="s">
        <v>29</v>
      </c>
      <c r="E792">
        <v>777087</v>
      </c>
      <c r="F792" s="1">
        <v>45445</v>
      </c>
      <c r="G792" s="1">
        <v>45547</v>
      </c>
      <c r="H792">
        <v>810049</v>
      </c>
      <c r="I792">
        <v>3268</v>
      </c>
      <c r="J792" s="5">
        <v>2647240132</v>
      </c>
      <c r="K792">
        <v>4</v>
      </c>
      <c r="L792">
        <v>3</v>
      </c>
      <c r="M792" t="s">
        <v>22</v>
      </c>
      <c r="N792">
        <v>2014</v>
      </c>
      <c r="P792">
        <v>4</v>
      </c>
      <c r="Q792" t="s">
        <v>58</v>
      </c>
      <c r="R792" t="s">
        <v>1997</v>
      </c>
      <c r="S792" t="s">
        <v>25</v>
      </c>
      <c r="T792" t="s">
        <v>1998</v>
      </c>
    </row>
    <row r="793" spans="1:20" ht="16.5" x14ac:dyDescent="0.45">
      <c r="A793">
        <v>1792</v>
      </c>
      <c r="B793" t="s">
        <v>1999</v>
      </c>
      <c r="C793" t="s">
        <v>20</v>
      </c>
      <c r="D793" t="s">
        <v>42</v>
      </c>
      <c r="E793">
        <v>510291</v>
      </c>
      <c r="F793" s="1">
        <v>45309</v>
      </c>
      <c r="G793" s="1">
        <v>45349</v>
      </c>
      <c r="H793">
        <v>527328</v>
      </c>
      <c r="I793">
        <v>1972</v>
      </c>
      <c r="J793" s="5">
        <v>1039890816</v>
      </c>
      <c r="K793">
        <v>6</v>
      </c>
      <c r="L793">
        <v>5</v>
      </c>
      <c r="M793" t="s">
        <v>62</v>
      </c>
      <c r="N793">
        <v>2023</v>
      </c>
      <c r="O793">
        <v>5</v>
      </c>
      <c r="P793">
        <v>2</v>
      </c>
      <c r="Q793" t="s">
        <v>58</v>
      </c>
      <c r="R793" t="s">
        <v>2000</v>
      </c>
      <c r="S793" t="s">
        <v>25</v>
      </c>
      <c r="T793" t="s">
        <v>91</v>
      </c>
    </row>
    <row r="794" spans="1:20" ht="16.5" x14ac:dyDescent="0.45">
      <c r="A794">
        <v>1793</v>
      </c>
      <c r="B794" t="s">
        <v>2001</v>
      </c>
      <c r="C794" t="s">
        <v>51</v>
      </c>
      <c r="D794" t="s">
        <v>42</v>
      </c>
      <c r="E794">
        <v>622296</v>
      </c>
      <c r="F794" s="1">
        <v>45601</v>
      </c>
      <c r="G794" s="1"/>
      <c r="I794">
        <v>3281</v>
      </c>
      <c r="K794">
        <v>6</v>
      </c>
      <c r="L794">
        <v>4</v>
      </c>
      <c r="M794" t="s">
        <v>62</v>
      </c>
      <c r="N794">
        <v>2021</v>
      </c>
      <c r="O794">
        <v>2</v>
      </c>
      <c r="P794">
        <v>4</v>
      </c>
      <c r="Q794" t="s">
        <v>38</v>
      </c>
      <c r="R794" t="s">
        <v>2002</v>
      </c>
      <c r="S794" t="s">
        <v>33</v>
      </c>
      <c r="T794" t="s">
        <v>2003</v>
      </c>
    </row>
    <row r="795" spans="1:20" ht="16.5" x14ac:dyDescent="0.45">
      <c r="A795">
        <v>1794</v>
      </c>
      <c r="B795" t="s">
        <v>2004</v>
      </c>
      <c r="C795" t="s">
        <v>51</v>
      </c>
      <c r="D795" t="s">
        <v>21</v>
      </c>
      <c r="E795">
        <v>922015</v>
      </c>
      <c r="F795" s="1">
        <v>45571</v>
      </c>
      <c r="G795" s="1">
        <v>45513</v>
      </c>
      <c r="H795">
        <v>963265</v>
      </c>
      <c r="I795">
        <v>4000</v>
      </c>
      <c r="J795" s="5">
        <v>3853060000</v>
      </c>
      <c r="K795">
        <v>5</v>
      </c>
      <c r="L795">
        <v>2</v>
      </c>
      <c r="M795" t="s">
        <v>62</v>
      </c>
      <c r="N795">
        <v>2004</v>
      </c>
      <c r="O795">
        <v>8</v>
      </c>
      <c r="P795">
        <v>1</v>
      </c>
      <c r="Q795" t="s">
        <v>23</v>
      </c>
      <c r="R795" t="s">
        <v>2005</v>
      </c>
      <c r="S795" t="s">
        <v>25</v>
      </c>
      <c r="T795" t="s">
        <v>460</v>
      </c>
    </row>
    <row r="796" spans="1:20" ht="16.5" x14ac:dyDescent="0.45">
      <c r="A796">
        <v>1795</v>
      </c>
      <c r="B796" t="s">
        <v>2006</v>
      </c>
      <c r="C796" t="s">
        <v>36</v>
      </c>
      <c r="D796" t="s">
        <v>29</v>
      </c>
      <c r="E796">
        <v>955981</v>
      </c>
      <c r="F796" s="1">
        <v>45599</v>
      </c>
      <c r="G796" s="1"/>
      <c r="I796">
        <v>2499</v>
      </c>
      <c r="K796">
        <v>4</v>
      </c>
      <c r="L796">
        <v>3</v>
      </c>
      <c r="M796" t="s">
        <v>22</v>
      </c>
      <c r="N796">
        <v>2009</v>
      </c>
      <c r="P796">
        <v>3</v>
      </c>
      <c r="Q796" t="s">
        <v>38</v>
      </c>
      <c r="R796" t="s">
        <v>2007</v>
      </c>
      <c r="S796" t="s">
        <v>33</v>
      </c>
      <c r="T796" t="s">
        <v>2008</v>
      </c>
    </row>
    <row r="797" spans="1:20" ht="16.5" x14ac:dyDescent="0.45">
      <c r="A797">
        <v>1796</v>
      </c>
      <c r="B797" t="s">
        <v>2009</v>
      </c>
      <c r="C797" t="s">
        <v>36</v>
      </c>
      <c r="D797" t="s">
        <v>42</v>
      </c>
      <c r="E797">
        <v>974806</v>
      </c>
      <c r="F797" s="1">
        <v>45549</v>
      </c>
      <c r="G797" s="1"/>
      <c r="I797">
        <v>3784</v>
      </c>
      <c r="K797">
        <v>4</v>
      </c>
      <c r="L797">
        <v>5</v>
      </c>
      <c r="M797" t="s">
        <v>30</v>
      </c>
      <c r="N797">
        <v>2021</v>
      </c>
      <c r="O797">
        <v>6</v>
      </c>
      <c r="P797">
        <v>3</v>
      </c>
      <c r="Q797" t="s">
        <v>43</v>
      </c>
      <c r="R797" t="s">
        <v>2010</v>
      </c>
      <c r="S797" t="s">
        <v>33</v>
      </c>
      <c r="T797" t="s">
        <v>2011</v>
      </c>
    </row>
    <row r="798" spans="1:20" ht="16.5" x14ac:dyDescent="0.45">
      <c r="A798">
        <v>1797</v>
      </c>
      <c r="B798" t="s">
        <v>2012</v>
      </c>
      <c r="C798" t="s">
        <v>51</v>
      </c>
      <c r="D798" t="s">
        <v>29</v>
      </c>
      <c r="E798">
        <v>922145</v>
      </c>
      <c r="F798" s="1">
        <v>45627</v>
      </c>
      <c r="G798" s="1"/>
      <c r="I798">
        <v>4854</v>
      </c>
      <c r="K798">
        <v>3</v>
      </c>
      <c r="L798">
        <v>5</v>
      </c>
      <c r="M798" t="s">
        <v>22</v>
      </c>
      <c r="N798">
        <v>2018</v>
      </c>
      <c r="P798">
        <v>2</v>
      </c>
      <c r="Q798" t="s">
        <v>86</v>
      </c>
      <c r="R798" t="s">
        <v>2013</v>
      </c>
      <c r="S798" t="s">
        <v>33</v>
      </c>
      <c r="T798" t="s">
        <v>447</v>
      </c>
    </row>
    <row r="799" spans="1:20" ht="16.5" x14ac:dyDescent="0.45">
      <c r="A799">
        <v>1798</v>
      </c>
      <c r="B799" t="s">
        <v>2014</v>
      </c>
      <c r="C799" t="s">
        <v>36</v>
      </c>
      <c r="D799" t="s">
        <v>21</v>
      </c>
      <c r="E799">
        <v>861153</v>
      </c>
      <c r="F799" s="1">
        <v>45332</v>
      </c>
      <c r="G799" s="1">
        <v>45567</v>
      </c>
      <c r="H799">
        <v>883616</v>
      </c>
      <c r="I799">
        <v>1084</v>
      </c>
      <c r="J799" s="5">
        <v>957839744</v>
      </c>
      <c r="K799">
        <v>6</v>
      </c>
      <c r="L799">
        <v>2</v>
      </c>
      <c r="M799" t="s">
        <v>37</v>
      </c>
      <c r="N799">
        <v>2003</v>
      </c>
      <c r="O799">
        <v>2</v>
      </c>
      <c r="P799">
        <v>4</v>
      </c>
      <c r="Q799" t="s">
        <v>75</v>
      </c>
      <c r="R799" t="s">
        <v>2015</v>
      </c>
      <c r="S799" t="s">
        <v>25</v>
      </c>
      <c r="T799" t="s">
        <v>2016</v>
      </c>
    </row>
    <row r="800" spans="1:20" ht="16.5" x14ac:dyDescent="0.45">
      <c r="A800">
        <v>1799</v>
      </c>
      <c r="B800" t="s">
        <v>2017</v>
      </c>
      <c r="C800" t="s">
        <v>20</v>
      </c>
      <c r="D800" t="s">
        <v>21</v>
      </c>
      <c r="E800">
        <v>328356</v>
      </c>
      <c r="F800" s="1">
        <v>45631</v>
      </c>
      <c r="G800" s="1">
        <v>45300</v>
      </c>
      <c r="H800">
        <v>364802</v>
      </c>
      <c r="I800">
        <v>2286</v>
      </c>
      <c r="J800" s="5">
        <v>833937372</v>
      </c>
      <c r="K800">
        <v>6</v>
      </c>
      <c r="L800">
        <v>3</v>
      </c>
      <c r="M800" t="s">
        <v>62</v>
      </c>
      <c r="N800">
        <v>2014</v>
      </c>
      <c r="O800">
        <v>7</v>
      </c>
      <c r="P800">
        <v>2</v>
      </c>
      <c r="Q800" t="s">
        <v>43</v>
      </c>
      <c r="R800" t="s">
        <v>2018</v>
      </c>
      <c r="S800" t="s">
        <v>25</v>
      </c>
      <c r="T800" t="s">
        <v>1556</v>
      </c>
    </row>
    <row r="801" spans="1:20" ht="16.5" x14ac:dyDescent="0.45">
      <c r="A801">
        <v>1800</v>
      </c>
      <c r="B801" t="s">
        <v>2019</v>
      </c>
      <c r="C801" t="s">
        <v>51</v>
      </c>
      <c r="D801" t="s">
        <v>42</v>
      </c>
      <c r="E801">
        <v>920520</v>
      </c>
      <c r="F801" s="1">
        <v>45319</v>
      </c>
      <c r="G801" s="1"/>
      <c r="I801">
        <v>2891</v>
      </c>
      <c r="K801">
        <v>3</v>
      </c>
      <c r="L801">
        <v>2</v>
      </c>
      <c r="M801" t="s">
        <v>30</v>
      </c>
      <c r="N801">
        <v>2021</v>
      </c>
      <c r="O801">
        <v>9</v>
      </c>
      <c r="P801">
        <v>1</v>
      </c>
      <c r="Q801" t="s">
        <v>75</v>
      </c>
      <c r="R801" t="s">
        <v>1105</v>
      </c>
      <c r="S801" t="s">
        <v>33</v>
      </c>
      <c r="T801" t="s">
        <v>1541</v>
      </c>
    </row>
    <row r="802" spans="1:20" ht="16.5" x14ac:dyDescent="0.45">
      <c r="A802">
        <v>1801</v>
      </c>
      <c r="B802" t="s">
        <v>2020</v>
      </c>
      <c r="C802" t="s">
        <v>47</v>
      </c>
      <c r="D802" t="s">
        <v>29</v>
      </c>
      <c r="E802">
        <v>685560</v>
      </c>
      <c r="F802" s="1">
        <v>45578</v>
      </c>
      <c r="G802" s="1"/>
      <c r="I802">
        <v>3142</v>
      </c>
      <c r="K802">
        <v>4</v>
      </c>
      <c r="L802">
        <v>2</v>
      </c>
      <c r="M802" t="s">
        <v>37</v>
      </c>
      <c r="N802">
        <v>2011</v>
      </c>
      <c r="O802">
        <v>1</v>
      </c>
      <c r="P802">
        <v>2</v>
      </c>
      <c r="Q802" t="s">
        <v>93</v>
      </c>
      <c r="R802" t="s">
        <v>2021</v>
      </c>
      <c r="S802" t="s">
        <v>33</v>
      </c>
      <c r="T802" t="s">
        <v>1922</v>
      </c>
    </row>
    <row r="803" spans="1:20" ht="16.5" x14ac:dyDescent="0.45">
      <c r="A803">
        <v>1802</v>
      </c>
      <c r="B803" t="s">
        <v>2022</v>
      </c>
      <c r="C803" t="s">
        <v>28</v>
      </c>
      <c r="D803" t="s">
        <v>29</v>
      </c>
      <c r="E803">
        <v>367911</v>
      </c>
      <c r="F803" s="1">
        <v>45442</v>
      </c>
      <c r="G803" s="1">
        <v>45635</v>
      </c>
      <c r="H803">
        <v>395583</v>
      </c>
      <c r="I803">
        <v>1402</v>
      </c>
      <c r="J803" s="5">
        <v>554607366</v>
      </c>
      <c r="K803">
        <v>3</v>
      </c>
      <c r="L803">
        <v>2</v>
      </c>
      <c r="M803" t="s">
        <v>37</v>
      </c>
      <c r="N803">
        <v>2021</v>
      </c>
      <c r="O803">
        <v>6</v>
      </c>
      <c r="P803">
        <v>2</v>
      </c>
      <c r="Q803" t="s">
        <v>162</v>
      </c>
      <c r="R803" t="s">
        <v>2023</v>
      </c>
      <c r="S803" t="s">
        <v>25</v>
      </c>
      <c r="T803" t="s">
        <v>2024</v>
      </c>
    </row>
    <row r="804" spans="1:20" ht="16.5" x14ac:dyDescent="0.45">
      <c r="A804">
        <v>1803</v>
      </c>
      <c r="B804" t="s">
        <v>2025</v>
      </c>
      <c r="C804" t="s">
        <v>51</v>
      </c>
      <c r="D804" t="s">
        <v>29</v>
      </c>
      <c r="E804">
        <v>790746</v>
      </c>
      <c r="F804" s="1">
        <v>45561</v>
      </c>
      <c r="G804" s="1">
        <v>45339</v>
      </c>
      <c r="H804">
        <v>831839</v>
      </c>
      <c r="I804">
        <v>3983</v>
      </c>
      <c r="J804" s="5">
        <v>3313214737</v>
      </c>
      <c r="K804">
        <v>4</v>
      </c>
      <c r="L804">
        <v>2</v>
      </c>
      <c r="M804" t="s">
        <v>30</v>
      </c>
      <c r="N804">
        <v>2016</v>
      </c>
      <c r="O804">
        <v>5</v>
      </c>
      <c r="P804">
        <v>3</v>
      </c>
      <c r="Q804" t="s">
        <v>162</v>
      </c>
      <c r="R804" t="s">
        <v>2026</v>
      </c>
      <c r="S804" t="s">
        <v>25</v>
      </c>
      <c r="T804" t="s">
        <v>2027</v>
      </c>
    </row>
    <row r="805" spans="1:20" ht="16.5" x14ac:dyDescent="0.45">
      <c r="A805">
        <v>1804</v>
      </c>
      <c r="B805" t="s">
        <v>2028</v>
      </c>
      <c r="C805" t="s">
        <v>20</v>
      </c>
      <c r="D805" t="s">
        <v>42</v>
      </c>
      <c r="E805">
        <v>409384</v>
      </c>
      <c r="F805" s="1">
        <v>45608</v>
      </c>
      <c r="G805" s="1">
        <v>45294</v>
      </c>
      <c r="H805">
        <v>440972</v>
      </c>
      <c r="I805">
        <v>3226</v>
      </c>
      <c r="J805" s="5">
        <v>1422575672</v>
      </c>
      <c r="K805">
        <v>2</v>
      </c>
      <c r="L805">
        <v>3</v>
      </c>
      <c r="M805" t="s">
        <v>37</v>
      </c>
      <c r="N805">
        <v>2000</v>
      </c>
      <c r="O805">
        <v>1</v>
      </c>
      <c r="P805">
        <v>4</v>
      </c>
      <c r="Q805" t="s">
        <v>93</v>
      </c>
      <c r="R805" t="s">
        <v>2029</v>
      </c>
      <c r="S805" t="s">
        <v>25</v>
      </c>
      <c r="T805" t="s">
        <v>1882</v>
      </c>
    </row>
    <row r="806" spans="1:20" ht="16.5" x14ac:dyDescent="0.45">
      <c r="A806">
        <v>1805</v>
      </c>
      <c r="B806" t="s">
        <v>2030</v>
      </c>
      <c r="C806" t="s">
        <v>36</v>
      </c>
      <c r="D806" t="s">
        <v>42</v>
      </c>
      <c r="E806">
        <v>565849</v>
      </c>
      <c r="F806" s="1">
        <v>45589</v>
      </c>
      <c r="G806" s="1">
        <v>45363</v>
      </c>
      <c r="H806">
        <v>584822</v>
      </c>
      <c r="I806">
        <v>4735</v>
      </c>
      <c r="J806" s="5">
        <v>2769132170</v>
      </c>
      <c r="K806">
        <v>5</v>
      </c>
      <c r="L806">
        <v>5</v>
      </c>
      <c r="M806" t="s">
        <v>37</v>
      </c>
      <c r="N806">
        <v>2006</v>
      </c>
      <c r="O806">
        <v>8</v>
      </c>
      <c r="P806">
        <v>2</v>
      </c>
      <c r="Q806" t="s">
        <v>93</v>
      </c>
      <c r="R806" t="s">
        <v>2031</v>
      </c>
      <c r="S806" t="s">
        <v>25</v>
      </c>
      <c r="T806" t="s">
        <v>91</v>
      </c>
    </row>
    <row r="807" spans="1:20" ht="16.5" x14ac:dyDescent="0.45">
      <c r="A807">
        <v>1806</v>
      </c>
      <c r="B807" t="s">
        <v>2032</v>
      </c>
      <c r="C807" t="s">
        <v>47</v>
      </c>
      <c r="D807" t="s">
        <v>42</v>
      </c>
      <c r="E807">
        <v>617071</v>
      </c>
      <c r="F807" s="1">
        <v>45499</v>
      </c>
      <c r="G807" s="1"/>
      <c r="I807">
        <v>2332</v>
      </c>
      <c r="K807">
        <v>4</v>
      </c>
      <c r="L807">
        <v>2</v>
      </c>
      <c r="M807" t="s">
        <v>30</v>
      </c>
      <c r="N807">
        <v>2001</v>
      </c>
      <c r="O807">
        <v>6</v>
      </c>
      <c r="P807">
        <v>3</v>
      </c>
      <c r="Q807" t="s">
        <v>75</v>
      </c>
      <c r="R807" t="s">
        <v>2033</v>
      </c>
      <c r="S807" t="s">
        <v>33</v>
      </c>
      <c r="T807" t="s">
        <v>592</v>
      </c>
    </row>
    <row r="808" spans="1:20" ht="16.5" x14ac:dyDescent="0.45">
      <c r="A808">
        <v>1807</v>
      </c>
      <c r="B808" t="s">
        <v>2034</v>
      </c>
      <c r="C808" t="s">
        <v>47</v>
      </c>
      <c r="D808" t="s">
        <v>21</v>
      </c>
      <c r="E808">
        <v>345676</v>
      </c>
      <c r="F808" s="1">
        <v>45500</v>
      </c>
      <c r="G808" s="1">
        <v>45602</v>
      </c>
      <c r="H808">
        <v>393411</v>
      </c>
      <c r="I808">
        <v>1309</v>
      </c>
      <c r="J808" s="5">
        <v>514974999</v>
      </c>
      <c r="K808">
        <v>6</v>
      </c>
      <c r="L808">
        <v>2</v>
      </c>
      <c r="M808" t="s">
        <v>37</v>
      </c>
      <c r="N808">
        <v>2004</v>
      </c>
      <c r="O808">
        <v>5</v>
      </c>
      <c r="P808">
        <v>4</v>
      </c>
      <c r="Q808" t="s">
        <v>23</v>
      </c>
      <c r="R808" t="s">
        <v>2035</v>
      </c>
      <c r="S808" t="s">
        <v>25</v>
      </c>
      <c r="T808" t="s">
        <v>752</v>
      </c>
    </row>
    <row r="809" spans="1:20" ht="16.5" x14ac:dyDescent="0.45">
      <c r="A809">
        <v>1808</v>
      </c>
      <c r="B809" t="s">
        <v>2036</v>
      </c>
      <c r="C809" t="s">
        <v>36</v>
      </c>
      <c r="D809" t="s">
        <v>21</v>
      </c>
      <c r="E809">
        <v>724124</v>
      </c>
      <c r="F809" s="1">
        <v>45306</v>
      </c>
      <c r="G809" s="1">
        <v>45543</v>
      </c>
      <c r="H809">
        <v>737336</v>
      </c>
      <c r="I809">
        <v>3484</v>
      </c>
      <c r="J809" s="5">
        <v>2568878624</v>
      </c>
      <c r="K809">
        <v>3</v>
      </c>
      <c r="L809">
        <v>4</v>
      </c>
      <c r="M809" t="s">
        <v>22</v>
      </c>
      <c r="N809">
        <v>2023</v>
      </c>
      <c r="P809">
        <v>3</v>
      </c>
      <c r="Q809" t="s">
        <v>43</v>
      </c>
      <c r="R809" t="s">
        <v>2037</v>
      </c>
      <c r="S809" t="s">
        <v>25</v>
      </c>
      <c r="T809" t="s">
        <v>213</v>
      </c>
    </row>
    <row r="810" spans="1:20" ht="16.5" x14ac:dyDescent="0.45">
      <c r="A810">
        <v>1809</v>
      </c>
      <c r="B810" t="s">
        <v>2038</v>
      </c>
      <c r="C810" t="s">
        <v>20</v>
      </c>
      <c r="D810" t="s">
        <v>42</v>
      </c>
      <c r="E810">
        <v>658748</v>
      </c>
      <c r="F810" s="1">
        <v>45519</v>
      </c>
      <c r="G810" s="1"/>
      <c r="I810">
        <v>3444</v>
      </c>
      <c r="K810">
        <v>2</v>
      </c>
      <c r="L810">
        <v>5</v>
      </c>
      <c r="M810" t="s">
        <v>30</v>
      </c>
      <c r="N810">
        <v>2018</v>
      </c>
      <c r="O810">
        <v>6</v>
      </c>
      <c r="P810">
        <v>1</v>
      </c>
      <c r="Q810" t="s">
        <v>75</v>
      </c>
      <c r="R810" t="s">
        <v>2039</v>
      </c>
      <c r="S810" t="s">
        <v>33</v>
      </c>
      <c r="T810" t="s">
        <v>2040</v>
      </c>
    </row>
    <row r="811" spans="1:20" ht="16.5" x14ac:dyDescent="0.45">
      <c r="A811">
        <v>1810</v>
      </c>
      <c r="B811" t="s">
        <v>2041</v>
      </c>
      <c r="C811" t="s">
        <v>36</v>
      </c>
      <c r="D811" t="s">
        <v>21</v>
      </c>
      <c r="E811">
        <v>828713</v>
      </c>
      <c r="F811" s="1">
        <v>45282</v>
      </c>
      <c r="G811" s="1">
        <v>45418</v>
      </c>
      <c r="H811">
        <v>839864</v>
      </c>
      <c r="I811">
        <v>1348</v>
      </c>
      <c r="J811" s="5">
        <v>1132136672</v>
      </c>
      <c r="K811">
        <v>6</v>
      </c>
      <c r="L811">
        <v>2</v>
      </c>
      <c r="M811" t="s">
        <v>62</v>
      </c>
      <c r="N811">
        <v>2019</v>
      </c>
      <c r="O811">
        <v>3</v>
      </c>
      <c r="P811">
        <v>3</v>
      </c>
      <c r="Q811" t="s">
        <v>162</v>
      </c>
      <c r="R811" t="s">
        <v>2042</v>
      </c>
      <c r="S811" t="s">
        <v>25</v>
      </c>
      <c r="T811" t="s">
        <v>77</v>
      </c>
    </row>
    <row r="812" spans="1:20" ht="16.5" x14ac:dyDescent="0.45">
      <c r="A812">
        <v>1811</v>
      </c>
      <c r="B812" t="s">
        <v>2043</v>
      </c>
      <c r="C812" t="s">
        <v>36</v>
      </c>
      <c r="D812" t="s">
        <v>42</v>
      </c>
      <c r="E812">
        <v>973184</v>
      </c>
      <c r="F812" s="1">
        <v>45303</v>
      </c>
      <c r="G812" s="1"/>
      <c r="I812">
        <v>2265</v>
      </c>
      <c r="K812">
        <v>6</v>
      </c>
      <c r="L812">
        <v>4</v>
      </c>
      <c r="M812" t="s">
        <v>30</v>
      </c>
      <c r="N812">
        <v>2007</v>
      </c>
      <c r="O812">
        <v>6</v>
      </c>
      <c r="P812">
        <v>4</v>
      </c>
      <c r="Q812" t="s">
        <v>38</v>
      </c>
      <c r="R812" t="s">
        <v>2044</v>
      </c>
      <c r="S812" t="s">
        <v>33</v>
      </c>
      <c r="T812" t="s">
        <v>40</v>
      </c>
    </row>
    <row r="813" spans="1:20" ht="16.5" x14ac:dyDescent="0.45">
      <c r="A813">
        <v>1812</v>
      </c>
      <c r="B813" t="s">
        <v>2045</v>
      </c>
      <c r="C813" t="s">
        <v>36</v>
      </c>
      <c r="D813" t="s">
        <v>42</v>
      </c>
      <c r="E813">
        <v>739269</v>
      </c>
      <c r="F813" s="1">
        <v>45483</v>
      </c>
      <c r="G813" s="1">
        <v>45372</v>
      </c>
      <c r="H813">
        <v>787890</v>
      </c>
      <c r="I813">
        <v>2163</v>
      </c>
      <c r="J813" s="5">
        <v>1704206070</v>
      </c>
      <c r="K813">
        <v>6</v>
      </c>
      <c r="L813">
        <v>2</v>
      </c>
      <c r="M813" t="s">
        <v>30</v>
      </c>
      <c r="N813">
        <v>2003</v>
      </c>
      <c r="O813">
        <v>9</v>
      </c>
      <c r="P813">
        <v>4</v>
      </c>
      <c r="Q813" t="s">
        <v>58</v>
      </c>
      <c r="R813" t="s">
        <v>2046</v>
      </c>
      <c r="S813" t="s">
        <v>25</v>
      </c>
      <c r="T813" t="s">
        <v>550</v>
      </c>
    </row>
    <row r="814" spans="1:20" ht="16.5" x14ac:dyDescent="0.45">
      <c r="A814">
        <v>1813</v>
      </c>
      <c r="B814" t="s">
        <v>2047</v>
      </c>
      <c r="C814" t="s">
        <v>36</v>
      </c>
      <c r="D814" t="s">
        <v>21</v>
      </c>
      <c r="E814">
        <v>991886</v>
      </c>
      <c r="F814" s="1">
        <v>45507</v>
      </c>
      <c r="G814" s="1">
        <v>45362</v>
      </c>
      <c r="H814">
        <v>1014820</v>
      </c>
      <c r="I814">
        <v>3539</v>
      </c>
      <c r="J814" s="5">
        <v>3591447980</v>
      </c>
      <c r="K814">
        <v>3</v>
      </c>
      <c r="L814">
        <v>5</v>
      </c>
      <c r="M814" t="s">
        <v>37</v>
      </c>
      <c r="N814">
        <v>2010</v>
      </c>
      <c r="O814">
        <v>7</v>
      </c>
      <c r="P814">
        <v>2</v>
      </c>
      <c r="Q814" t="s">
        <v>31</v>
      </c>
      <c r="R814" t="s">
        <v>2048</v>
      </c>
      <c r="S814" t="s">
        <v>25</v>
      </c>
      <c r="T814" t="s">
        <v>2049</v>
      </c>
    </row>
    <row r="815" spans="1:20" ht="16.5" x14ac:dyDescent="0.45">
      <c r="A815">
        <v>1814</v>
      </c>
      <c r="B815" t="s">
        <v>2050</v>
      </c>
      <c r="C815" t="s">
        <v>51</v>
      </c>
      <c r="D815" t="s">
        <v>29</v>
      </c>
      <c r="E815">
        <v>617167</v>
      </c>
      <c r="F815" s="1">
        <v>45536</v>
      </c>
      <c r="G815" s="1">
        <v>45508</v>
      </c>
      <c r="H815">
        <v>664702</v>
      </c>
      <c r="I815">
        <v>3939</v>
      </c>
      <c r="J815" s="5">
        <v>2618261178</v>
      </c>
      <c r="K815">
        <v>6</v>
      </c>
      <c r="L815">
        <v>3</v>
      </c>
      <c r="M815" t="s">
        <v>37</v>
      </c>
      <c r="N815">
        <v>2020</v>
      </c>
      <c r="O815">
        <v>5</v>
      </c>
      <c r="P815">
        <v>4</v>
      </c>
      <c r="Q815" t="s">
        <v>75</v>
      </c>
      <c r="R815" t="s">
        <v>2051</v>
      </c>
      <c r="S815" t="s">
        <v>25</v>
      </c>
      <c r="T815" t="s">
        <v>180</v>
      </c>
    </row>
    <row r="816" spans="1:20" ht="16.5" x14ac:dyDescent="0.45">
      <c r="A816">
        <v>1815</v>
      </c>
      <c r="B816" t="s">
        <v>2052</v>
      </c>
      <c r="C816" t="s">
        <v>47</v>
      </c>
      <c r="D816" t="s">
        <v>29</v>
      </c>
      <c r="E816">
        <v>343562</v>
      </c>
      <c r="F816" s="1">
        <v>45403</v>
      </c>
      <c r="G816" s="1"/>
      <c r="I816">
        <v>1773</v>
      </c>
      <c r="K816">
        <v>4</v>
      </c>
      <c r="L816">
        <v>3</v>
      </c>
      <c r="M816" t="s">
        <v>37</v>
      </c>
      <c r="N816">
        <v>2006</v>
      </c>
      <c r="O816">
        <v>9</v>
      </c>
      <c r="P816">
        <v>2</v>
      </c>
      <c r="Q816" t="s">
        <v>38</v>
      </c>
      <c r="R816" t="s">
        <v>954</v>
      </c>
      <c r="S816" t="s">
        <v>33</v>
      </c>
      <c r="T816" t="s">
        <v>2053</v>
      </c>
    </row>
    <row r="817" spans="1:20" ht="16.5" x14ac:dyDescent="0.45">
      <c r="A817">
        <v>1816</v>
      </c>
      <c r="B817" t="s">
        <v>2054</v>
      </c>
      <c r="C817" t="s">
        <v>20</v>
      </c>
      <c r="D817" t="s">
        <v>21</v>
      </c>
      <c r="E817">
        <v>779639</v>
      </c>
      <c r="F817" s="1">
        <v>45461</v>
      </c>
      <c r="G817" s="1">
        <v>45571</v>
      </c>
      <c r="H817">
        <v>825285</v>
      </c>
      <c r="I817">
        <v>1987</v>
      </c>
      <c r="J817" s="5">
        <v>1639841295</v>
      </c>
      <c r="K817">
        <v>3</v>
      </c>
      <c r="L817">
        <v>3</v>
      </c>
      <c r="M817" t="s">
        <v>62</v>
      </c>
      <c r="N817">
        <v>2008</v>
      </c>
      <c r="O817">
        <v>8</v>
      </c>
      <c r="P817">
        <v>2</v>
      </c>
      <c r="Q817" t="s">
        <v>31</v>
      </c>
      <c r="R817" t="s">
        <v>2055</v>
      </c>
      <c r="S817" t="s">
        <v>25</v>
      </c>
      <c r="T817" t="s">
        <v>2056</v>
      </c>
    </row>
    <row r="818" spans="1:20" ht="16.5" x14ac:dyDescent="0.45">
      <c r="A818">
        <v>1817</v>
      </c>
      <c r="B818" t="s">
        <v>2057</v>
      </c>
      <c r="C818" t="s">
        <v>28</v>
      </c>
      <c r="D818" t="s">
        <v>29</v>
      </c>
      <c r="E818">
        <v>599789</v>
      </c>
      <c r="F818" s="1">
        <v>45348</v>
      </c>
      <c r="G818" s="1"/>
      <c r="I818">
        <v>2077</v>
      </c>
      <c r="K818">
        <v>2</v>
      </c>
      <c r="L818">
        <v>4</v>
      </c>
      <c r="M818" t="s">
        <v>37</v>
      </c>
      <c r="N818">
        <v>2015</v>
      </c>
      <c r="O818">
        <v>2</v>
      </c>
      <c r="P818">
        <v>1</v>
      </c>
      <c r="Q818" t="s">
        <v>58</v>
      </c>
      <c r="R818" t="s">
        <v>2058</v>
      </c>
      <c r="S818" t="s">
        <v>33</v>
      </c>
      <c r="T818" t="s">
        <v>2059</v>
      </c>
    </row>
    <row r="819" spans="1:20" ht="16.5" x14ac:dyDescent="0.45">
      <c r="A819">
        <v>1818</v>
      </c>
      <c r="B819" t="s">
        <v>2060</v>
      </c>
      <c r="C819" t="s">
        <v>28</v>
      </c>
      <c r="D819" t="s">
        <v>29</v>
      </c>
      <c r="E819">
        <v>632844</v>
      </c>
      <c r="F819" s="1">
        <v>45433</v>
      </c>
      <c r="G819" s="1"/>
      <c r="I819">
        <v>3619</v>
      </c>
      <c r="K819">
        <v>2</v>
      </c>
      <c r="L819">
        <v>5</v>
      </c>
      <c r="M819" t="s">
        <v>37</v>
      </c>
      <c r="N819">
        <v>2005</v>
      </c>
      <c r="O819">
        <v>6</v>
      </c>
      <c r="P819">
        <v>3</v>
      </c>
      <c r="Q819" t="s">
        <v>86</v>
      </c>
      <c r="R819" t="s">
        <v>2061</v>
      </c>
      <c r="S819" t="s">
        <v>33</v>
      </c>
      <c r="T819" t="s">
        <v>2062</v>
      </c>
    </row>
    <row r="820" spans="1:20" ht="16.5" x14ac:dyDescent="0.45">
      <c r="A820">
        <v>1819</v>
      </c>
      <c r="B820" t="s">
        <v>2063</v>
      </c>
      <c r="C820" t="s">
        <v>20</v>
      </c>
      <c r="D820" t="s">
        <v>29</v>
      </c>
      <c r="E820">
        <v>422440</v>
      </c>
      <c r="F820" s="1">
        <v>45616</v>
      </c>
      <c r="G820" s="1"/>
      <c r="I820">
        <v>2844</v>
      </c>
      <c r="K820">
        <v>4</v>
      </c>
      <c r="L820">
        <v>4</v>
      </c>
      <c r="M820" t="s">
        <v>62</v>
      </c>
      <c r="N820">
        <v>2021</v>
      </c>
      <c r="O820">
        <v>1</v>
      </c>
      <c r="P820">
        <v>3</v>
      </c>
      <c r="Q820" t="s">
        <v>43</v>
      </c>
      <c r="R820" t="s">
        <v>2064</v>
      </c>
      <c r="S820" t="s">
        <v>33</v>
      </c>
      <c r="T820" t="s">
        <v>125</v>
      </c>
    </row>
    <row r="821" spans="1:20" ht="16.5" x14ac:dyDescent="0.45">
      <c r="A821">
        <v>1820</v>
      </c>
      <c r="B821" t="s">
        <v>2065</v>
      </c>
      <c r="C821" t="s">
        <v>51</v>
      </c>
      <c r="D821" t="s">
        <v>29</v>
      </c>
      <c r="E821">
        <v>340079</v>
      </c>
      <c r="F821" s="1">
        <v>45620</v>
      </c>
      <c r="G821" s="1"/>
      <c r="I821">
        <v>1855</v>
      </c>
      <c r="K821">
        <v>6</v>
      </c>
      <c r="L821">
        <v>5</v>
      </c>
      <c r="M821" t="s">
        <v>22</v>
      </c>
      <c r="N821">
        <v>2010</v>
      </c>
      <c r="P821">
        <v>3</v>
      </c>
      <c r="Q821" t="s">
        <v>86</v>
      </c>
      <c r="R821" t="s">
        <v>2066</v>
      </c>
      <c r="S821" t="s">
        <v>33</v>
      </c>
      <c r="T821" t="s">
        <v>2067</v>
      </c>
    </row>
    <row r="822" spans="1:20" ht="16.5" x14ac:dyDescent="0.45">
      <c r="A822">
        <v>1821</v>
      </c>
      <c r="B822" t="s">
        <v>2068</v>
      </c>
      <c r="C822" t="s">
        <v>28</v>
      </c>
      <c r="D822" t="s">
        <v>21</v>
      </c>
      <c r="E822">
        <v>979874</v>
      </c>
      <c r="F822" s="1">
        <v>45364</v>
      </c>
      <c r="G822" s="1"/>
      <c r="I822">
        <v>2632</v>
      </c>
      <c r="K822">
        <v>3</v>
      </c>
      <c r="L822">
        <v>2</v>
      </c>
      <c r="M822" t="s">
        <v>30</v>
      </c>
      <c r="N822">
        <v>2004</v>
      </c>
      <c r="O822">
        <v>4</v>
      </c>
      <c r="P822">
        <v>4</v>
      </c>
      <c r="Q822" t="s">
        <v>93</v>
      </c>
      <c r="R822" t="s">
        <v>2069</v>
      </c>
      <c r="S822" t="s">
        <v>33</v>
      </c>
      <c r="T822" t="s">
        <v>2070</v>
      </c>
    </row>
    <row r="823" spans="1:20" ht="16.5" x14ac:dyDescent="0.45">
      <c r="A823">
        <v>1822</v>
      </c>
      <c r="B823" t="s">
        <v>2071</v>
      </c>
      <c r="C823" t="s">
        <v>36</v>
      </c>
      <c r="D823" t="s">
        <v>29</v>
      </c>
      <c r="E823">
        <v>992256</v>
      </c>
      <c r="F823" s="1">
        <v>45603</v>
      </c>
      <c r="G823" s="1"/>
      <c r="I823">
        <v>4180</v>
      </c>
      <c r="K823">
        <v>2</v>
      </c>
      <c r="L823">
        <v>5</v>
      </c>
      <c r="M823" t="s">
        <v>37</v>
      </c>
      <c r="N823">
        <v>2022</v>
      </c>
      <c r="O823">
        <v>1</v>
      </c>
      <c r="P823">
        <v>4</v>
      </c>
      <c r="Q823" t="s">
        <v>86</v>
      </c>
      <c r="R823" t="s">
        <v>2072</v>
      </c>
      <c r="S823" t="s">
        <v>33</v>
      </c>
      <c r="T823" t="s">
        <v>2073</v>
      </c>
    </row>
    <row r="824" spans="1:20" ht="16.5" x14ac:dyDescent="0.45">
      <c r="A824">
        <v>1823</v>
      </c>
      <c r="B824" t="s">
        <v>2074</v>
      </c>
      <c r="C824" t="s">
        <v>20</v>
      </c>
      <c r="D824" t="s">
        <v>42</v>
      </c>
      <c r="E824">
        <v>499105</v>
      </c>
      <c r="F824" s="1">
        <v>45623</v>
      </c>
      <c r="G824" s="1">
        <v>45584</v>
      </c>
      <c r="H824">
        <v>527824</v>
      </c>
      <c r="I824">
        <v>2991</v>
      </c>
      <c r="J824" s="5">
        <v>1578721584</v>
      </c>
      <c r="K824">
        <v>2</v>
      </c>
      <c r="L824">
        <v>4</v>
      </c>
      <c r="M824" t="s">
        <v>62</v>
      </c>
      <c r="N824">
        <v>2022</v>
      </c>
      <c r="O824">
        <v>9</v>
      </c>
      <c r="P824">
        <v>3</v>
      </c>
      <c r="Q824" t="s">
        <v>75</v>
      </c>
      <c r="R824" t="s">
        <v>2075</v>
      </c>
      <c r="S824" t="s">
        <v>25</v>
      </c>
      <c r="T824" t="s">
        <v>904</v>
      </c>
    </row>
    <row r="825" spans="1:20" ht="16.5" x14ac:dyDescent="0.45">
      <c r="A825">
        <v>1824</v>
      </c>
      <c r="B825" t="s">
        <v>2076</v>
      </c>
      <c r="C825" t="s">
        <v>20</v>
      </c>
      <c r="D825" t="s">
        <v>29</v>
      </c>
      <c r="E825">
        <v>308616</v>
      </c>
      <c r="F825" s="1">
        <v>45309</v>
      </c>
      <c r="G825" s="1">
        <v>45538</v>
      </c>
      <c r="H825">
        <v>357337</v>
      </c>
      <c r="I825">
        <v>4543</v>
      </c>
      <c r="J825" s="5">
        <v>1623381991</v>
      </c>
      <c r="K825">
        <v>2</v>
      </c>
      <c r="L825">
        <v>4</v>
      </c>
      <c r="M825" t="s">
        <v>30</v>
      </c>
      <c r="N825">
        <v>2008</v>
      </c>
      <c r="O825">
        <v>3</v>
      </c>
      <c r="P825">
        <v>4</v>
      </c>
      <c r="Q825" t="s">
        <v>31</v>
      </c>
      <c r="R825" t="s">
        <v>2077</v>
      </c>
      <c r="S825" t="s">
        <v>25</v>
      </c>
      <c r="T825" t="s">
        <v>77</v>
      </c>
    </row>
    <row r="826" spans="1:20" ht="16.5" x14ac:dyDescent="0.45">
      <c r="A826">
        <v>1825</v>
      </c>
      <c r="B826" t="s">
        <v>2078</v>
      </c>
      <c r="C826" t="s">
        <v>47</v>
      </c>
      <c r="D826" t="s">
        <v>21</v>
      </c>
      <c r="E826">
        <v>657011</v>
      </c>
      <c r="F826" s="1">
        <v>45609</v>
      </c>
      <c r="G826" s="1">
        <v>45517</v>
      </c>
      <c r="H826">
        <v>675545</v>
      </c>
      <c r="I826">
        <v>1509</v>
      </c>
      <c r="J826" s="5">
        <v>1019397405</v>
      </c>
      <c r="K826">
        <v>3</v>
      </c>
      <c r="L826">
        <v>5</v>
      </c>
      <c r="M826" t="s">
        <v>22</v>
      </c>
      <c r="N826">
        <v>2005</v>
      </c>
      <c r="P826">
        <v>4</v>
      </c>
      <c r="Q826" t="s">
        <v>162</v>
      </c>
      <c r="R826" t="s">
        <v>2079</v>
      </c>
      <c r="S826" t="s">
        <v>25</v>
      </c>
      <c r="T826" t="s">
        <v>2080</v>
      </c>
    </row>
    <row r="827" spans="1:20" ht="16.5" x14ac:dyDescent="0.45">
      <c r="A827">
        <v>1826</v>
      </c>
      <c r="B827" t="s">
        <v>2081</v>
      </c>
      <c r="C827" t="s">
        <v>51</v>
      </c>
      <c r="D827" t="s">
        <v>21</v>
      </c>
      <c r="E827">
        <v>512401</v>
      </c>
      <c r="F827" s="1">
        <v>45533</v>
      </c>
      <c r="G827" s="1"/>
      <c r="I827">
        <v>3215</v>
      </c>
      <c r="K827">
        <v>2</v>
      </c>
      <c r="L827">
        <v>2</v>
      </c>
      <c r="M827" t="s">
        <v>22</v>
      </c>
      <c r="N827">
        <v>2000</v>
      </c>
      <c r="P827">
        <v>2</v>
      </c>
      <c r="Q827" t="s">
        <v>58</v>
      </c>
      <c r="R827" t="s">
        <v>2082</v>
      </c>
      <c r="S827" t="s">
        <v>33</v>
      </c>
      <c r="T827" t="s">
        <v>180</v>
      </c>
    </row>
    <row r="828" spans="1:20" ht="16.5" x14ac:dyDescent="0.45">
      <c r="A828">
        <v>1827</v>
      </c>
      <c r="B828" t="s">
        <v>2083</v>
      </c>
      <c r="C828" t="s">
        <v>36</v>
      </c>
      <c r="D828" t="s">
        <v>42</v>
      </c>
      <c r="E828">
        <v>301838</v>
      </c>
      <c r="F828" s="1">
        <v>45455</v>
      </c>
      <c r="G828" s="1"/>
      <c r="I828">
        <v>4226</v>
      </c>
      <c r="K828">
        <v>6</v>
      </c>
      <c r="L828">
        <v>5</v>
      </c>
      <c r="M828" t="s">
        <v>22</v>
      </c>
      <c r="N828">
        <v>2020</v>
      </c>
      <c r="P828">
        <v>2</v>
      </c>
      <c r="Q828" t="s">
        <v>43</v>
      </c>
      <c r="R828" t="s">
        <v>2084</v>
      </c>
      <c r="S828" t="s">
        <v>33</v>
      </c>
      <c r="T828" t="s">
        <v>441</v>
      </c>
    </row>
    <row r="829" spans="1:20" ht="16.5" x14ac:dyDescent="0.45">
      <c r="A829">
        <v>1828</v>
      </c>
      <c r="B829" t="s">
        <v>2085</v>
      </c>
      <c r="C829" t="s">
        <v>51</v>
      </c>
      <c r="D829" t="s">
        <v>21</v>
      </c>
      <c r="E829">
        <v>618452</v>
      </c>
      <c r="F829" s="1">
        <v>45356</v>
      </c>
      <c r="G829" s="1">
        <v>45538</v>
      </c>
      <c r="H829">
        <v>634169</v>
      </c>
      <c r="I829">
        <v>3269</v>
      </c>
      <c r="J829" s="5">
        <v>2073098461</v>
      </c>
      <c r="K829">
        <v>4</v>
      </c>
      <c r="L829">
        <v>4</v>
      </c>
      <c r="M829" t="s">
        <v>37</v>
      </c>
      <c r="N829">
        <v>2013</v>
      </c>
      <c r="O829">
        <v>1</v>
      </c>
      <c r="P829">
        <v>1</v>
      </c>
      <c r="Q829" t="s">
        <v>132</v>
      </c>
      <c r="R829" t="s">
        <v>2086</v>
      </c>
      <c r="S829" t="s">
        <v>25</v>
      </c>
      <c r="T829" t="s">
        <v>2087</v>
      </c>
    </row>
    <row r="830" spans="1:20" ht="16.5" x14ac:dyDescent="0.45">
      <c r="A830">
        <v>1829</v>
      </c>
      <c r="B830" t="s">
        <v>2088</v>
      </c>
      <c r="C830" t="s">
        <v>28</v>
      </c>
      <c r="D830" t="s">
        <v>29</v>
      </c>
      <c r="E830">
        <v>606327</v>
      </c>
      <c r="F830" s="1">
        <v>45471</v>
      </c>
      <c r="G830" s="1">
        <v>45521</v>
      </c>
      <c r="H830">
        <v>635960</v>
      </c>
      <c r="I830">
        <v>4906</v>
      </c>
      <c r="J830" s="5">
        <v>3120019760</v>
      </c>
      <c r="K830">
        <v>4</v>
      </c>
      <c r="L830">
        <v>2</v>
      </c>
      <c r="M830" t="s">
        <v>37</v>
      </c>
      <c r="N830">
        <v>2010</v>
      </c>
      <c r="O830">
        <v>10</v>
      </c>
      <c r="P830">
        <v>1</v>
      </c>
      <c r="Q830" t="s">
        <v>86</v>
      </c>
      <c r="R830" t="s">
        <v>2089</v>
      </c>
      <c r="S830" t="s">
        <v>25</v>
      </c>
      <c r="T830" t="s">
        <v>284</v>
      </c>
    </row>
    <row r="831" spans="1:20" ht="16.5" x14ac:dyDescent="0.45">
      <c r="A831">
        <v>1830</v>
      </c>
      <c r="B831" t="s">
        <v>2090</v>
      </c>
      <c r="C831" t="s">
        <v>28</v>
      </c>
      <c r="D831" t="s">
        <v>29</v>
      </c>
      <c r="E831">
        <v>701459</v>
      </c>
      <c r="F831" s="1">
        <v>45343</v>
      </c>
      <c r="G831" s="1">
        <v>45442</v>
      </c>
      <c r="H831">
        <v>744352</v>
      </c>
      <c r="I831">
        <v>1040</v>
      </c>
      <c r="J831" s="5">
        <v>774126080</v>
      </c>
      <c r="K831">
        <v>3</v>
      </c>
      <c r="L831">
        <v>2</v>
      </c>
      <c r="M831" t="s">
        <v>22</v>
      </c>
      <c r="N831">
        <v>2016</v>
      </c>
      <c r="P831">
        <v>1</v>
      </c>
      <c r="Q831" t="s">
        <v>43</v>
      </c>
      <c r="R831" t="s">
        <v>2091</v>
      </c>
      <c r="S831" t="s">
        <v>25</v>
      </c>
      <c r="T831" t="s">
        <v>137</v>
      </c>
    </row>
    <row r="832" spans="1:20" ht="16.5" x14ac:dyDescent="0.45">
      <c r="A832">
        <v>1831</v>
      </c>
      <c r="B832" t="s">
        <v>2092</v>
      </c>
      <c r="C832" t="s">
        <v>47</v>
      </c>
      <c r="D832" t="s">
        <v>21</v>
      </c>
      <c r="E832">
        <v>822977</v>
      </c>
      <c r="F832" s="1">
        <v>45619</v>
      </c>
      <c r="G832" s="1">
        <v>45305</v>
      </c>
      <c r="H832">
        <v>867019</v>
      </c>
      <c r="I832">
        <v>3769</v>
      </c>
      <c r="J832" s="5">
        <v>3267794611</v>
      </c>
      <c r="K832">
        <v>5</v>
      </c>
      <c r="L832">
        <v>5</v>
      </c>
      <c r="M832" t="s">
        <v>37</v>
      </c>
      <c r="N832">
        <v>2013</v>
      </c>
      <c r="O832">
        <v>7</v>
      </c>
      <c r="P832">
        <v>4</v>
      </c>
      <c r="Q832" t="s">
        <v>58</v>
      </c>
      <c r="R832" t="s">
        <v>2093</v>
      </c>
      <c r="S832" t="s">
        <v>25</v>
      </c>
      <c r="T832" t="s">
        <v>2094</v>
      </c>
    </row>
    <row r="833" spans="1:20" ht="16.5" x14ac:dyDescent="0.45">
      <c r="A833">
        <v>1832</v>
      </c>
      <c r="B833" t="s">
        <v>2095</v>
      </c>
      <c r="C833" t="s">
        <v>47</v>
      </c>
      <c r="D833" t="s">
        <v>42</v>
      </c>
      <c r="E833">
        <v>931845</v>
      </c>
      <c r="F833" s="1">
        <v>45295</v>
      </c>
      <c r="G833" s="1">
        <v>45420</v>
      </c>
      <c r="H833">
        <v>965111</v>
      </c>
      <c r="I833">
        <v>3604</v>
      </c>
      <c r="J833" s="5">
        <v>3478260044</v>
      </c>
      <c r="K833">
        <v>3</v>
      </c>
      <c r="L833">
        <v>4</v>
      </c>
      <c r="M833" t="s">
        <v>37</v>
      </c>
      <c r="N833">
        <v>2009</v>
      </c>
      <c r="O833">
        <v>8</v>
      </c>
      <c r="P833">
        <v>3</v>
      </c>
      <c r="Q833" t="s">
        <v>38</v>
      </c>
      <c r="R833" t="s">
        <v>2096</v>
      </c>
      <c r="S833" t="s">
        <v>25</v>
      </c>
      <c r="T833" t="s">
        <v>839</v>
      </c>
    </row>
    <row r="834" spans="1:20" ht="16.5" x14ac:dyDescent="0.45">
      <c r="A834">
        <v>1833</v>
      </c>
      <c r="B834" t="s">
        <v>2097</v>
      </c>
      <c r="C834" t="s">
        <v>36</v>
      </c>
      <c r="D834" t="s">
        <v>29</v>
      </c>
      <c r="E834">
        <v>795677</v>
      </c>
      <c r="F834" s="1">
        <v>45371</v>
      </c>
      <c r="G834" s="1">
        <v>45551</v>
      </c>
      <c r="H834">
        <v>813220</v>
      </c>
      <c r="I834">
        <v>2805</v>
      </c>
      <c r="J834" s="5">
        <v>2281082100</v>
      </c>
      <c r="K834">
        <v>3</v>
      </c>
      <c r="L834">
        <v>5</v>
      </c>
      <c r="M834" t="s">
        <v>62</v>
      </c>
      <c r="N834">
        <v>2014</v>
      </c>
      <c r="O834">
        <v>9</v>
      </c>
      <c r="P834">
        <v>4</v>
      </c>
      <c r="Q834" t="s">
        <v>23</v>
      </c>
      <c r="R834" t="s">
        <v>2098</v>
      </c>
      <c r="S834" t="s">
        <v>25</v>
      </c>
      <c r="T834" t="s">
        <v>2099</v>
      </c>
    </row>
    <row r="835" spans="1:20" ht="16.5" x14ac:dyDescent="0.45">
      <c r="A835">
        <v>1834</v>
      </c>
      <c r="B835" t="s">
        <v>2100</v>
      </c>
      <c r="C835" t="s">
        <v>28</v>
      </c>
      <c r="D835" t="s">
        <v>42</v>
      </c>
      <c r="E835">
        <v>888534</v>
      </c>
      <c r="F835" s="1">
        <v>45494</v>
      </c>
      <c r="G835" s="1">
        <v>45620</v>
      </c>
      <c r="H835">
        <v>924171</v>
      </c>
      <c r="I835">
        <v>3564</v>
      </c>
      <c r="J835" s="5">
        <v>3293745444</v>
      </c>
      <c r="K835">
        <v>6</v>
      </c>
      <c r="L835">
        <v>5</v>
      </c>
      <c r="M835" t="s">
        <v>62</v>
      </c>
      <c r="N835">
        <v>2012</v>
      </c>
      <c r="O835">
        <v>7</v>
      </c>
      <c r="P835">
        <v>3</v>
      </c>
      <c r="Q835" t="s">
        <v>31</v>
      </c>
      <c r="R835" t="s">
        <v>2101</v>
      </c>
      <c r="S835" t="s">
        <v>25</v>
      </c>
      <c r="T835" t="s">
        <v>2102</v>
      </c>
    </row>
    <row r="836" spans="1:20" ht="16.5" x14ac:dyDescent="0.45">
      <c r="A836">
        <v>1835</v>
      </c>
      <c r="B836" t="s">
        <v>2103</v>
      </c>
      <c r="C836" t="s">
        <v>36</v>
      </c>
      <c r="D836" t="s">
        <v>42</v>
      </c>
      <c r="E836">
        <v>903623</v>
      </c>
      <c r="F836" s="1">
        <v>45393</v>
      </c>
      <c r="G836" s="1">
        <v>45410</v>
      </c>
      <c r="H836">
        <v>931834</v>
      </c>
      <c r="I836">
        <v>4987</v>
      </c>
      <c r="J836" s="5">
        <v>4647056158</v>
      </c>
      <c r="K836">
        <v>6</v>
      </c>
      <c r="L836">
        <v>2</v>
      </c>
      <c r="M836" t="s">
        <v>62</v>
      </c>
      <c r="N836">
        <v>2015</v>
      </c>
      <c r="O836">
        <v>3</v>
      </c>
      <c r="P836">
        <v>2</v>
      </c>
      <c r="Q836" t="s">
        <v>23</v>
      </c>
      <c r="R836" t="s">
        <v>2104</v>
      </c>
      <c r="S836" t="s">
        <v>25</v>
      </c>
      <c r="T836" t="s">
        <v>40</v>
      </c>
    </row>
    <row r="837" spans="1:20" ht="16.5" x14ac:dyDescent="0.45">
      <c r="A837">
        <v>1836</v>
      </c>
      <c r="B837" t="s">
        <v>2105</v>
      </c>
      <c r="C837" t="s">
        <v>51</v>
      </c>
      <c r="D837" t="s">
        <v>21</v>
      </c>
      <c r="E837">
        <v>918770</v>
      </c>
      <c r="F837" s="1">
        <v>45511</v>
      </c>
      <c r="G837" s="1"/>
      <c r="I837">
        <v>4388</v>
      </c>
      <c r="K837">
        <v>5</v>
      </c>
      <c r="L837">
        <v>5</v>
      </c>
      <c r="M837" t="s">
        <v>62</v>
      </c>
      <c r="N837">
        <v>2022</v>
      </c>
      <c r="O837">
        <v>3</v>
      </c>
      <c r="P837">
        <v>3</v>
      </c>
      <c r="Q837" t="s">
        <v>23</v>
      </c>
      <c r="R837" t="s">
        <v>2106</v>
      </c>
      <c r="S837" t="s">
        <v>33</v>
      </c>
      <c r="T837" t="s">
        <v>91</v>
      </c>
    </row>
    <row r="838" spans="1:20" ht="16.5" x14ac:dyDescent="0.45">
      <c r="A838">
        <v>1837</v>
      </c>
      <c r="B838" t="s">
        <v>2107</v>
      </c>
      <c r="C838" t="s">
        <v>36</v>
      </c>
      <c r="D838" t="s">
        <v>21</v>
      </c>
      <c r="E838">
        <v>999373</v>
      </c>
      <c r="F838" s="1">
        <v>45479</v>
      </c>
      <c r="G838" s="1"/>
      <c r="I838">
        <v>1912</v>
      </c>
      <c r="K838">
        <v>3</v>
      </c>
      <c r="L838">
        <v>3</v>
      </c>
      <c r="M838" t="s">
        <v>22</v>
      </c>
      <c r="N838">
        <v>2001</v>
      </c>
      <c r="P838">
        <v>2</v>
      </c>
      <c r="Q838" t="s">
        <v>58</v>
      </c>
      <c r="R838" t="s">
        <v>2108</v>
      </c>
      <c r="S838" t="s">
        <v>33</v>
      </c>
      <c r="T838" t="s">
        <v>2109</v>
      </c>
    </row>
    <row r="839" spans="1:20" ht="16.5" x14ac:dyDescent="0.45">
      <c r="A839">
        <v>1838</v>
      </c>
      <c r="B839" t="s">
        <v>2110</v>
      </c>
      <c r="C839" t="s">
        <v>20</v>
      </c>
      <c r="D839" t="s">
        <v>42</v>
      </c>
      <c r="E839">
        <v>659147</v>
      </c>
      <c r="F839" s="1">
        <v>45597</v>
      </c>
      <c r="G839" s="1">
        <v>45548</v>
      </c>
      <c r="H839">
        <v>675181</v>
      </c>
      <c r="I839">
        <v>1279</v>
      </c>
      <c r="J839" s="5">
        <v>863556499</v>
      </c>
      <c r="K839">
        <v>4</v>
      </c>
      <c r="L839">
        <v>4</v>
      </c>
      <c r="M839" t="s">
        <v>22</v>
      </c>
      <c r="N839">
        <v>2000</v>
      </c>
      <c r="P839">
        <v>1</v>
      </c>
      <c r="Q839" t="s">
        <v>93</v>
      </c>
      <c r="R839" t="s">
        <v>2111</v>
      </c>
      <c r="S839" t="s">
        <v>25</v>
      </c>
      <c r="T839" t="s">
        <v>137</v>
      </c>
    </row>
    <row r="840" spans="1:20" ht="16.5" x14ac:dyDescent="0.45">
      <c r="A840">
        <v>1839</v>
      </c>
      <c r="B840" t="s">
        <v>2112</v>
      </c>
      <c r="C840" t="s">
        <v>20</v>
      </c>
      <c r="D840" t="s">
        <v>21</v>
      </c>
      <c r="E840">
        <v>915861</v>
      </c>
      <c r="F840" s="1">
        <v>45596</v>
      </c>
      <c r="G840" s="1"/>
      <c r="I840">
        <v>3043</v>
      </c>
      <c r="K840">
        <v>3</v>
      </c>
      <c r="L840">
        <v>5</v>
      </c>
      <c r="M840" t="s">
        <v>62</v>
      </c>
      <c r="N840">
        <v>2002</v>
      </c>
      <c r="O840">
        <v>7</v>
      </c>
      <c r="P840">
        <v>3</v>
      </c>
      <c r="Q840" t="s">
        <v>162</v>
      </c>
      <c r="R840" t="s">
        <v>2113</v>
      </c>
      <c r="S840" t="s">
        <v>33</v>
      </c>
      <c r="T840" t="s">
        <v>2114</v>
      </c>
    </row>
    <row r="841" spans="1:20" ht="16.5" x14ac:dyDescent="0.45">
      <c r="A841">
        <v>1840</v>
      </c>
      <c r="B841" t="s">
        <v>2115</v>
      </c>
      <c r="C841" t="s">
        <v>20</v>
      </c>
      <c r="D841" t="s">
        <v>21</v>
      </c>
      <c r="E841">
        <v>988481</v>
      </c>
      <c r="F841" s="1">
        <v>45425</v>
      </c>
      <c r="G841" s="1">
        <v>45371</v>
      </c>
      <c r="H841">
        <v>1010749</v>
      </c>
      <c r="I841">
        <v>3510</v>
      </c>
      <c r="J841" s="5">
        <v>3547728990</v>
      </c>
      <c r="K841">
        <v>6</v>
      </c>
      <c r="L841">
        <v>5</v>
      </c>
      <c r="M841" t="s">
        <v>62</v>
      </c>
      <c r="N841">
        <v>2010</v>
      </c>
      <c r="O841">
        <v>3</v>
      </c>
      <c r="P841">
        <v>3</v>
      </c>
      <c r="Q841" t="s">
        <v>23</v>
      </c>
      <c r="R841" t="s">
        <v>2116</v>
      </c>
      <c r="S841" t="s">
        <v>25</v>
      </c>
      <c r="T841" t="s">
        <v>128</v>
      </c>
    </row>
    <row r="842" spans="1:20" ht="16.5" x14ac:dyDescent="0.45">
      <c r="A842">
        <v>1841</v>
      </c>
      <c r="B842" t="s">
        <v>2117</v>
      </c>
      <c r="C842" t="s">
        <v>51</v>
      </c>
      <c r="D842" t="s">
        <v>21</v>
      </c>
      <c r="E842">
        <v>319221</v>
      </c>
      <c r="F842" s="1">
        <v>45562</v>
      </c>
      <c r="G842" s="1">
        <v>45612</v>
      </c>
      <c r="H842">
        <v>344225</v>
      </c>
      <c r="I842">
        <v>1953</v>
      </c>
      <c r="J842" s="5">
        <v>672271425</v>
      </c>
      <c r="K842">
        <v>5</v>
      </c>
      <c r="L842">
        <v>3</v>
      </c>
      <c r="M842" t="s">
        <v>30</v>
      </c>
      <c r="N842">
        <v>2017</v>
      </c>
      <c r="O842">
        <v>10</v>
      </c>
      <c r="P842">
        <v>2</v>
      </c>
      <c r="Q842" t="s">
        <v>43</v>
      </c>
      <c r="R842" t="s">
        <v>2118</v>
      </c>
      <c r="S842" t="s">
        <v>25</v>
      </c>
      <c r="T842" t="s">
        <v>2119</v>
      </c>
    </row>
    <row r="843" spans="1:20" ht="16.5" x14ac:dyDescent="0.45">
      <c r="A843">
        <v>1842</v>
      </c>
      <c r="B843" t="s">
        <v>2120</v>
      </c>
      <c r="C843" t="s">
        <v>20</v>
      </c>
      <c r="D843" t="s">
        <v>42</v>
      </c>
      <c r="E843">
        <v>626661</v>
      </c>
      <c r="F843" s="1">
        <v>45616</v>
      </c>
      <c r="G843" s="1">
        <v>45413</v>
      </c>
      <c r="H843">
        <v>641425</v>
      </c>
      <c r="I843">
        <v>2028</v>
      </c>
      <c r="J843" s="5">
        <v>1300809900</v>
      </c>
      <c r="K843">
        <v>3</v>
      </c>
      <c r="L843">
        <v>5</v>
      </c>
      <c r="M843" t="s">
        <v>37</v>
      </c>
      <c r="N843">
        <v>2002</v>
      </c>
      <c r="O843">
        <v>4</v>
      </c>
      <c r="P843">
        <v>3</v>
      </c>
      <c r="Q843" t="s">
        <v>31</v>
      </c>
      <c r="R843" t="s">
        <v>2121</v>
      </c>
      <c r="S843" t="s">
        <v>25</v>
      </c>
      <c r="T843" t="s">
        <v>550</v>
      </c>
    </row>
    <row r="844" spans="1:20" ht="16.5" x14ac:dyDescent="0.45">
      <c r="A844">
        <v>1843</v>
      </c>
      <c r="B844" t="s">
        <v>2122</v>
      </c>
      <c r="C844" t="s">
        <v>36</v>
      </c>
      <c r="D844" t="s">
        <v>42</v>
      </c>
      <c r="E844">
        <v>353035</v>
      </c>
      <c r="F844" s="1">
        <v>45490</v>
      </c>
      <c r="G844" s="1">
        <v>45596</v>
      </c>
      <c r="H844">
        <v>364883</v>
      </c>
      <c r="I844">
        <v>3704</v>
      </c>
      <c r="J844" s="5">
        <v>1351526632</v>
      </c>
      <c r="K844">
        <v>2</v>
      </c>
      <c r="L844">
        <v>4</v>
      </c>
      <c r="M844" t="s">
        <v>22</v>
      </c>
      <c r="N844">
        <v>2008</v>
      </c>
      <c r="P844">
        <v>4</v>
      </c>
      <c r="Q844" t="s">
        <v>162</v>
      </c>
      <c r="R844" t="s">
        <v>1029</v>
      </c>
      <c r="S844" t="s">
        <v>25</v>
      </c>
      <c r="T844" t="s">
        <v>825</v>
      </c>
    </row>
    <row r="845" spans="1:20" ht="16.5" x14ac:dyDescent="0.45">
      <c r="A845">
        <v>1844</v>
      </c>
      <c r="B845" t="s">
        <v>2123</v>
      </c>
      <c r="C845" t="s">
        <v>36</v>
      </c>
      <c r="D845" t="s">
        <v>21</v>
      </c>
      <c r="E845">
        <v>683842</v>
      </c>
      <c r="F845" s="1">
        <v>45404</v>
      </c>
      <c r="G845" s="1"/>
      <c r="I845">
        <v>3198</v>
      </c>
      <c r="K845">
        <v>3</v>
      </c>
      <c r="L845">
        <v>2</v>
      </c>
      <c r="M845" t="s">
        <v>22</v>
      </c>
      <c r="N845">
        <v>2006</v>
      </c>
      <c r="P845">
        <v>3</v>
      </c>
      <c r="Q845" t="s">
        <v>93</v>
      </c>
      <c r="R845" t="s">
        <v>2124</v>
      </c>
      <c r="S845" t="s">
        <v>33</v>
      </c>
      <c r="T845" t="s">
        <v>125</v>
      </c>
    </row>
    <row r="846" spans="1:20" ht="16.5" x14ac:dyDescent="0.45">
      <c r="A846">
        <v>1845</v>
      </c>
      <c r="B846" t="s">
        <v>2125</v>
      </c>
      <c r="C846" t="s">
        <v>51</v>
      </c>
      <c r="D846" t="s">
        <v>21</v>
      </c>
      <c r="E846">
        <v>501219</v>
      </c>
      <c r="F846" s="1">
        <v>45595</v>
      </c>
      <c r="G846" s="1"/>
      <c r="I846">
        <v>2898</v>
      </c>
      <c r="K846">
        <v>4</v>
      </c>
      <c r="L846">
        <v>4</v>
      </c>
      <c r="M846" t="s">
        <v>22</v>
      </c>
      <c r="N846">
        <v>2010</v>
      </c>
      <c r="P846">
        <v>4</v>
      </c>
      <c r="Q846" t="s">
        <v>58</v>
      </c>
      <c r="R846" t="s">
        <v>2126</v>
      </c>
      <c r="S846" t="s">
        <v>33</v>
      </c>
      <c r="T846" t="s">
        <v>70</v>
      </c>
    </row>
    <row r="847" spans="1:20" ht="16.5" x14ac:dyDescent="0.45">
      <c r="A847">
        <v>1846</v>
      </c>
      <c r="B847" t="s">
        <v>2127</v>
      </c>
      <c r="C847" t="s">
        <v>28</v>
      </c>
      <c r="D847" t="s">
        <v>42</v>
      </c>
      <c r="E847">
        <v>957835</v>
      </c>
      <c r="F847" s="1">
        <v>45338</v>
      </c>
      <c r="G847" s="1"/>
      <c r="I847">
        <v>1429</v>
      </c>
      <c r="K847">
        <v>6</v>
      </c>
      <c r="L847">
        <v>5</v>
      </c>
      <c r="M847" t="s">
        <v>22</v>
      </c>
      <c r="N847">
        <v>2004</v>
      </c>
      <c r="P847">
        <v>2</v>
      </c>
      <c r="Q847" t="s">
        <v>86</v>
      </c>
      <c r="R847" t="s">
        <v>2128</v>
      </c>
      <c r="S847" t="s">
        <v>33</v>
      </c>
      <c r="T847" t="s">
        <v>2129</v>
      </c>
    </row>
    <row r="848" spans="1:20" ht="16.5" x14ac:dyDescent="0.45">
      <c r="A848">
        <v>1847</v>
      </c>
      <c r="B848" t="s">
        <v>2130</v>
      </c>
      <c r="C848" t="s">
        <v>28</v>
      </c>
      <c r="D848" t="s">
        <v>42</v>
      </c>
      <c r="E848">
        <v>828108</v>
      </c>
      <c r="F848" s="1">
        <v>45639</v>
      </c>
      <c r="G848" s="1">
        <v>45441</v>
      </c>
      <c r="H848">
        <v>858547</v>
      </c>
      <c r="I848">
        <v>4370</v>
      </c>
      <c r="J848" s="5">
        <v>3751850390</v>
      </c>
      <c r="K848">
        <v>6</v>
      </c>
      <c r="L848">
        <v>2</v>
      </c>
      <c r="M848" t="s">
        <v>62</v>
      </c>
      <c r="N848">
        <v>2003</v>
      </c>
      <c r="O848">
        <v>9</v>
      </c>
      <c r="P848">
        <v>4</v>
      </c>
      <c r="Q848" t="s">
        <v>86</v>
      </c>
      <c r="R848" t="s">
        <v>2131</v>
      </c>
      <c r="S848" t="s">
        <v>25</v>
      </c>
      <c r="T848" t="s">
        <v>2132</v>
      </c>
    </row>
    <row r="849" spans="1:20" ht="16.5" x14ac:dyDescent="0.45">
      <c r="A849">
        <v>1848</v>
      </c>
      <c r="B849" t="s">
        <v>2133</v>
      </c>
      <c r="C849" t="s">
        <v>20</v>
      </c>
      <c r="D849" t="s">
        <v>29</v>
      </c>
      <c r="E849">
        <v>995224</v>
      </c>
      <c r="F849" s="1">
        <v>45322</v>
      </c>
      <c r="G849" s="1"/>
      <c r="I849">
        <v>3786</v>
      </c>
      <c r="K849">
        <v>5</v>
      </c>
      <c r="L849">
        <v>4</v>
      </c>
      <c r="M849" t="s">
        <v>22</v>
      </c>
      <c r="N849">
        <v>2002</v>
      </c>
      <c r="P849">
        <v>4</v>
      </c>
      <c r="Q849" t="s">
        <v>23</v>
      </c>
      <c r="R849" t="s">
        <v>2134</v>
      </c>
      <c r="S849" t="s">
        <v>33</v>
      </c>
      <c r="T849" t="s">
        <v>287</v>
      </c>
    </row>
    <row r="850" spans="1:20" ht="16.5" x14ac:dyDescent="0.45">
      <c r="A850">
        <v>1849</v>
      </c>
      <c r="B850" t="s">
        <v>2135</v>
      </c>
      <c r="C850" t="s">
        <v>20</v>
      </c>
      <c r="D850" t="s">
        <v>21</v>
      </c>
      <c r="E850">
        <v>752759</v>
      </c>
      <c r="F850" s="1">
        <v>45331</v>
      </c>
      <c r="G850" s="1">
        <v>45542</v>
      </c>
      <c r="H850">
        <v>779170</v>
      </c>
      <c r="I850">
        <v>1846</v>
      </c>
      <c r="J850" s="5">
        <v>1438347820</v>
      </c>
      <c r="K850">
        <v>6</v>
      </c>
      <c r="L850">
        <v>4</v>
      </c>
      <c r="M850" t="s">
        <v>30</v>
      </c>
      <c r="N850">
        <v>2013</v>
      </c>
      <c r="O850">
        <v>9</v>
      </c>
      <c r="P850">
        <v>2</v>
      </c>
      <c r="Q850" t="s">
        <v>38</v>
      </c>
      <c r="R850" t="s">
        <v>2136</v>
      </c>
      <c r="S850" t="s">
        <v>25</v>
      </c>
      <c r="T850" t="s">
        <v>998</v>
      </c>
    </row>
    <row r="851" spans="1:20" ht="16.5" x14ac:dyDescent="0.45">
      <c r="A851">
        <v>1850</v>
      </c>
      <c r="B851" t="s">
        <v>2137</v>
      </c>
      <c r="C851" t="s">
        <v>28</v>
      </c>
      <c r="D851" t="s">
        <v>21</v>
      </c>
      <c r="E851">
        <v>859993</v>
      </c>
      <c r="F851" s="1">
        <v>45474</v>
      </c>
      <c r="G851" s="1"/>
      <c r="I851">
        <v>1588</v>
      </c>
      <c r="K851">
        <v>6</v>
      </c>
      <c r="L851">
        <v>5</v>
      </c>
      <c r="M851" t="s">
        <v>22</v>
      </c>
      <c r="N851">
        <v>2009</v>
      </c>
      <c r="P851">
        <v>3</v>
      </c>
      <c r="Q851" t="s">
        <v>43</v>
      </c>
      <c r="R851" t="s">
        <v>2138</v>
      </c>
      <c r="S851" t="s">
        <v>33</v>
      </c>
      <c r="T851" t="s">
        <v>2139</v>
      </c>
    </row>
    <row r="852" spans="1:20" ht="16.5" x14ac:dyDescent="0.45">
      <c r="A852">
        <v>1851</v>
      </c>
      <c r="B852" t="s">
        <v>2140</v>
      </c>
      <c r="C852" t="s">
        <v>47</v>
      </c>
      <c r="D852" t="s">
        <v>29</v>
      </c>
      <c r="E852">
        <v>524283</v>
      </c>
      <c r="F852" s="1">
        <v>45512</v>
      </c>
      <c r="G852" s="1"/>
      <c r="I852">
        <v>3674</v>
      </c>
      <c r="K852">
        <v>2</v>
      </c>
      <c r="L852">
        <v>4</v>
      </c>
      <c r="M852" t="s">
        <v>22</v>
      </c>
      <c r="N852">
        <v>2004</v>
      </c>
      <c r="P852">
        <v>1</v>
      </c>
      <c r="Q852" t="s">
        <v>58</v>
      </c>
      <c r="R852" t="s">
        <v>2023</v>
      </c>
      <c r="S852" t="s">
        <v>33</v>
      </c>
      <c r="T852" t="s">
        <v>674</v>
      </c>
    </row>
    <row r="853" spans="1:20" ht="16.5" x14ac:dyDescent="0.45">
      <c r="A853">
        <v>1852</v>
      </c>
      <c r="B853" t="s">
        <v>2141</v>
      </c>
      <c r="C853" t="s">
        <v>47</v>
      </c>
      <c r="D853" t="s">
        <v>21</v>
      </c>
      <c r="E853">
        <v>735090</v>
      </c>
      <c r="F853" s="1">
        <v>45620</v>
      </c>
      <c r="G853" s="1">
        <v>45624</v>
      </c>
      <c r="H853">
        <v>749017</v>
      </c>
      <c r="I853">
        <v>2863</v>
      </c>
      <c r="J853" s="5">
        <v>2144435671</v>
      </c>
      <c r="K853">
        <v>4</v>
      </c>
      <c r="L853">
        <v>5</v>
      </c>
      <c r="M853" t="s">
        <v>30</v>
      </c>
      <c r="N853">
        <v>2020</v>
      </c>
      <c r="O853">
        <v>9</v>
      </c>
      <c r="P853">
        <v>1</v>
      </c>
      <c r="Q853" t="s">
        <v>86</v>
      </c>
      <c r="R853" t="s">
        <v>2142</v>
      </c>
      <c r="S853" t="s">
        <v>25</v>
      </c>
      <c r="T853" t="s">
        <v>441</v>
      </c>
    </row>
    <row r="854" spans="1:20" ht="16.5" x14ac:dyDescent="0.45">
      <c r="A854">
        <v>1853</v>
      </c>
      <c r="B854" t="s">
        <v>2143</v>
      </c>
      <c r="C854" t="s">
        <v>36</v>
      </c>
      <c r="D854" t="s">
        <v>21</v>
      </c>
      <c r="E854">
        <v>764670</v>
      </c>
      <c r="F854" s="1">
        <v>45484</v>
      </c>
      <c r="G854" s="1"/>
      <c r="I854">
        <v>1502</v>
      </c>
      <c r="K854">
        <v>6</v>
      </c>
      <c r="L854">
        <v>2</v>
      </c>
      <c r="M854" t="s">
        <v>30</v>
      </c>
      <c r="N854">
        <v>2011</v>
      </c>
      <c r="O854">
        <v>6</v>
      </c>
      <c r="P854">
        <v>1</v>
      </c>
      <c r="Q854" t="s">
        <v>43</v>
      </c>
      <c r="R854" t="s">
        <v>2144</v>
      </c>
      <c r="S854" t="s">
        <v>33</v>
      </c>
      <c r="T854" t="s">
        <v>128</v>
      </c>
    </row>
    <row r="855" spans="1:20" ht="16.5" x14ac:dyDescent="0.45">
      <c r="A855">
        <v>1854</v>
      </c>
      <c r="B855" t="s">
        <v>2145</v>
      </c>
      <c r="C855" t="s">
        <v>20</v>
      </c>
      <c r="D855" t="s">
        <v>29</v>
      </c>
      <c r="E855">
        <v>508697</v>
      </c>
      <c r="F855" s="1">
        <v>45509</v>
      </c>
      <c r="G855" s="1"/>
      <c r="I855">
        <v>3670</v>
      </c>
      <c r="K855">
        <v>3</v>
      </c>
      <c r="L855">
        <v>3</v>
      </c>
      <c r="M855" t="s">
        <v>22</v>
      </c>
      <c r="N855">
        <v>2004</v>
      </c>
      <c r="P855">
        <v>3</v>
      </c>
      <c r="Q855" t="s">
        <v>86</v>
      </c>
      <c r="R855" t="s">
        <v>2146</v>
      </c>
      <c r="S855" t="s">
        <v>33</v>
      </c>
      <c r="T855" t="s">
        <v>180</v>
      </c>
    </row>
    <row r="856" spans="1:20" ht="16.5" x14ac:dyDescent="0.45">
      <c r="A856">
        <v>1855</v>
      </c>
      <c r="B856" t="s">
        <v>2147</v>
      </c>
      <c r="C856" t="s">
        <v>51</v>
      </c>
      <c r="D856" t="s">
        <v>29</v>
      </c>
      <c r="E856">
        <v>683146</v>
      </c>
      <c r="F856" s="1">
        <v>45630</v>
      </c>
      <c r="G856" s="1">
        <v>45328</v>
      </c>
      <c r="H856">
        <v>726495</v>
      </c>
      <c r="I856">
        <v>2949</v>
      </c>
      <c r="J856" s="5">
        <v>2142433755</v>
      </c>
      <c r="K856">
        <v>2</v>
      </c>
      <c r="L856">
        <v>2</v>
      </c>
      <c r="M856" t="s">
        <v>62</v>
      </c>
      <c r="N856">
        <v>2009</v>
      </c>
      <c r="O856">
        <v>1</v>
      </c>
      <c r="P856">
        <v>4</v>
      </c>
      <c r="Q856" t="s">
        <v>75</v>
      </c>
      <c r="R856" t="s">
        <v>2148</v>
      </c>
      <c r="S856" t="s">
        <v>25</v>
      </c>
      <c r="T856" t="s">
        <v>2149</v>
      </c>
    </row>
    <row r="857" spans="1:20" ht="16.5" x14ac:dyDescent="0.45">
      <c r="A857">
        <v>1856</v>
      </c>
      <c r="B857" t="s">
        <v>2150</v>
      </c>
      <c r="C857" t="s">
        <v>51</v>
      </c>
      <c r="D857" t="s">
        <v>42</v>
      </c>
      <c r="E857">
        <v>404137</v>
      </c>
      <c r="F857" s="1">
        <v>45306</v>
      </c>
      <c r="G857" s="1">
        <v>45345</v>
      </c>
      <c r="H857">
        <v>431937</v>
      </c>
      <c r="I857">
        <v>1805</v>
      </c>
      <c r="J857" s="5">
        <v>779646285</v>
      </c>
      <c r="K857">
        <v>2</v>
      </c>
      <c r="L857">
        <v>2</v>
      </c>
      <c r="M857" t="s">
        <v>37</v>
      </c>
      <c r="N857">
        <v>2006</v>
      </c>
      <c r="O857">
        <v>5</v>
      </c>
      <c r="P857">
        <v>2</v>
      </c>
      <c r="Q857" t="s">
        <v>38</v>
      </c>
      <c r="R857" t="s">
        <v>2151</v>
      </c>
      <c r="S857" t="s">
        <v>25</v>
      </c>
      <c r="T857" t="s">
        <v>2152</v>
      </c>
    </row>
    <row r="858" spans="1:20" ht="16.5" x14ac:dyDescent="0.45">
      <c r="A858">
        <v>1857</v>
      </c>
      <c r="B858" t="s">
        <v>2153</v>
      </c>
      <c r="C858" t="s">
        <v>51</v>
      </c>
      <c r="D858" t="s">
        <v>42</v>
      </c>
      <c r="E858">
        <v>918309</v>
      </c>
      <c r="F858" s="1">
        <v>45423</v>
      </c>
      <c r="G858" s="1"/>
      <c r="I858">
        <v>3318</v>
      </c>
      <c r="K858">
        <v>3</v>
      </c>
      <c r="L858">
        <v>3</v>
      </c>
      <c r="M858" t="s">
        <v>30</v>
      </c>
      <c r="N858">
        <v>2016</v>
      </c>
      <c r="O858">
        <v>5</v>
      </c>
      <c r="P858">
        <v>4</v>
      </c>
      <c r="Q858" t="s">
        <v>75</v>
      </c>
      <c r="R858" t="s">
        <v>2154</v>
      </c>
      <c r="S858" t="s">
        <v>33</v>
      </c>
      <c r="T858" t="s">
        <v>70</v>
      </c>
    </row>
    <row r="859" spans="1:20" ht="16.5" x14ac:dyDescent="0.45">
      <c r="A859">
        <v>1858</v>
      </c>
      <c r="B859" t="s">
        <v>2155</v>
      </c>
      <c r="C859" t="s">
        <v>28</v>
      </c>
      <c r="D859" t="s">
        <v>42</v>
      </c>
      <c r="E859">
        <v>927443</v>
      </c>
      <c r="F859" s="1">
        <v>45558</v>
      </c>
      <c r="G859" s="1"/>
      <c r="I859">
        <v>1268</v>
      </c>
      <c r="K859">
        <v>3</v>
      </c>
      <c r="L859">
        <v>2</v>
      </c>
      <c r="M859" t="s">
        <v>30</v>
      </c>
      <c r="N859">
        <v>2023</v>
      </c>
      <c r="O859">
        <v>1</v>
      </c>
      <c r="P859">
        <v>3</v>
      </c>
      <c r="Q859" t="s">
        <v>38</v>
      </c>
      <c r="R859" t="s">
        <v>2156</v>
      </c>
      <c r="S859" t="s">
        <v>33</v>
      </c>
      <c r="T859" t="s">
        <v>964</v>
      </c>
    </row>
    <row r="860" spans="1:20" ht="16.5" x14ac:dyDescent="0.45">
      <c r="A860">
        <v>1859</v>
      </c>
      <c r="B860" t="s">
        <v>2157</v>
      </c>
      <c r="C860" t="s">
        <v>28</v>
      </c>
      <c r="D860" t="s">
        <v>21</v>
      </c>
      <c r="E860">
        <v>402396</v>
      </c>
      <c r="F860" s="1">
        <v>45491</v>
      </c>
      <c r="G860" s="1">
        <v>45599</v>
      </c>
      <c r="H860">
        <v>429678</v>
      </c>
      <c r="I860">
        <v>2492</v>
      </c>
      <c r="J860" s="5">
        <v>1070757576</v>
      </c>
      <c r="K860">
        <v>5</v>
      </c>
      <c r="L860">
        <v>5</v>
      </c>
      <c r="M860" t="s">
        <v>62</v>
      </c>
      <c r="N860">
        <v>2006</v>
      </c>
      <c r="O860">
        <v>7</v>
      </c>
      <c r="P860">
        <v>2</v>
      </c>
      <c r="Q860" t="s">
        <v>75</v>
      </c>
      <c r="R860" t="s">
        <v>2158</v>
      </c>
      <c r="S860" t="s">
        <v>25</v>
      </c>
      <c r="T860" t="s">
        <v>2159</v>
      </c>
    </row>
    <row r="861" spans="1:20" ht="16.5" x14ac:dyDescent="0.45">
      <c r="A861">
        <v>1860</v>
      </c>
      <c r="B861" t="s">
        <v>2160</v>
      </c>
      <c r="C861" t="s">
        <v>20</v>
      </c>
      <c r="D861" t="s">
        <v>42</v>
      </c>
      <c r="E861">
        <v>512603</v>
      </c>
      <c r="F861" s="1">
        <v>45522</v>
      </c>
      <c r="G861" s="1"/>
      <c r="I861">
        <v>3054</v>
      </c>
      <c r="K861">
        <v>4</v>
      </c>
      <c r="L861">
        <v>5</v>
      </c>
      <c r="M861" t="s">
        <v>62</v>
      </c>
      <c r="N861">
        <v>2011</v>
      </c>
      <c r="O861">
        <v>9</v>
      </c>
      <c r="P861">
        <v>3</v>
      </c>
      <c r="Q861" t="s">
        <v>31</v>
      </c>
      <c r="R861" t="s">
        <v>2161</v>
      </c>
      <c r="S861" t="s">
        <v>33</v>
      </c>
      <c r="T861" t="s">
        <v>830</v>
      </c>
    </row>
    <row r="862" spans="1:20" ht="16.5" x14ac:dyDescent="0.45">
      <c r="A862">
        <v>1861</v>
      </c>
      <c r="B862" t="s">
        <v>2162</v>
      </c>
      <c r="C862" t="s">
        <v>28</v>
      </c>
      <c r="D862" t="s">
        <v>21</v>
      </c>
      <c r="E862">
        <v>491216</v>
      </c>
      <c r="F862" s="1">
        <v>45546</v>
      </c>
      <c r="G862" s="1">
        <v>45302</v>
      </c>
      <c r="H862">
        <v>530931</v>
      </c>
      <c r="I862">
        <v>1434</v>
      </c>
      <c r="J862" s="5">
        <v>761355054</v>
      </c>
      <c r="K862">
        <v>3</v>
      </c>
      <c r="L862">
        <v>4</v>
      </c>
      <c r="M862" t="s">
        <v>22</v>
      </c>
      <c r="N862">
        <v>2005</v>
      </c>
      <c r="P862">
        <v>2</v>
      </c>
      <c r="Q862" t="s">
        <v>75</v>
      </c>
      <c r="R862" t="s">
        <v>2163</v>
      </c>
      <c r="S862" t="s">
        <v>25</v>
      </c>
      <c r="T862" t="s">
        <v>77</v>
      </c>
    </row>
    <row r="863" spans="1:20" ht="16.5" x14ac:dyDescent="0.45">
      <c r="A863">
        <v>1862</v>
      </c>
      <c r="B863" t="s">
        <v>2164</v>
      </c>
      <c r="C863" t="s">
        <v>28</v>
      </c>
      <c r="D863" t="s">
        <v>42</v>
      </c>
      <c r="E863">
        <v>746455</v>
      </c>
      <c r="F863" s="1">
        <v>45525</v>
      </c>
      <c r="G863" s="1"/>
      <c r="I863">
        <v>3220</v>
      </c>
      <c r="K863">
        <v>6</v>
      </c>
      <c r="L863">
        <v>3</v>
      </c>
      <c r="M863" t="s">
        <v>22</v>
      </c>
      <c r="N863">
        <v>2008</v>
      </c>
      <c r="P863">
        <v>3</v>
      </c>
      <c r="Q863" t="s">
        <v>93</v>
      </c>
      <c r="R863" t="s">
        <v>2165</v>
      </c>
      <c r="S863" t="s">
        <v>33</v>
      </c>
      <c r="T863" t="s">
        <v>70</v>
      </c>
    </row>
    <row r="864" spans="1:20" ht="16.5" x14ac:dyDescent="0.45">
      <c r="A864">
        <v>1863</v>
      </c>
      <c r="B864" t="s">
        <v>2166</v>
      </c>
      <c r="C864" t="s">
        <v>28</v>
      </c>
      <c r="D864" t="s">
        <v>42</v>
      </c>
      <c r="E864">
        <v>401394</v>
      </c>
      <c r="F864" s="1">
        <v>45613</v>
      </c>
      <c r="G864" s="1">
        <v>45407</v>
      </c>
      <c r="H864">
        <v>422231</v>
      </c>
      <c r="I864">
        <v>4873</v>
      </c>
      <c r="J864" s="5">
        <v>2057531663</v>
      </c>
      <c r="K864">
        <v>5</v>
      </c>
      <c r="L864">
        <v>4</v>
      </c>
      <c r="M864" t="s">
        <v>37</v>
      </c>
      <c r="N864">
        <v>2010</v>
      </c>
      <c r="O864">
        <v>8</v>
      </c>
      <c r="P864">
        <v>2</v>
      </c>
      <c r="Q864" t="s">
        <v>162</v>
      </c>
      <c r="R864" t="s">
        <v>2167</v>
      </c>
      <c r="S864" t="s">
        <v>25</v>
      </c>
      <c r="T864" t="s">
        <v>45</v>
      </c>
    </row>
    <row r="865" spans="1:20" ht="16.5" x14ac:dyDescent="0.45">
      <c r="A865">
        <v>1864</v>
      </c>
      <c r="B865" t="s">
        <v>2168</v>
      </c>
      <c r="C865" t="s">
        <v>28</v>
      </c>
      <c r="D865" t="s">
        <v>21</v>
      </c>
      <c r="E865">
        <v>642890</v>
      </c>
      <c r="F865" s="1">
        <v>45369</v>
      </c>
      <c r="G865" s="1"/>
      <c r="I865">
        <v>4864</v>
      </c>
      <c r="K865">
        <v>6</v>
      </c>
      <c r="L865">
        <v>2</v>
      </c>
      <c r="M865" t="s">
        <v>30</v>
      </c>
      <c r="N865">
        <v>2005</v>
      </c>
      <c r="O865">
        <v>5</v>
      </c>
      <c r="P865">
        <v>2</v>
      </c>
      <c r="Q865" t="s">
        <v>75</v>
      </c>
      <c r="R865" t="s">
        <v>2169</v>
      </c>
      <c r="S865" t="s">
        <v>33</v>
      </c>
      <c r="T865" t="s">
        <v>183</v>
      </c>
    </row>
    <row r="866" spans="1:20" ht="16.5" x14ac:dyDescent="0.45">
      <c r="A866">
        <v>1865</v>
      </c>
      <c r="B866" t="s">
        <v>2170</v>
      </c>
      <c r="C866" t="s">
        <v>28</v>
      </c>
      <c r="D866" t="s">
        <v>42</v>
      </c>
      <c r="E866">
        <v>901190</v>
      </c>
      <c r="F866" s="1">
        <v>45610</v>
      </c>
      <c r="G866" s="1"/>
      <c r="I866">
        <v>4665</v>
      </c>
      <c r="K866">
        <v>4</v>
      </c>
      <c r="L866">
        <v>3</v>
      </c>
      <c r="M866" t="s">
        <v>62</v>
      </c>
      <c r="N866">
        <v>2003</v>
      </c>
      <c r="O866">
        <v>2</v>
      </c>
      <c r="P866">
        <v>3</v>
      </c>
      <c r="Q866" t="s">
        <v>162</v>
      </c>
      <c r="R866" t="s">
        <v>2171</v>
      </c>
      <c r="S866" t="s">
        <v>33</v>
      </c>
      <c r="T866" t="s">
        <v>70</v>
      </c>
    </row>
    <row r="867" spans="1:20" ht="16.5" x14ac:dyDescent="0.45">
      <c r="A867">
        <v>1866</v>
      </c>
      <c r="B867" t="s">
        <v>2172</v>
      </c>
      <c r="C867" t="s">
        <v>47</v>
      </c>
      <c r="D867" t="s">
        <v>42</v>
      </c>
      <c r="E867">
        <v>540441</v>
      </c>
      <c r="F867" s="1">
        <v>45286</v>
      </c>
      <c r="G867" s="1"/>
      <c r="I867">
        <v>1017</v>
      </c>
      <c r="K867">
        <v>5</v>
      </c>
      <c r="L867">
        <v>2</v>
      </c>
      <c r="M867" t="s">
        <v>62</v>
      </c>
      <c r="N867">
        <v>2008</v>
      </c>
      <c r="O867">
        <v>10</v>
      </c>
      <c r="P867">
        <v>2</v>
      </c>
      <c r="Q867" t="s">
        <v>75</v>
      </c>
      <c r="R867" t="s">
        <v>423</v>
      </c>
      <c r="S867" t="s">
        <v>33</v>
      </c>
      <c r="T867" t="s">
        <v>180</v>
      </c>
    </row>
    <row r="868" spans="1:20" ht="16.5" x14ac:dyDescent="0.45">
      <c r="A868">
        <v>1867</v>
      </c>
      <c r="B868" t="s">
        <v>2173</v>
      </c>
      <c r="C868" t="s">
        <v>20</v>
      </c>
      <c r="D868" t="s">
        <v>29</v>
      </c>
      <c r="E868">
        <v>416531</v>
      </c>
      <c r="F868" s="1">
        <v>45555</v>
      </c>
      <c r="G868" s="1">
        <v>45387</v>
      </c>
      <c r="H868">
        <v>427285</v>
      </c>
      <c r="I868">
        <v>2897</v>
      </c>
      <c r="J868" s="5">
        <v>1237844645</v>
      </c>
      <c r="K868">
        <v>3</v>
      </c>
      <c r="L868">
        <v>5</v>
      </c>
      <c r="M868" t="s">
        <v>30</v>
      </c>
      <c r="N868">
        <v>2010</v>
      </c>
      <c r="O868">
        <v>3</v>
      </c>
      <c r="P868">
        <v>3</v>
      </c>
      <c r="Q868" t="s">
        <v>132</v>
      </c>
      <c r="R868" t="s">
        <v>2174</v>
      </c>
      <c r="S868" t="s">
        <v>25</v>
      </c>
      <c r="T868" t="s">
        <v>2175</v>
      </c>
    </row>
    <row r="869" spans="1:20" ht="16.5" x14ac:dyDescent="0.45">
      <c r="A869">
        <v>1868</v>
      </c>
      <c r="B869" t="s">
        <v>2176</v>
      </c>
      <c r="C869" t="s">
        <v>20</v>
      </c>
      <c r="D869" t="s">
        <v>21</v>
      </c>
      <c r="E869">
        <v>536205</v>
      </c>
      <c r="F869" s="1">
        <v>45283</v>
      </c>
      <c r="G869" s="1"/>
      <c r="I869">
        <v>4670</v>
      </c>
      <c r="K869">
        <v>4</v>
      </c>
      <c r="L869">
        <v>2</v>
      </c>
      <c r="M869" t="s">
        <v>62</v>
      </c>
      <c r="N869">
        <v>2014</v>
      </c>
      <c r="O869">
        <v>9</v>
      </c>
      <c r="P869">
        <v>2</v>
      </c>
      <c r="Q869" t="s">
        <v>162</v>
      </c>
      <c r="R869" t="s">
        <v>2177</v>
      </c>
      <c r="S869" t="s">
        <v>33</v>
      </c>
      <c r="T869" t="s">
        <v>1343</v>
      </c>
    </row>
    <row r="870" spans="1:20" ht="16.5" x14ac:dyDescent="0.45">
      <c r="A870">
        <v>1869</v>
      </c>
      <c r="B870" t="s">
        <v>2178</v>
      </c>
      <c r="C870" t="s">
        <v>51</v>
      </c>
      <c r="D870" t="s">
        <v>42</v>
      </c>
      <c r="E870">
        <v>976682</v>
      </c>
      <c r="F870" s="1">
        <v>45281</v>
      </c>
      <c r="G870" s="1">
        <v>45440</v>
      </c>
      <c r="H870">
        <v>1005866</v>
      </c>
      <c r="I870">
        <v>2966</v>
      </c>
      <c r="J870" s="5">
        <v>2983398556</v>
      </c>
      <c r="K870">
        <v>6</v>
      </c>
      <c r="L870">
        <v>2</v>
      </c>
      <c r="M870" t="s">
        <v>37</v>
      </c>
      <c r="N870">
        <v>2000</v>
      </c>
      <c r="O870">
        <v>6</v>
      </c>
      <c r="P870">
        <v>2</v>
      </c>
      <c r="Q870" t="s">
        <v>58</v>
      </c>
      <c r="R870" t="s">
        <v>2179</v>
      </c>
      <c r="S870" t="s">
        <v>25</v>
      </c>
      <c r="T870" t="s">
        <v>2180</v>
      </c>
    </row>
    <row r="871" spans="1:20" ht="16.5" x14ac:dyDescent="0.45">
      <c r="A871">
        <v>1870</v>
      </c>
      <c r="B871" t="s">
        <v>2181</v>
      </c>
      <c r="C871" t="s">
        <v>28</v>
      </c>
      <c r="D871" t="s">
        <v>21</v>
      </c>
      <c r="E871">
        <v>425671</v>
      </c>
      <c r="F871" s="1">
        <v>45360</v>
      </c>
      <c r="G871" s="1"/>
      <c r="I871">
        <v>1022</v>
      </c>
      <c r="K871">
        <v>2</v>
      </c>
      <c r="L871">
        <v>5</v>
      </c>
      <c r="M871" t="s">
        <v>62</v>
      </c>
      <c r="N871">
        <v>2021</v>
      </c>
      <c r="O871">
        <v>4</v>
      </c>
      <c r="P871">
        <v>1</v>
      </c>
      <c r="Q871" t="s">
        <v>75</v>
      </c>
      <c r="R871" t="s">
        <v>2182</v>
      </c>
      <c r="S871" t="s">
        <v>33</v>
      </c>
      <c r="T871" t="s">
        <v>91</v>
      </c>
    </row>
    <row r="872" spans="1:20" ht="16.5" x14ac:dyDescent="0.45">
      <c r="A872">
        <v>1871</v>
      </c>
      <c r="B872" t="s">
        <v>2183</v>
      </c>
      <c r="C872" t="s">
        <v>20</v>
      </c>
      <c r="D872" t="s">
        <v>29</v>
      </c>
      <c r="E872">
        <v>482581</v>
      </c>
      <c r="F872" s="1">
        <v>45441</v>
      </c>
      <c r="G872" s="1"/>
      <c r="I872">
        <v>1748</v>
      </c>
      <c r="K872">
        <v>2</v>
      </c>
      <c r="L872">
        <v>2</v>
      </c>
      <c r="M872" t="s">
        <v>62</v>
      </c>
      <c r="N872">
        <v>2019</v>
      </c>
      <c r="O872">
        <v>6</v>
      </c>
      <c r="P872">
        <v>1</v>
      </c>
      <c r="Q872" t="s">
        <v>93</v>
      </c>
      <c r="R872" t="s">
        <v>121</v>
      </c>
      <c r="S872" t="s">
        <v>33</v>
      </c>
      <c r="T872" t="s">
        <v>70</v>
      </c>
    </row>
    <row r="873" spans="1:20" ht="16.5" x14ac:dyDescent="0.45">
      <c r="A873">
        <v>1872</v>
      </c>
      <c r="B873" t="s">
        <v>2184</v>
      </c>
      <c r="C873" t="s">
        <v>36</v>
      </c>
      <c r="D873" t="s">
        <v>21</v>
      </c>
      <c r="E873">
        <v>375208</v>
      </c>
      <c r="F873" s="1">
        <v>45552</v>
      </c>
      <c r="G873" s="1">
        <v>45325</v>
      </c>
      <c r="H873">
        <v>421582</v>
      </c>
      <c r="I873">
        <v>4318</v>
      </c>
      <c r="J873" s="5">
        <v>1820391076</v>
      </c>
      <c r="K873">
        <v>6</v>
      </c>
      <c r="L873">
        <v>5</v>
      </c>
      <c r="M873" t="s">
        <v>37</v>
      </c>
      <c r="N873">
        <v>2009</v>
      </c>
      <c r="O873">
        <v>10</v>
      </c>
      <c r="P873">
        <v>1</v>
      </c>
      <c r="Q873" t="s">
        <v>162</v>
      </c>
      <c r="R873" t="s">
        <v>2185</v>
      </c>
      <c r="S873" t="s">
        <v>25</v>
      </c>
      <c r="T873" t="s">
        <v>116</v>
      </c>
    </row>
    <row r="874" spans="1:20" ht="16.5" x14ac:dyDescent="0.45">
      <c r="A874">
        <v>1873</v>
      </c>
      <c r="B874" t="s">
        <v>2186</v>
      </c>
      <c r="C874" t="s">
        <v>20</v>
      </c>
      <c r="D874" t="s">
        <v>21</v>
      </c>
      <c r="E874">
        <v>397736</v>
      </c>
      <c r="F874" s="1">
        <v>45614</v>
      </c>
      <c r="G874" s="1"/>
      <c r="I874">
        <v>4035</v>
      </c>
      <c r="K874">
        <v>6</v>
      </c>
      <c r="L874">
        <v>5</v>
      </c>
      <c r="M874" t="s">
        <v>62</v>
      </c>
      <c r="N874">
        <v>2006</v>
      </c>
      <c r="O874">
        <v>4</v>
      </c>
      <c r="P874">
        <v>1</v>
      </c>
      <c r="Q874" t="s">
        <v>75</v>
      </c>
      <c r="R874" t="s">
        <v>2187</v>
      </c>
      <c r="S874" t="s">
        <v>33</v>
      </c>
      <c r="T874" t="s">
        <v>128</v>
      </c>
    </row>
    <row r="875" spans="1:20" ht="16.5" x14ac:dyDescent="0.45">
      <c r="A875">
        <v>1874</v>
      </c>
      <c r="B875" t="s">
        <v>2188</v>
      </c>
      <c r="C875" t="s">
        <v>20</v>
      </c>
      <c r="D875" t="s">
        <v>42</v>
      </c>
      <c r="E875">
        <v>669649</v>
      </c>
      <c r="F875" s="1">
        <v>45280</v>
      </c>
      <c r="G875" s="1"/>
      <c r="I875">
        <v>2584</v>
      </c>
      <c r="K875">
        <v>3</v>
      </c>
      <c r="L875">
        <v>3</v>
      </c>
      <c r="M875" t="s">
        <v>62</v>
      </c>
      <c r="N875">
        <v>2020</v>
      </c>
      <c r="O875">
        <v>1</v>
      </c>
      <c r="P875">
        <v>3</v>
      </c>
      <c r="Q875" t="s">
        <v>38</v>
      </c>
      <c r="R875" t="s">
        <v>2189</v>
      </c>
      <c r="S875" t="s">
        <v>33</v>
      </c>
      <c r="T875" t="s">
        <v>2190</v>
      </c>
    </row>
    <row r="876" spans="1:20" ht="16.5" x14ac:dyDescent="0.45">
      <c r="A876">
        <v>1875</v>
      </c>
      <c r="B876" t="s">
        <v>2191</v>
      </c>
      <c r="C876" t="s">
        <v>28</v>
      </c>
      <c r="D876" t="s">
        <v>21</v>
      </c>
      <c r="E876">
        <v>508224</v>
      </c>
      <c r="F876" s="1">
        <v>45287</v>
      </c>
      <c r="G876" s="1">
        <v>45562</v>
      </c>
      <c r="H876">
        <v>551190</v>
      </c>
      <c r="I876">
        <v>1500</v>
      </c>
      <c r="J876" s="5">
        <v>826785000</v>
      </c>
      <c r="K876">
        <v>6</v>
      </c>
      <c r="L876">
        <v>4</v>
      </c>
      <c r="M876" t="s">
        <v>62</v>
      </c>
      <c r="N876">
        <v>2004</v>
      </c>
      <c r="O876">
        <v>1</v>
      </c>
      <c r="P876">
        <v>2</v>
      </c>
      <c r="Q876" t="s">
        <v>93</v>
      </c>
      <c r="R876" t="s">
        <v>2192</v>
      </c>
      <c r="S876" t="s">
        <v>25</v>
      </c>
      <c r="T876" t="s">
        <v>180</v>
      </c>
    </row>
    <row r="877" spans="1:20" ht="16.5" x14ac:dyDescent="0.45">
      <c r="A877">
        <v>1876</v>
      </c>
      <c r="B877" t="s">
        <v>2193</v>
      </c>
      <c r="C877" t="s">
        <v>36</v>
      </c>
      <c r="D877" t="s">
        <v>42</v>
      </c>
      <c r="E877">
        <v>703036</v>
      </c>
      <c r="F877" s="1">
        <v>45402</v>
      </c>
      <c r="G877" s="1">
        <v>45468</v>
      </c>
      <c r="H877">
        <v>751644</v>
      </c>
      <c r="I877">
        <v>4104</v>
      </c>
      <c r="J877" s="5">
        <v>3084746976</v>
      </c>
      <c r="K877">
        <v>4</v>
      </c>
      <c r="L877">
        <v>5</v>
      </c>
      <c r="M877" t="s">
        <v>62</v>
      </c>
      <c r="N877">
        <v>2012</v>
      </c>
      <c r="O877">
        <v>10</v>
      </c>
      <c r="P877">
        <v>4</v>
      </c>
      <c r="Q877" t="s">
        <v>43</v>
      </c>
      <c r="R877" t="s">
        <v>2194</v>
      </c>
      <c r="S877" t="s">
        <v>25</v>
      </c>
      <c r="T877" t="s">
        <v>2195</v>
      </c>
    </row>
    <row r="878" spans="1:20" ht="16.5" x14ac:dyDescent="0.45">
      <c r="A878">
        <v>1877</v>
      </c>
      <c r="B878" t="s">
        <v>2196</v>
      </c>
      <c r="C878" t="s">
        <v>20</v>
      </c>
      <c r="D878" t="s">
        <v>42</v>
      </c>
      <c r="E878">
        <v>485919</v>
      </c>
      <c r="F878" s="1">
        <v>45546</v>
      </c>
      <c r="G878" s="1">
        <v>45396</v>
      </c>
      <c r="H878">
        <v>525116</v>
      </c>
      <c r="I878">
        <v>3452</v>
      </c>
      <c r="J878" s="5">
        <v>1812700432</v>
      </c>
      <c r="K878">
        <v>4</v>
      </c>
      <c r="L878">
        <v>4</v>
      </c>
      <c r="M878" t="s">
        <v>22</v>
      </c>
      <c r="N878">
        <v>2014</v>
      </c>
      <c r="P878">
        <v>3</v>
      </c>
      <c r="Q878" t="s">
        <v>31</v>
      </c>
      <c r="R878" t="s">
        <v>2197</v>
      </c>
      <c r="S878" t="s">
        <v>25</v>
      </c>
      <c r="T878" t="s">
        <v>183</v>
      </c>
    </row>
    <row r="879" spans="1:20" ht="16.5" x14ac:dyDescent="0.45">
      <c r="A879">
        <v>1878</v>
      </c>
      <c r="B879" t="s">
        <v>2198</v>
      </c>
      <c r="C879" t="s">
        <v>28</v>
      </c>
      <c r="D879" t="s">
        <v>21</v>
      </c>
      <c r="E879">
        <v>672068</v>
      </c>
      <c r="F879" s="1">
        <v>45564</v>
      </c>
      <c r="G879" s="1">
        <v>45600</v>
      </c>
      <c r="H879">
        <v>711356</v>
      </c>
      <c r="I879">
        <v>2472</v>
      </c>
      <c r="J879" s="5">
        <v>1758472032</v>
      </c>
      <c r="K879">
        <v>5</v>
      </c>
      <c r="L879">
        <v>5</v>
      </c>
      <c r="M879" t="s">
        <v>62</v>
      </c>
      <c r="N879">
        <v>2008</v>
      </c>
      <c r="O879">
        <v>7</v>
      </c>
      <c r="P879">
        <v>3</v>
      </c>
      <c r="Q879" t="s">
        <v>86</v>
      </c>
      <c r="R879" t="s">
        <v>2199</v>
      </c>
      <c r="S879" t="s">
        <v>25</v>
      </c>
      <c r="T879" t="s">
        <v>253</v>
      </c>
    </row>
    <row r="880" spans="1:20" ht="16.5" x14ac:dyDescent="0.45">
      <c r="A880">
        <v>1879</v>
      </c>
      <c r="B880" t="s">
        <v>2200</v>
      </c>
      <c r="C880" t="s">
        <v>36</v>
      </c>
      <c r="D880" t="s">
        <v>29</v>
      </c>
      <c r="E880">
        <v>777837</v>
      </c>
      <c r="F880" s="1">
        <v>45442</v>
      </c>
      <c r="G880" s="1">
        <v>45351</v>
      </c>
      <c r="H880">
        <v>805659</v>
      </c>
      <c r="I880">
        <v>1710</v>
      </c>
      <c r="J880" s="5">
        <v>1377676890</v>
      </c>
      <c r="K880">
        <v>4</v>
      </c>
      <c r="L880">
        <v>4</v>
      </c>
      <c r="M880" t="s">
        <v>62</v>
      </c>
      <c r="N880">
        <v>2013</v>
      </c>
      <c r="O880">
        <v>6</v>
      </c>
      <c r="P880">
        <v>4</v>
      </c>
      <c r="Q880" t="s">
        <v>58</v>
      </c>
      <c r="R880" t="s">
        <v>2201</v>
      </c>
      <c r="S880" t="s">
        <v>25</v>
      </c>
      <c r="T880" t="s">
        <v>388</v>
      </c>
    </row>
    <row r="881" spans="1:20" ht="16.5" x14ac:dyDescent="0.45">
      <c r="A881">
        <v>1880</v>
      </c>
      <c r="B881" t="s">
        <v>2202</v>
      </c>
      <c r="C881" t="s">
        <v>28</v>
      </c>
      <c r="D881" t="s">
        <v>21</v>
      </c>
      <c r="E881">
        <v>419404</v>
      </c>
      <c r="F881" s="1">
        <v>45410</v>
      </c>
      <c r="G881" s="1">
        <v>45324</v>
      </c>
      <c r="H881">
        <v>450268</v>
      </c>
      <c r="I881">
        <v>2000</v>
      </c>
      <c r="J881" s="5">
        <v>900536000</v>
      </c>
      <c r="K881">
        <v>2</v>
      </c>
      <c r="L881">
        <v>3</v>
      </c>
      <c r="M881" t="s">
        <v>62</v>
      </c>
      <c r="N881">
        <v>2005</v>
      </c>
      <c r="O881">
        <v>9</v>
      </c>
      <c r="P881">
        <v>4</v>
      </c>
      <c r="Q881" t="s">
        <v>38</v>
      </c>
      <c r="R881" t="s">
        <v>2203</v>
      </c>
      <c r="S881" t="s">
        <v>25</v>
      </c>
      <c r="T881" t="s">
        <v>2204</v>
      </c>
    </row>
    <row r="882" spans="1:20" ht="16.5" x14ac:dyDescent="0.45">
      <c r="A882">
        <v>1881</v>
      </c>
      <c r="B882" t="s">
        <v>2205</v>
      </c>
      <c r="C882" t="s">
        <v>28</v>
      </c>
      <c r="D882" t="s">
        <v>42</v>
      </c>
      <c r="E882">
        <v>300892</v>
      </c>
      <c r="F882" s="1">
        <v>45358</v>
      </c>
      <c r="G882" s="1"/>
      <c r="I882">
        <v>3738</v>
      </c>
      <c r="K882">
        <v>5</v>
      </c>
      <c r="L882">
        <v>5</v>
      </c>
      <c r="M882" t="s">
        <v>22</v>
      </c>
      <c r="N882">
        <v>2020</v>
      </c>
      <c r="P882">
        <v>3</v>
      </c>
      <c r="Q882" t="s">
        <v>75</v>
      </c>
      <c r="R882" t="s">
        <v>2206</v>
      </c>
      <c r="S882" t="s">
        <v>33</v>
      </c>
      <c r="T882" t="s">
        <v>372</v>
      </c>
    </row>
    <row r="883" spans="1:20" ht="16.5" x14ac:dyDescent="0.45">
      <c r="A883">
        <v>1882</v>
      </c>
      <c r="B883" t="s">
        <v>2207</v>
      </c>
      <c r="C883" t="s">
        <v>20</v>
      </c>
      <c r="D883" t="s">
        <v>42</v>
      </c>
      <c r="E883">
        <v>720990</v>
      </c>
      <c r="F883" s="1">
        <v>45404</v>
      </c>
      <c r="G883" s="1"/>
      <c r="I883">
        <v>3234</v>
      </c>
      <c r="K883">
        <v>6</v>
      </c>
      <c r="L883">
        <v>2</v>
      </c>
      <c r="M883" t="s">
        <v>37</v>
      </c>
      <c r="N883">
        <v>2000</v>
      </c>
      <c r="O883">
        <v>2</v>
      </c>
      <c r="P883">
        <v>3</v>
      </c>
      <c r="Q883" t="s">
        <v>31</v>
      </c>
      <c r="R883" t="s">
        <v>2208</v>
      </c>
      <c r="S883" t="s">
        <v>33</v>
      </c>
      <c r="T883" t="s">
        <v>665</v>
      </c>
    </row>
    <row r="884" spans="1:20" ht="16.5" x14ac:dyDescent="0.45">
      <c r="A884">
        <v>1883</v>
      </c>
      <c r="B884" t="s">
        <v>2209</v>
      </c>
      <c r="C884" t="s">
        <v>20</v>
      </c>
      <c r="D884" t="s">
        <v>21</v>
      </c>
      <c r="E884">
        <v>307539</v>
      </c>
      <c r="F884" s="1">
        <v>45431</v>
      </c>
      <c r="G884" s="1"/>
      <c r="I884">
        <v>2691</v>
      </c>
      <c r="K884">
        <v>6</v>
      </c>
      <c r="L884">
        <v>4</v>
      </c>
      <c r="M884" t="s">
        <v>62</v>
      </c>
      <c r="N884">
        <v>2009</v>
      </c>
      <c r="O884">
        <v>8</v>
      </c>
      <c r="P884">
        <v>1</v>
      </c>
      <c r="Q884" t="s">
        <v>31</v>
      </c>
      <c r="R884" t="s">
        <v>2210</v>
      </c>
      <c r="S884" t="s">
        <v>33</v>
      </c>
      <c r="T884" t="s">
        <v>550</v>
      </c>
    </row>
    <row r="885" spans="1:20" ht="16.5" x14ac:dyDescent="0.45">
      <c r="A885">
        <v>1884</v>
      </c>
      <c r="B885" t="s">
        <v>2211</v>
      </c>
      <c r="C885" t="s">
        <v>47</v>
      </c>
      <c r="D885" t="s">
        <v>29</v>
      </c>
      <c r="E885">
        <v>594124</v>
      </c>
      <c r="F885" s="1">
        <v>45566</v>
      </c>
      <c r="G885" s="1"/>
      <c r="I885">
        <v>4881</v>
      </c>
      <c r="K885">
        <v>6</v>
      </c>
      <c r="L885">
        <v>4</v>
      </c>
      <c r="M885" t="s">
        <v>62</v>
      </c>
      <c r="N885">
        <v>2021</v>
      </c>
      <c r="O885">
        <v>4</v>
      </c>
      <c r="P885">
        <v>4</v>
      </c>
      <c r="Q885" t="s">
        <v>93</v>
      </c>
      <c r="R885" t="s">
        <v>2212</v>
      </c>
      <c r="S885" t="s">
        <v>33</v>
      </c>
      <c r="T885" t="s">
        <v>2213</v>
      </c>
    </row>
    <row r="886" spans="1:20" ht="16.5" x14ac:dyDescent="0.45">
      <c r="A886">
        <v>1885</v>
      </c>
      <c r="B886" t="s">
        <v>2214</v>
      </c>
      <c r="C886" t="s">
        <v>20</v>
      </c>
      <c r="D886" t="s">
        <v>29</v>
      </c>
      <c r="E886">
        <v>558888</v>
      </c>
      <c r="F886" s="1">
        <v>45397</v>
      </c>
      <c r="G886" s="1"/>
      <c r="I886">
        <v>2407</v>
      </c>
      <c r="K886">
        <v>3</v>
      </c>
      <c r="L886">
        <v>3</v>
      </c>
      <c r="M886" t="s">
        <v>62</v>
      </c>
      <c r="N886">
        <v>2012</v>
      </c>
      <c r="O886">
        <v>6</v>
      </c>
      <c r="P886">
        <v>1</v>
      </c>
      <c r="Q886" t="s">
        <v>58</v>
      </c>
      <c r="R886" t="s">
        <v>2215</v>
      </c>
      <c r="S886" t="s">
        <v>33</v>
      </c>
      <c r="T886" t="s">
        <v>1056</v>
      </c>
    </row>
    <row r="887" spans="1:20" ht="16.5" x14ac:dyDescent="0.45">
      <c r="A887">
        <v>1886</v>
      </c>
      <c r="B887" t="s">
        <v>2216</v>
      </c>
      <c r="C887" t="s">
        <v>20</v>
      </c>
      <c r="D887" t="s">
        <v>42</v>
      </c>
      <c r="E887">
        <v>464706</v>
      </c>
      <c r="F887" s="1">
        <v>45279</v>
      </c>
      <c r="G887" s="1">
        <v>45526</v>
      </c>
      <c r="H887">
        <v>487434</v>
      </c>
      <c r="I887">
        <v>2625</v>
      </c>
      <c r="J887" s="5">
        <v>1279514250</v>
      </c>
      <c r="K887">
        <v>3</v>
      </c>
      <c r="L887">
        <v>4</v>
      </c>
      <c r="M887" t="s">
        <v>62</v>
      </c>
      <c r="N887">
        <v>2016</v>
      </c>
      <c r="O887">
        <v>10</v>
      </c>
      <c r="P887">
        <v>3</v>
      </c>
      <c r="Q887" t="s">
        <v>132</v>
      </c>
      <c r="R887" t="s">
        <v>2217</v>
      </c>
      <c r="S887" t="s">
        <v>25</v>
      </c>
      <c r="T887" t="s">
        <v>2218</v>
      </c>
    </row>
    <row r="888" spans="1:20" ht="16.5" x14ac:dyDescent="0.45">
      <c r="A888">
        <v>1887</v>
      </c>
      <c r="B888" t="s">
        <v>2219</v>
      </c>
      <c r="C888" t="s">
        <v>36</v>
      </c>
      <c r="D888" t="s">
        <v>21</v>
      </c>
      <c r="E888">
        <v>866638</v>
      </c>
      <c r="F888" s="1">
        <v>45531</v>
      </c>
      <c r="G888" s="1"/>
      <c r="I888">
        <v>3637</v>
      </c>
      <c r="K888">
        <v>2</v>
      </c>
      <c r="L888">
        <v>2</v>
      </c>
      <c r="M888" t="s">
        <v>62</v>
      </c>
      <c r="N888">
        <v>2003</v>
      </c>
      <c r="O888">
        <v>10</v>
      </c>
      <c r="P888">
        <v>2</v>
      </c>
      <c r="Q888" t="s">
        <v>38</v>
      </c>
      <c r="R888" t="s">
        <v>2220</v>
      </c>
      <c r="S888" t="s">
        <v>33</v>
      </c>
      <c r="T888" t="s">
        <v>2221</v>
      </c>
    </row>
    <row r="889" spans="1:20" ht="16.5" x14ac:dyDescent="0.45">
      <c r="A889">
        <v>1888</v>
      </c>
      <c r="B889" t="s">
        <v>2222</v>
      </c>
      <c r="C889" t="s">
        <v>51</v>
      </c>
      <c r="D889" t="s">
        <v>29</v>
      </c>
      <c r="E889">
        <v>699291</v>
      </c>
      <c r="F889" s="1">
        <v>45517</v>
      </c>
      <c r="G889" s="1">
        <v>45456</v>
      </c>
      <c r="H889">
        <v>737804</v>
      </c>
      <c r="I889">
        <v>1200</v>
      </c>
      <c r="J889" s="5">
        <v>885364800</v>
      </c>
      <c r="K889">
        <v>2</v>
      </c>
      <c r="L889">
        <v>3</v>
      </c>
      <c r="M889" t="s">
        <v>62</v>
      </c>
      <c r="N889">
        <v>2023</v>
      </c>
      <c r="O889">
        <v>9</v>
      </c>
      <c r="P889">
        <v>2</v>
      </c>
      <c r="Q889" t="s">
        <v>58</v>
      </c>
      <c r="R889" t="s">
        <v>2223</v>
      </c>
      <c r="S889" t="s">
        <v>25</v>
      </c>
      <c r="T889" t="s">
        <v>1740</v>
      </c>
    </row>
    <row r="890" spans="1:20" ht="16.5" x14ac:dyDescent="0.45">
      <c r="A890">
        <v>1889</v>
      </c>
      <c r="B890" t="s">
        <v>2224</v>
      </c>
      <c r="C890" t="s">
        <v>51</v>
      </c>
      <c r="D890" t="s">
        <v>29</v>
      </c>
      <c r="E890">
        <v>991690</v>
      </c>
      <c r="F890" s="1">
        <v>45620</v>
      </c>
      <c r="G890" s="1"/>
      <c r="I890">
        <v>4166</v>
      </c>
      <c r="K890">
        <v>4</v>
      </c>
      <c r="L890">
        <v>5</v>
      </c>
      <c r="M890" t="s">
        <v>37</v>
      </c>
      <c r="N890">
        <v>2019</v>
      </c>
      <c r="O890">
        <v>8</v>
      </c>
      <c r="P890">
        <v>1</v>
      </c>
      <c r="Q890" t="s">
        <v>132</v>
      </c>
      <c r="R890" t="s">
        <v>2225</v>
      </c>
      <c r="S890" t="s">
        <v>33</v>
      </c>
      <c r="T890" t="s">
        <v>1737</v>
      </c>
    </row>
    <row r="891" spans="1:20" ht="16.5" x14ac:dyDescent="0.45">
      <c r="A891">
        <v>1890</v>
      </c>
      <c r="B891" t="s">
        <v>2226</v>
      </c>
      <c r="C891" t="s">
        <v>36</v>
      </c>
      <c r="D891" t="s">
        <v>42</v>
      </c>
      <c r="E891">
        <v>453526</v>
      </c>
      <c r="F891" s="1">
        <v>45518</v>
      </c>
      <c r="G891" s="1">
        <v>45392</v>
      </c>
      <c r="H891">
        <v>480626</v>
      </c>
      <c r="I891">
        <v>3602</v>
      </c>
      <c r="J891" s="5">
        <v>1731214852</v>
      </c>
      <c r="K891">
        <v>5</v>
      </c>
      <c r="L891">
        <v>4</v>
      </c>
      <c r="M891" t="s">
        <v>30</v>
      </c>
      <c r="N891">
        <v>2014</v>
      </c>
      <c r="O891">
        <v>10</v>
      </c>
      <c r="P891">
        <v>4</v>
      </c>
      <c r="Q891" t="s">
        <v>38</v>
      </c>
      <c r="R891" t="s">
        <v>2227</v>
      </c>
      <c r="S891" t="s">
        <v>25</v>
      </c>
      <c r="T891" t="s">
        <v>2228</v>
      </c>
    </row>
    <row r="892" spans="1:20" ht="16.5" x14ac:dyDescent="0.45">
      <c r="A892">
        <v>1891</v>
      </c>
      <c r="B892" t="s">
        <v>2229</v>
      </c>
      <c r="C892" t="s">
        <v>20</v>
      </c>
      <c r="D892" t="s">
        <v>21</v>
      </c>
      <c r="E892">
        <v>899240</v>
      </c>
      <c r="F892" s="1">
        <v>45340</v>
      </c>
      <c r="G892" s="1">
        <v>45323</v>
      </c>
      <c r="H892">
        <v>928569</v>
      </c>
      <c r="I892">
        <v>4599</v>
      </c>
      <c r="J892" s="5">
        <v>4270488831</v>
      </c>
      <c r="K892">
        <v>5</v>
      </c>
      <c r="L892">
        <v>4</v>
      </c>
      <c r="M892" t="s">
        <v>37</v>
      </c>
      <c r="N892">
        <v>2022</v>
      </c>
      <c r="O892">
        <v>4</v>
      </c>
      <c r="P892">
        <v>3</v>
      </c>
      <c r="Q892" t="s">
        <v>75</v>
      </c>
      <c r="R892" t="s">
        <v>2230</v>
      </c>
      <c r="S892" t="s">
        <v>25</v>
      </c>
      <c r="T892" t="s">
        <v>964</v>
      </c>
    </row>
    <row r="893" spans="1:20" ht="16.5" x14ac:dyDescent="0.45">
      <c r="A893">
        <v>1892</v>
      </c>
      <c r="B893" t="s">
        <v>2231</v>
      </c>
      <c r="C893" t="s">
        <v>51</v>
      </c>
      <c r="D893" t="s">
        <v>42</v>
      </c>
      <c r="E893">
        <v>490203</v>
      </c>
      <c r="F893" s="1">
        <v>45418</v>
      </c>
      <c r="G893" s="1">
        <v>45612</v>
      </c>
      <c r="H893">
        <v>535202</v>
      </c>
      <c r="I893">
        <v>3356</v>
      </c>
      <c r="J893" s="5">
        <v>1796137912</v>
      </c>
      <c r="K893">
        <v>3</v>
      </c>
      <c r="L893">
        <v>2</v>
      </c>
      <c r="M893" t="s">
        <v>30</v>
      </c>
      <c r="N893">
        <v>2021</v>
      </c>
      <c r="O893">
        <v>6</v>
      </c>
      <c r="P893">
        <v>4</v>
      </c>
      <c r="Q893" t="s">
        <v>23</v>
      </c>
      <c r="R893" t="s">
        <v>1722</v>
      </c>
      <c r="S893" t="s">
        <v>25</v>
      </c>
      <c r="T893" t="s">
        <v>137</v>
      </c>
    </row>
    <row r="894" spans="1:20" ht="16.5" x14ac:dyDescent="0.45">
      <c r="A894">
        <v>1893</v>
      </c>
      <c r="B894" t="s">
        <v>2232</v>
      </c>
      <c r="C894" t="s">
        <v>51</v>
      </c>
      <c r="D894" t="s">
        <v>29</v>
      </c>
      <c r="E894">
        <v>534047</v>
      </c>
      <c r="F894" s="1">
        <v>45345</v>
      </c>
      <c r="G894" s="1">
        <v>45478</v>
      </c>
      <c r="H894">
        <v>551460</v>
      </c>
      <c r="I894">
        <v>2678</v>
      </c>
      <c r="J894" s="5">
        <v>1476809880</v>
      </c>
      <c r="K894">
        <v>6</v>
      </c>
      <c r="L894">
        <v>5</v>
      </c>
      <c r="M894" t="s">
        <v>22</v>
      </c>
      <c r="N894">
        <v>2017</v>
      </c>
      <c r="P894">
        <v>1</v>
      </c>
      <c r="Q894" t="s">
        <v>43</v>
      </c>
      <c r="R894" t="s">
        <v>2233</v>
      </c>
      <c r="S894" t="s">
        <v>25</v>
      </c>
      <c r="T894" t="s">
        <v>2234</v>
      </c>
    </row>
    <row r="895" spans="1:20" ht="16.5" x14ac:dyDescent="0.45">
      <c r="A895">
        <v>1894</v>
      </c>
      <c r="B895" t="s">
        <v>2235</v>
      </c>
      <c r="C895" t="s">
        <v>28</v>
      </c>
      <c r="D895" t="s">
        <v>29</v>
      </c>
      <c r="E895">
        <v>434651</v>
      </c>
      <c r="F895" s="1">
        <v>45451</v>
      </c>
      <c r="G895" s="1"/>
      <c r="I895">
        <v>4370</v>
      </c>
      <c r="K895">
        <v>6</v>
      </c>
      <c r="L895">
        <v>4</v>
      </c>
      <c r="M895" t="s">
        <v>30</v>
      </c>
      <c r="N895">
        <v>2023</v>
      </c>
      <c r="O895">
        <v>9</v>
      </c>
      <c r="P895">
        <v>3</v>
      </c>
      <c r="Q895" t="s">
        <v>23</v>
      </c>
      <c r="R895" t="s">
        <v>2236</v>
      </c>
      <c r="S895" t="s">
        <v>33</v>
      </c>
      <c r="T895" t="s">
        <v>183</v>
      </c>
    </row>
    <row r="896" spans="1:20" ht="16.5" x14ac:dyDescent="0.45">
      <c r="A896">
        <v>1895</v>
      </c>
      <c r="B896" t="s">
        <v>2237</v>
      </c>
      <c r="C896" t="s">
        <v>28</v>
      </c>
      <c r="D896" t="s">
        <v>21</v>
      </c>
      <c r="E896">
        <v>678992</v>
      </c>
      <c r="F896" s="1">
        <v>45295</v>
      </c>
      <c r="G896" s="1">
        <v>45570</v>
      </c>
      <c r="H896">
        <v>726924</v>
      </c>
      <c r="I896">
        <v>3681</v>
      </c>
      <c r="J896" s="5">
        <v>2675807244</v>
      </c>
      <c r="K896">
        <v>5</v>
      </c>
      <c r="L896">
        <v>5</v>
      </c>
      <c r="M896" t="s">
        <v>30</v>
      </c>
      <c r="N896">
        <v>2000</v>
      </c>
      <c r="O896">
        <v>4</v>
      </c>
      <c r="P896">
        <v>3</v>
      </c>
      <c r="Q896" t="s">
        <v>162</v>
      </c>
      <c r="R896" t="s">
        <v>2238</v>
      </c>
      <c r="S896" t="s">
        <v>25</v>
      </c>
      <c r="T896" t="s">
        <v>77</v>
      </c>
    </row>
    <row r="897" spans="1:20" ht="16.5" x14ac:dyDescent="0.45">
      <c r="A897">
        <v>1896</v>
      </c>
      <c r="B897" t="s">
        <v>2239</v>
      </c>
      <c r="C897" t="s">
        <v>36</v>
      </c>
      <c r="D897" t="s">
        <v>42</v>
      </c>
      <c r="E897">
        <v>596539</v>
      </c>
      <c r="F897" s="1">
        <v>45420</v>
      </c>
      <c r="G897" s="1"/>
      <c r="I897">
        <v>3100</v>
      </c>
      <c r="K897">
        <v>6</v>
      </c>
      <c r="L897">
        <v>4</v>
      </c>
      <c r="M897" t="s">
        <v>62</v>
      </c>
      <c r="N897">
        <v>2003</v>
      </c>
      <c r="O897">
        <v>1</v>
      </c>
      <c r="P897">
        <v>1</v>
      </c>
      <c r="Q897" t="s">
        <v>31</v>
      </c>
      <c r="R897" t="s">
        <v>2240</v>
      </c>
      <c r="S897" t="s">
        <v>33</v>
      </c>
      <c r="T897" t="s">
        <v>183</v>
      </c>
    </row>
    <row r="898" spans="1:20" ht="16.5" x14ac:dyDescent="0.45">
      <c r="A898">
        <v>1897</v>
      </c>
      <c r="B898" t="s">
        <v>2241</v>
      </c>
      <c r="C898" t="s">
        <v>20</v>
      </c>
      <c r="D898" t="s">
        <v>42</v>
      </c>
      <c r="E898">
        <v>469431</v>
      </c>
      <c r="F898" s="1">
        <v>45640</v>
      </c>
      <c r="G898" s="1"/>
      <c r="I898">
        <v>2511</v>
      </c>
      <c r="K898">
        <v>3</v>
      </c>
      <c r="L898">
        <v>3</v>
      </c>
      <c r="M898" t="s">
        <v>30</v>
      </c>
      <c r="N898">
        <v>2023</v>
      </c>
      <c r="O898">
        <v>5</v>
      </c>
      <c r="P898">
        <v>2</v>
      </c>
      <c r="Q898" t="s">
        <v>162</v>
      </c>
      <c r="R898" t="s">
        <v>2242</v>
      </c>
      <c r="S898" t="s">
        <v>33</v>
      </c>
      <c r="T898" t="s">
        <v>1141</v>
      </c>
    </row>
    <row r="899" spans="1:20" ht="16.5" x14ac:dyDescent="0.45">
      <c r="A899">
        <v>1898</v>
      </c>
      <c r="B899" t="s">
        <v>2243</v>
      </c>
      <c r="C899" t="s">
        <v>51</v>
      </c>
      <c r="D899" t="s">
        <v>21</v>
      </c>
      <c r="E899">
        <v>689118</v>
      </c>
      <c r="F899" s="1">
        <v>45365</v>
      </c>
      <c r="G899" s="1"/>
      <c r="I899">
        <v>4895</v>
      </c>
      <c r="K899">
        <v>3</v>
      </c>
      <c r="L899">
        <v>4</v>
      </c>
      <c r="M899" t="s">
        <v>30</v>
      </c>
      <c r="N899">
        <v>2021</v>
      </c>
      <c r="O899">
        <v>10</v>
      </c>
      <c r="P899">
        <v>4</v>
      </c>
      <c r="Q899" t="s">
        <v>86</v>
      </c>
      <c r="R899" t="s">
        <v>2244</v>
      </c>
      <c r="S899" t="s">
        <v>33</v>
      </c>
      <c r="T899" t="s">
        <v>595</v>
      </c>
    </row>
    <row r="900" spans="1:20" ht="16.5" x14ac:dyDescent="0.45">
      <c r="A900">
        <v>1899</v>
      </c>
      <c r="B900" t="s">
        <v>2245</v>
      </c>
      <c r="C900" t="s">
        <v>28</v>
      </c>
      <c r="D900" t="s">
        <v>29</v>
      </c>
      <c r="E900">
        <v>530326</v>
      </c>
      <c r="F900" s="1">
        <v>45527</v>
      </c>
      <c r="G900" s="1"/>
      <c r="I900">
        <v>1232</v>
      </c>
      <c r="K900">
        <v>4</v>
      </c>
      <c r="L900">
        <v>5</v>
      </c>
      <c r="M900" t="s">
        <v>37</v>
      </c>
      <c r="N900">
        <v>2015</v>
      </c>
      <c r="O900">
        <v>10</v>
      </c>
      <c r="P900">
        <v>4</v>
      </c>
      <c r="Q900" t="s">
        <v>132</v>
      </c>
      <c r="R900" t="s">
        <v>2246</v>
      </c>
      <c r="S900" t="s">
        <v>33</v>
      </c>
      <c r="T900" t="s">
        <v>2247</v>
      </c>
    </row>
    <row r="901" spans="1:20" ht="16.5" x14ac:dyDescent="0.45">
      <c r="A901">
        <v>1900</v>
      </c>
      <c r="B901" t="s">
        <v>2248</v>
      </c>
      <c r="C901" t="s">
        <v>51</v>
      </c>
      <c r="D901" t="s">
        <v>42</v>
      </c>
      <c r="E901">
        <v>621136</v>
      </c>
      <c r="F901" s="1">
        <v>45352</v>
      </c>
      <c r="G901" s="1">
        <v>45584</v>
      </c>
      <c r="H901">
        <v>656247</v>
      </c>
      <c r="I901">
        <v>1645</v>
      </c>
      <c r="J901" s="5">
        <v>1079526315</v>
      </c>
      <c r="K901">
        <v>6</v>
      </c>
      <c r="L901">
        <v>2</v>
      </c>
      <c r="M901" t="s">
        <v>62</v>
      </c>
      <c r="N901">
        <v>2010</v>
      </c>
      <c r="O901">
        <v>5</v>
      </c>
      <c r="P901">
        <v>1</v>
      </c>
      <c r="Q901" t="s">
        <v>23</v>
      </c>
      <c r="R901" t="s">
        <v>542</v>
      </c>
      <c r="S901" t="s">
        <v>25</v>
      </c>
      <c r="T901" t="s">
        <v>2249</v>
      </c>
    </row>
    <row r="902" spans="1:20" ht="16.5" x14ac:dyDescent="0.45">
      <c r="A902">
        <v>1901</v>
      </c>
      <c r="B902" t="s">
        <v>2250</v>
      </c>
      <c r="C902" t="s">
        <v>36</v>
      </c>
      <c r="D902" t="s">
        <v>21</v>
      </c>
      <c r="E902">
        <v>509239</v>
      </c>
      <c r="F902" s="1">
        <v>45571</v>
      </c>
      <c r="G902" s="1"/>
      <c r="I902">
        <v>1816</v>
      </c>
      <c r="K902">
        <v>4</v>
      </c>
      <c r="L902">
        <v>4</v>
      </c>
      <c r="M902" t="s">
        <v>62</v>
      </c>
      <c r="N902">
        <v>2007</v>
      </c>
      <c r="O902">
        <v>1</v>
      </c>
      <c r="P902">
        <v>4</v>
      </c>
      <c r="Q902" t="s">
        <v>23</v>
      </c>
      <c r="R902" t="s">
        <v>623</v>
      </c>
      <c r="S902" t="s">
        <v>33</v>
      </c>
      <c r="T902" t="s">
        <v>137</v>
      </c>
    </row>
    <row r="903" spans="1:20" ht="16.5" x14ac:dyDescent="0.45">
      <c r="A903">
        <v>1902</v>
      </c>
      <c r="B903" t="s">
        <v>2251</v>
      </c>
      <c r="C903" t="s">
        <v>20</v>
      </c>
      <c r="D903" t="s">
        <v>21</v>
      </c>
      <c r="E903">
        <v>715414</v>
      </c>
      <c r="F903" s="1">
        <v>45484</v>
      </c>
      <c r="G903" s="1">
        <v>45636</v>
      </c>
      <c r="H903">
        <v>726773</v>
      </c>
      <c r="I903">
        <v>4741</v>
      </c>
      <c r="J903" s="5">
        <v>3445630793</v>
      </c>
      <c r="K903">
        <v>4</v>
      </c>
      <c r="L903">
        <v>5</v>
      </c>
      <c r="M903" t="s">
        <v>62</v>
      </c>
      <c r="N903">
        <v>2013</v>
      </c>
      <c r="O903">
        <v>8</v>
      </c>
      <c r="P903">
        <v>4</v>
      </c>
      <c r="Q903" t="s">
        <v>93</v>
      </c>
      <c r="R903" t="s">
        <v>2252</v>
      </c>
      <c r="S903" t="s">
        <v>25</v>
      </c>
      <c r="T903" t="s">
        <v>256</v>
      </c>
    </row>
    <row r="904" spans="1:20" ht="16.5" x14ac:dyDescent="0.45">
      <c r="A904">
        <v>1903</v>
      </c>
      <c r="B904" t="s">
        <v>2253</v>
      </c>
      <c r="C904" t="s">
        <v>28</v>
      </c>
      <c r="D904" t="s">
        <v>29</v>
      </c>
      <c r="E904">
        <v>639936</v>
      </c>
      <c r="F904" s="1">
        <v>45630</v>
      </c>
      <c r="G904" s="1"/>
      <c r="I904">
        <v>1737</v>
      </c>
      <c r="K904">
        <v>5</v>
      </c>
      <c r="L904">
        <v>5</v>
      </c>
      <c r="M904" t="s">
        <v>62</v>
      </c>
      <c r="N904">
        <v>2023</v>
      </c>
      <c r="O904">
        <v>8</v>
      </c>
      <c r="P904">
        <v>2</v>
      </c>
      <c r="Q904" t="s">
        <v>23</v>
      </c>
      <c r="R904" t="s">
        <v>2254</v>
      </c>
      <c r="S904" t="s">
        <v>33</v>
      </c>
      <c r="T904" t="s">
        <v>808</v>
      </c>
    </row>
    <row r="905" spans="1:20" ht="16.5" x14ac:dyDescent="0.45">
      <c r="A905">
        <v>1904</v>
      </c>
      <c r="B905" t="s">
        <v>2255</v>
      </c>
      <c r="C905" t="s">
        <v>20</v>
      </c>
      <c r="D905" t="s">
        <v>29</v>
      </c>
      <c r="E905">
        <v>786404</v>
      </c>
      <c r="F905" s="1">
        <v>45395</v>
      </c>
      <c r="G905" s="1">
        <v>45473</v>
      </c>
      <c r="H905">
        <v>825708</v>
      </c>
      <c r="I905">
        <v>1386</v>
      </c>
      <c r="J905" s="5">
        <v>1144431288</v>
      </c>
      <c r="K905">
        <v>2</v>
      </c>
      <c r="L905">
        <v>5</v>
      </c>
      <c r="M905" t="s">
        <v>22</v>
      </c>
      <c r="N905">
        <v>2013</v>
      </c>
      <c r="P905">
        <v>4</v>
      </c>
      <c r="Q905" t="s">
        <v>132</v>
      </c>
      <c r="R905" t="s">
        <v>2256</v>
      </c>
      <c r="S905" t="s">
        <v>25</v>
      </c>
      <c r="T905" t="s">
        <v>1912</v>
      </c>
    </row>
    <row r="906" spans="1:20" ht="16.5" x14ac:dyDescent="0.45">
      <c r="A906">
        <v>1905</v>
      </c>
      <c r="B906" t="s">
        <v>2257</v>
      </c>
      <c r="C906" t="s">
        <v>28</v>
      </c>
      <c r="D906" t="s">
        <v>29</v>
      </c>
      <c r="E906">
        <v>388658</v>
      </c>
      <c r="F906" s="1">
        <v>45349</v>
      </c>
      <c r="G906" s="1"/>
      <c r="I906">
        <v>4392</v>
      </c>
      <c r="K906">
        <v>4</v>
      </c>
      <c r="L906">
        <v>2</v>
      </c>
      <c r="M906" t="s">
        <v>62</v>
      </c>
      <c r="N906">
        <v>2001</v>
      </c>
      <c r="O906">
        <v>4</v>
      </c>
      <c r="P906">
        <v>2</v>
      </c>
      <c r="Q906" t="s">
        <v>162</v>
      </c>
      <c r="R906" t="s">
        <v>2258</v>
      </c>
      <c r="S906" t="s">
        <v>33</v>
      </c>
      <c r="T906" t="s">
        <v>2259</v>
      </c>
    </row>
    <row r="907" spans="1:20" ht="16.5" x14ac:dyDescent="0.45">
      <c r="A907">
        <v>1906</v>
      </c>
      <c r="B907" t="s">
        <v>2260</v>
      </c>
      <c r="C907" t="s">
        <v>36</v>
      </c>
      <c r="D907" t="s">
        <v>42</v>
      </c>
      <c r="E907">
        <v>473047</v>
      </c>
      <c r="F907" s="1">
        <v>45531</v>
      </c>
      <c r="G907" s="1">
        <v>45341</v>
      </c>
      <c r="H907">
        <v>490524</v>
      </c>
      <c r="I907">
        <v>2536</v>
      </c>
      <c r="J907" s="5">
        <v>1243968864</v>
      </c>
      <c r="K907">
        <v>3</v>
      </c>
      <c r="L907">
        <v>3</v>
      </c>
      <c r="M907" t="s">
        <v>30</v>
      </c>
      <c r="N907">
        <v>2005</v>
      </c>
      <c r="O907">
        <v>3</v>
      </c>
      <c r="P907">
        <v>4</v>
      </c>
      <c r="Q907" t="s">
        <v>31</v>
      </c>
      <c r="R907" t="s">
        <v>1335</v>
      </c>
      <c r="S907" t="s">
        <v>25</v>
      </c>
      <c r="T907" t="s">
        <v>137</v>
      </c>
    </row>
    <row r="908" spans="1:20" ht="16.5" x14ac:dyDescent="0.45">
      <c r="A908">
        <v>1907</v>
      </c>
      <c r="B908" t="s">
        <v>2261</v>
      </c>
      <c r="C908" t="s">
        <v>47</v>
      </c>
      <c r="D908" t="s">
        <v>42</v>
      </c>
      <c r="E908">
        <v>757415</v>
      </c>
      <c r="F908" s="1">
        <v>45418</v>
      </c>
      <c r="G908" s="1"/>
      <c r="I908">
        <v>4219</v>
      </c>
      <c r="K908">
        <v>2</v>
      </c>
      <c r="L908">
        <v>3</v>
      </c>
      <c r="M908" t="s">
        <v>37</v>
      </c>
      <c r="N908">
        <v>2007</v>
      </c>
      <c r="O908">
        <v>8</v>
      </c>
      <c r="P908">
        <v>2</v>
      </c>
      <c r="Q908" t="s">
        <v>31</v>
      </c>
      <c r="R908" t="s">
        <v>2262</v>
      </c>
      <c r="S908" t="s">
        <v>33</v>
      </c>
      <c r="T908" t="s">
        <v>2263</v>
      </c>
    </row>
    <row r="909" spans="1:20" ht="16.5" x14ac:dyDescent="0.45">
      <c r="A909">
        <v>1908</v>
      </c>
      <c r="B909" t="s">
        <v>2264</v>
      </c>
      <c r="C909" t="s">
        <v>28</v>
      </c>
      <c r="D909" t="s">
        <v>21</v>
      </c>
      <c r="E909">
        <v>704496</v>
      </c>
      <c r="F909" s="1">
        <v>45512</v>
      </c>
      <c r="G909" s="1">
        <v>45485</v>
      </c>
      <c r="H909">
        <v>742293</v>
      </c>
      <c r="I909">
        <v>3608</v>
      </c>
      <c r="J909" s="5">
        <v>2678193144</v>
      </c>
      <c r="K909">
        <v>2</v>
      </c>
      <c r="L909">
        <v>3</v>
      </c>
      <c r="M909" t="s">
        <v>22</v>
      </c>
      <c r="N909">
        <v>2004</v>
      </c>
      <c r="P909">
        <v>1</v>
      </c>
      <c r="Q909" t="s">
        <v>93</v>
      </c>
      <c r="R909" t="s">
        <v>2265</v>
      </c>
      <c r="S909" t="s">
        <v>25</v>
      </c>
      <c r="T909" t="s">
        <v>125</v>
      </c>
    </row>
    <row r="910" spans="1:20" ht="16.5" x14ac:dyDescent="0.45">
      <c r="A910">
        <v>1909</v>
      </c>
      <c r="B910" t="s">
        <v>2266</v>
      </c>
      <c r="C910" t="s">
        <v>20</v>
      </c>
      <c r="D910" t="s">
        <v>42</v>
      </c>
      <c r="E910">
        <v>600265</v>
      </c>
      <c r="F910" s="1">
        <v>45511</v>
      </c>
      <c r="G910" s="1">
        <v>45281</v>
      </c>
      <c r="H910">
        <v>612767</v>
      </c>
      <c r="I910">
        <v>2255</v>
      </c>
      <c r="J910" s="5">
        <v>1381789585</v>
      </c>
      <c r="K910">
        <v>6</v>
      </c>
      <c r="L910">
        <v>2</v>
      </c>
      <c r="M910" t="s">
        <v>62</v>
      </c>
      <c r="N910">
        <v>2011</v>
      </c>
      <c r="O910">
        <v>2</v>
      </c>
      <c r="P910">
        <v>4</v>
      </c>
      <c r="Q910" t="s">
        <v>43</v>
      </c>
      <c r="R910" t="s">
        <v>2267</v>
      </c>
      <c r="S910" t="s">
        <v>25</v>
      </c>
      <c r="T910" t="s">
        <v>1658</v>
      </c>
    </row>
    <row r="911" spans="1:20" ht="16.5" x14ac:dyDescent="0.45">
      <c r="A911">
        <v>1910</v>
      </c>
      <c r="B911" t="s">
        <v>2268</v>
      </c>
      <c r="C911" t="s">
        <v>28</v>
      </c>
      <c r="D911" t="s">
        <v>21</v>
      </c>
      <c r="E911">
        <v>687023</v>
      </c>
      <c r="F911" s="1">
        <v>45399</v>
      </c>
      <c r="G911" s="1">
        <v>45425</v>
      </c>
      <c r="H911">
        <v>698404</v>
      </c>
      <c r="I911">
        <v>1479</v>
      </c>
      <c r="J911" s="5">
        <v>1032939516</v>
      </c>
      <c r="K911">
        <v>5</v>
      </c>
      <c r="L911">
        <v>5</v>
      </c>
      <c r="M911" t="s">
        <v>22</v>
      </c>
      <c r="N911">
        <v>2012</v>
      </c>
      <c r="P911">
        <v>2</v>
      </c>
      <c r="Q911" t="s">
        <v>31</v>
      </c>
      <c r="R911" t="s">
        <v>2269</v>
      </c>
      <c r="S911" t="s">
        <v>25</v>
      </c>
      <c r="T911" t="s">
        <v>309</v>
      </c>
    </row>
    <row r="912" spans="1:20" ht="16.5" x14ac:dyDescent="0.45">
      <c r="A912">
        <v>1911</v>
      </c>
      <c r="B912" t="s">
        <v>2270</v>
      </c>
      <c r="C912" t="s">
        <v>28</v>
      </c>
      <c r="D912" t="s">
        <v>29</v>
      </c>
      <c r="E912">
        <v>602051</v>
      </c>
      <c r="F912" s="1">
        <v>45505</v>
      </c>
      <c r="G912" s="1"/>
      <c r="I912">
        <v>3764</v>
      </c>
      <c r="K912">
        <v>4</v>
      </c>
      <c r="L912">
        <v>4</v>
      </c>
      <c r="M912" t="s">
        <v>22</v>
      </c>
      <c r="N912">
        <v>2014</v>
      </c>
      <c r="P912">
        <v>1</v>
      </c>
      <c r="Q912" t="s">
        <v>58</v>
      </c>
      <c r="R912" t="s">
        <v>2271</v>
      </c>
      <c r="S912" t="s">
        <v>33</v>
      </c>
      <c r="T912" t="s">
        <v>998</v>
      </c>
    </row>
    <row r="913" spans="1:20" ht="16.5" x14ac:dyDescent="0.45">
      <c r="A913">
        <v>1912</v>
      </c>
      <c r="B913" t="s">
        <v>2272</v>
      </c>
      <c r="C913" t="s">
        <v>36</v>
      </c>
      <c r="D913" t="s">
        <v>42</v>
      </c>
      <c r="E913">
        <v>391643</v>
      </c>
      <c r="F913" s="1">
        <v>45283</v>
      </c>
      <c r="G913" s="1">
        <v>45397</v>
      </c>
      <c r="H913">
        <v>405114</v>
      </c>
      <c r="I913">
        <v>3516</v>
      </c>
      <c r="J913" s="5">
        <v>1424380824</v>
      </c>
      <c r="K913">
        <v>6</v>
      </c>
      <c r="L913">
        <v>5</v>
      </c>
      <c r="M913" t="s">
        <v>37</v>
      </c>
      <c r="N913">
        <v>2001</v>
      </c>
      <c r="O913">
        <v>3</v>
      </c>
      <c r="P913">
        <v>3</v>
      </c>
      <c r="Q913" t="s">
        <v>43</v>
      </c>
      <c r="R913" t="s">
        <v>2273</v>
      </c>
      <c r="S913" t="s">
        <v>25</v>
      </c>
      <c r="T913" t="s">
        <v>2274</v>
      </c>
    </row>
    <row r="914" spans="1:20" ht="16.5" x14ac:dyDescent="0.45">
      <c r="A914">
        <v>1913</v>
      </c>
      <c r="B914" t="s">
        <v>2275</v>
      </c>
      <c r="C914" t="s">
        <v>51</v>
      </c>
      <c r="D914" t="s">
        <v>42</v>
      </c>
      <c r="E914">
        <v>785753</v>
      </c>
      <c r="F914" s="1">
        <v>45427</v>
      </c>
      <c r="G914" s="1">
        <v>45509</v>
      </c>
      <c r="H914">
        <v>813753</v>
      </c>
      <c r="I914">
        <v>3683</v>
      </c>
      <c r="J914" s="5">
        <v>2997052299</v>
      </c>
      <c r="K914">
        <v>2</v>
      </c>
      <c r="L914">
        <v>2</v>
      </c>
      <c r="M914" t="s">
        <v>37</v>
      </c>
      <c r="N914">
        <v>2014</v>
      </c>
      <c r="O914">
        <v>5</v>
      </c>
      <c r="P914">
        <v>2</v>
      </c>
      <c r="Q914" t="s">
        <v>86</v>
      </c>
      <c r="R914" t="s">
        <v>2276</v>
      </c>
      <c r="S914" t="s">
        <v>25</v>
      </c>
      <c r="T914" t="s">
        <v>2277</v>
      </c>
    </row>
    <row r="915" spans="1:20" ht="16.5" x14ac:dyDescent="0.45">
      <c r="A915">
        <v>1914</v>
      </c>
      <c r="B915" t="s">
        <v>2278</v>
      </c>
      <c r="C915" t="s">
        <v>20</v>
      </c>
      <c r="D915" t="s">
        <v>42</v>
      </c>
      <c r="E915">
        <v>313203</v>
      </c>
      <c r="F915" s="1">
        <v>45379</v>
      </c>
      <c r="G915" s="1">
        <v>45544</v>
      </c>
      <c r="H915">
        <v>344403</v>
      </c>
      <c r="I915">
        <v>3035</v>
      </c>
      <c r="J915" s="5">
        <v>1045263105</v>
      </c>
      <c r="K915">
        <v>4</v>
      </c>
      <c r="L915">
        <v>5</v>
      </c>
      <c r="M915" t="s">
        <v>30</v>
      </c>
      <c r="N915">
        <v>2014</v>
      </c>
      <c r="O915">
        <v>5</v>
      </c>
      <c r="P915">
        <v>1</v>
      </c>
      <c r="Q915" t="s">
        <v>58</v>
      </c>
      <c r="R915" t="s">
        <v>2279</v>
      </c>
      <c r="S915" t="s">
        <v>25</v>
      </c>
      <c r="T915" t="s">
        <v>88</v>
      </c>
    </row>
    <row r="916" spans="1:20" ht="16.5" x14ac:dyDescent="0.45">
      <c r="A916">
        <v>1915</v>
      </c>
      <c r="B916" t="s">
        <v>2280</v>
      </c>
      <c r="C916" t="s">
        <v>20</v>
      </c>
      <c r="D916" t="s">
        <v>21</v>
      </c>
      <c r="E916">
        <v>535999</v>
      </c>
      <c r="F916" s="1">
        <v>45368</v>
      </c>
      <c r="G916" s="1"/>
      <c r="I916">
        <v>3453</v>
      </c>
      <c r="K916">
        <v>6</v>
      </c>
      <c r="L916">
        <v>4</v>
      </c>
      <c r="M916" t="s">
        <v>37</v>
      </c>
      <c r="N916">
        <v>2020</v>
      </c>
      <c r="O916">
        <v>1</v>
      </c>
      <c r="P916">
        <v>3</v>
      </c>
      <c r="Q916" t="s">
        <v>75</v>
      </c>
      <c r="R916" t="s">
        <v>2281</v>
      </c>
      <c r="S916" t="s">
        <v>33</v>
      </c>
      <c r="T916" t="s">
        <v>665</v>
      </c>
    </row>
    <row r="917" spans="1:20" ht="16.5" x14ac:dyDescent="0.45">
      <c r="A917">
        <v>1916</v>
      </c>
      <c r="B917" t="s">
        <v>2282</v>
      </c>
      <c r="C917" t="s">
        <v>36</v>
      </c>
      <c r="D917" t="s">
        <v>29</v>
      </c>
      <c r="E917">
        <v>892007</v>
      </c>
      <c r="F917" s="1">
        <v>45526</v>
      </c>
      <c r="G917" s="1"/>
      <c r="I917">
        <v>2613</v>
      </c>
      <c r="K917">
        <v>3</v>
      </c>
      <c r="L917">
        <v>5</v>
      </c>
      <c r="M917" t="s">
        <v>62</v>
      </c>
      <c r="N917">
        <v>2006</v>
      </c>
      <c r="O917">
        <v>5</v>
      </c>
      <c r="P917">
        <v>2</v>
      </c>
      <c r="Q917" t="s">
        <v>86</v>
      </c>
      <c r="R917" t="s">
        <v>2283</v>
      </c>
      <c r="S917" t="s">
        <v>33</v>
      </c>
      <c r="T917" t="s">
        <v>304</v>
      </c>
    </row>
    <row r="918" spans="1:20" ht="16.5" x14ac:dyDescent="0.45">
      <c r="A918">
        <v>1917</v>
      </c>
      <c r="B918" t="s">
        <v>2284</v>
      </c>
      <c r="C918" t="s">
        <v>20</v>
      </c>
      <c r="D918" t="s">
        <v>21</v>
      </c>
      <c r="E918">
        <v>719539</v>
      </c>
      <c r="F918" s="1">
        <v>45538</v>
      </c>
      <c r="G918" s="1"/>
      <c r="I918">
        <v>3346</v>
      </c>
      <c r="K918">
        <v>6</v>
      </c>
      <c r="L918">
        <v>4</v>
      </c>
      <c r="M918" t="s">
        <v>37</v>
      </c>
      <c r="N918">
        <v>2001</v>
      </c>
      <c r="O918">
        <v>6</v>
      </c>
      <c r="P918">
        <v>4</v>
      </c>
      <c r="Q918" t="s">
        <v>31</v>
      </c>
      <c r="R918" t="s">
        <v>1991</v>
      </c>
      <c r="S918" t="s">
        <v>33</v>
      </c>
      <c r="T918" t="s">
        <v>70</v>
      </c>
    </row>
    <row r="919" spans="1:20" ht="16.5" x14ac:dyDescent="0.45">
      <c r="A919">
        <v>1918</v>
      </c>
      <c r="B919" t="s">
        <v>2285</v>
      </c>
      <c r="C919" t="s">
        <v>36</v>
      </c>
      <c r="D919" t="s">
        <v>21</v>
      </c>
      <c r="E919">
        <v>870862</v>
      </c>
      <c r="F919" s="1">
        <v>45517</v>
      </c>
      <c r="G919" s="1"/>
      <c r="I919">
        <v>1431</v>
      </c>
      <c r="K919">
        <v>4</v>
      </c>
      <c r="L919">
        <v>5</v>
      </c>
      <c r="M919" t="s">
        <v>37</v>
      </c>
      <c r="N919">
        <v>2023</v>
      </c>
      <c r="O919">
        <v>3</v>
      </c>
      <c r="P919">
        <v>3</v>
      </c>
      <c r="Q919" t="s">
        <v>58</v>
      </c>
      <c r="R919" t="s">
        <v>2286</v>
      </c>
      <c r="S919" t="s">
        <v>33</v>
      </c>
      <c r="T919" t="s">
        <v>1340</v>
      </c>
    </row>
    <row r="920" spans="1:20" ht="16.5" x14ac:dyDescent="0.45">
      <c r="A920">
        <v>1919</v>
      </c>
      <c r="B920" t="s">
        <v>2287</v>
      </c>
      <c r="C920" t="s">
        <v>20</v>
      </c>
      <c r="D920" t="s">
        <v>42</v>
      </c>
      <c r="E920">
        <v>953677</v>
      </c>
      <c r="F920" s="1">
        <v>45463</v>
      </c>
      <c r="G920" s="1">
        <v>45576</v>
      </c>
      <c r="H920">
        <v>973134</v>
      </c>
      <c r="I920">
        <v>4394</v>
      </c>
      <c r="J920" s="5">
        <v>4275950796</v>
      </c>
      <c r="K920">
        <v>3</v>
      </c>
      <c r="L920">
        <v>2</v>
      </c>
      <c r="M920" t="s">
        <v>22</v>
      </c>
      <c r="N920">
        <v>2007</v>
      </c>
      <c r="P920">
        <v>3</v>
      </c>
      <c r="Q920" t="s">
        <v>162</v>
      </c>
      <c r="R920" t="s">
        <v>2288</v>
      </c>
      <c r="S920" t="s">
        <v>25</v>
      </c>
      <c r="T920" t="s">
        <v>2289</v>
      </c>
    </row>
    <row r="921" spans="1:20" ht="16.5" x14ac:dyDescent="0.45">
      <c r="A921">
        <v>1920</v>
      </c>
      <c r="B921" t="s">
        <v>2290</v>
      </c>
      <c r="C921" t="s">
        <v>47</v>
      </c>
      <c r="D921" t="s">
        <v>21</v>
      </c>
      <c r="E921">
        <v>406160</v>
      </c>
      <c r="F921" s="1">
        <v>45579</v>
      </c>
      <c r="G921" s="1">
        <v>45543</v>
      </c>
      <c r="H921">
        <v>428067</v>
      </c>
      <c r="I921">
        <v>4119</v>
      </c>
      <c r="J921" s="5">
        <v>1763207973</v>
      </c>
      <c r="K921">
        <v>6</v>
      </c>
      <c r="L921">
        <v>4</v>
      </c>
      <c r="M921" t="s">
        <v>62</v>
      </c>
      <c r="N921">
        <v>2005</v>
      </c>
      <c r="O921">
        <v>6</v>
      </c>
      <c r="P921">
        <v>1</v>
      </c>
      <c r="Q921" t="s">
        <v>132</v>
      </c>
      <c r="R921" t="s">
        <v>2291</v>
      </c>
      <c r="S921" t="s">
        <v>25</v>
      </c>
      <c r="T921" t="s">
        <v>40</v>
      </c>
    </row>
    <row r="922" spans="1:20" ht="16.5" x14ac:dyDescent="0.45">
      <c r="A922">
        <v>1921</v>
      </c>
      <c r="B922" t="s">
        <v>2292</v>
      </c>
      <c r="C922" t="s">
        <v>20</v>
      </c>
      <c r="D922" t="s">
        <v>29</v>
      </c>
      <c r="E922">
        <v>418466</v>
      </c>
      <c r="F922" s="1">
        <v>45386</v>
      </c>
      <c r="G922" s="1"/>
      <c r="I922">
        <v>2082</v>
      </c>
      <c r="K922">
        <v>3</v>
      </c>
      <c r="L922">
        <v>2</v>
      </c>
      <c r="M922" t="s">
        <v>62</v>
      </c>
      <c r="N922">
        <v>2001</v>
      </c>
      <c r="O922">
        <v>6</v>
      </c>
      <c r="P922">
        <v>2</v>
      </c>
      <c r="Q922" t="s">
        <v>162</v>
      </c>
      <c r="R922" t="s">
        <v>2293</v>
      </c>
      <c r="S922" t="s">
        <v>33</v>
      </c>
      <c r="T922" t="s">
        <v>137</v>
      </c>
    </row>
    <row r="923" spans="1:20" ht="16.5" x14ac:dyDescent="0.45">
      <c r="A923">
        <v>1922</v>
      </c>
      <c r="B923" t="s">
        <v>2294</v>
      </c>
      <c r="C923" t="s">
        <v>20</v>
      </c>
      <c r="D923" t="s">
        <v>21</v>
      </c>
      <c r="E923">
        <v>629847</v>
      </c>
      <c r="F923" s="1">
        <v>45588</v>
      </c>
      <c r="G923" s="1"/>
      <c r="I923">
        <v>1332</v>
      </c>
      <c r="K923">
        <v>5</v>
      </c>
      <c r="L923">
        <v>2</v>
      </c>
      <c r="M923" t="s">
        <v>30</v>
      </c>
      <c r="N923">
        <v>2018</v>
      </c>
      <c r="O923">
        <v>9</v>
      </c>
      <c r="P923">
        <v>3</v>
      </c>
      <c r="Q923" t="s">
        <v>43</v>
      </c>
      <c r="R923" t="s">
        <v>2295</v>
      </c>
      <c r="S923" t="s">
        <v>33</v>
      </c>
      <c r="T923" t="s">
        <v>1314</v>
      </c>
    </row>
    <row r="924" spans="1:20" ht="16.5" x14ac:dyDescent="0.45">
      <c r="A924">
        <v>1923</v>
      </c>
      <c r="B924" t="s">
        <v>2296</v>
      </c>
      <c r="C924" t="s">
        <v>36</v>
      </c>
      <c r="D924" t="s">
        <v>42</v>
      </c>
      <c r="E924">
        <v>643508</v>
      </c>
      <c r="F924" s="1">
        <v>45544</v>
      </c>
      <c r="G924" s="1">
        <v>45389</v>
      </c>
      <c r="H924">
        <v>663240</v>
      </c>
      <c r="I924">
        <v>1253</v>
      </c>
      <c r="J924" s="5">
        <v>831039720</v>
      </c>
      <c r="K924">
        <v>3</v>
      </c>
      <c r="L924">
        <v>3</v>
      </c>
      <c r="M924" t="s">
        <v>22</v>
      </c>
      <c r="N924">
        <v>2023</v>
      </c>
      <c r="P924">
        <v>3</v>
      </c>
      <c r="Q924" t="s">
        <v>23</v>
      </c>
      <c r="R924" t="s">
        <v>2297</v>
      </c>
      <c r="S924" t="s">
        <v>25</v>
      </c>
      <c r="T924" t="s">
        <v>2298</v>
      </c>
    </row>
    <row r="925" spans="1:20" ht="16.5" x14ac:dyDescent="0.45">
      <c r="A925">
        <v>1924</v>
      </c>
      <c r="B925" t="s">
        <v>2299</v>
      </c>
      <c r="C925" t="s">
        <v>36</v>
      </c>
      <c r="D925" t="s">
        <v>21</v>
      </c>
      <c r="E925">
        <v>394521</v>
      </c>
      <c r="F925" s="1">
        <v>45348</v>
      </c>
      <c r="G925" s="1"/>
      <c r="I925">
        <v>1692</v>
      </c>
      <c r="K925">
        <v>5</v>
      </c>
      <c r="L925">
        <v>4</v>
      </c>
      <c r="M925" t="s">
        <v>30</v>
      </c>
      <c r="N925">
        <v>2019</v>
      </c>
      <c r="O925">
        <v>1</v>
      </c>
      <c r="P925">
        <v>3</v>
      </c>
      <c r="Q925" t="s">
        <v>75</v>
      </c>
      <c r="R925" t="s">
        <v>921</v>
      </c>
      <c r="S925" t="s">
        <v>33</v>
      </c>
      <c r="T925" t="s">
        <v>344</v>
      </c>
    </row>
    <row r="926" spans="1:20" ht="16.5" x14ac:dyDescent="0.45">
      <c r="A926">
        <v>1925</v>
      </c>
      <c r="B926" t="s">
        <v>2300</v>
      </c>
      <c r="C926" t="s">
        <v>51</v>
      </c>
      <c r="D926" t="s">
        <v>42</v>
      </c>
      <c r="E926">
        <v>870093</v>
      </c>
      <c r="F926" s="1">
        <v>45346</v>
      </c>
      <c r="G926" s="1">
        <v>45479</v>
      </c>
      <c r="H926">
        <v>892449</v>
      </c>
      <c r="I926">
        <v>3903</v>
      </c>
      <c r="J926" s="5">
        <v>3483228447</v>
      </c>
      <c r="K926">
        <v>5</v>
      </c>
      <c r="L926">
        <v>4</v>
      </c>
      <c r="M926" t="s">
        <v>37</v>
      </c>
      <c r="N926">
        <v>2013</v>
      </c>
      <c r="O926">
        <v>9</v>
      </c>
      <c r="P926">
        <v>4</v>
      </c>
      <c r="Q926" t="s">
        <v>38</v>
      </c>
      <c r="R926" t="s">
        <v>2301</v>
      </c>
      <c r="S926" t="s">
        <v>25</v>
      </c>
      <c r="T926" t="s">
        <v>2302</v>
      </c>
    </row>
    <row r="927" spans="1:20" ht="16.5" x14ac:dyDescent="0.45">
      <c r="A927">
        <v>1926</v>
      </c>
      <c r="B927" t="s">
        <v>2303</v>
      </c>
      <c r="C927" t="s">
        <v>20</v>
      </c>
      <c r="D927" t="s">
        <v>21</v>
      </c>
      <c r="E927">
        <v>862375</v>
      </c>
      <c r="F927" s="1">
        <v>45324</v>
      </c>
      <c r="G927" s="1">
        <v>45412</v>
      </c>
      <c r="H927">
        <v>877747</v>
      </c>
      <c r="I927">
        <v>3471</v>
      </c>
      <c r="J927" s="5">
        <v>3046659837</v>
      </c>
      <c r="K927">
        <v>3</v>
      </c>
      <c r="L927">
        <v>4</v>
      </c>
      <c r="M927" t="s">
        <v>22</v>
      </c>
      <c r="N927">
        <v>2007</v>
      </c>
      <c r="P927">
        <v>4</v>
      </c>
      <c r="Q927" t="s">
        <v>132</v>
      </c>
      <c r="R927" t="s">
        <v>2304</v>
      </c>
      <c r="S927" t="s">
        <v>25</v>
      </c>
      <c r="T927" t="s">
        <v>2305</v>
      </c>
    </row>
    <row r="928" spans="1:20" ht="16.5" x14ac:dyDescent="0.45">
      <c r="A928">
        <v>1927</v>
      </c>
      <c r="B928" t="s">
        <v>2306</v>
      </c>
      <c r="C928" t="s">
        <v>51</v>
      </c>
      <c r="D928" t="s">
        <v>21</v>
      </c>
      <c r="E928">
        <v>404208</v>
      </c>
      <c r="F928" s="1">
        <v>45384</v>
      </c>
      <c r="G928" s="1"/>
      <c r="I928">
        <v>3818</v>
      </c>
      <c r="K928">
        <v>4</v>
      </c>
      <c r="L928">
        <v>4</v>
      </c>
      <c r="M928" t="s">
        <v>62</v>
      </c>
      <c r="N928">
        <v>2017</v>
      </c>
      <c r="O928">
        <v>10</v>
      </c>
      <c r="P928">
        <v>3</v>
      </c>
      <c r="Q928" t="s">
        <v>132</v>
      </c>
      <c r="R928" t="s">
        <v>2307</v>
      </c>
      <c r="S928" t="s">
        <v>33</v>
      </c>
      <c r="T928" t="s">
        <v>180</v>
      </c>
    </row>
    <row r="929" spans="1:20" ht="16.5" x14ac:dyDescent="0.45">
      <c r="A929">
        <v>1928</v>
      </c>
      <c r="B929" t="s">
        <v>2308</v>
      </c>
      <c r="C929" t="s">
        <v>20</v>
      </c>
      <c r="D929" t="s">
        <v>42</v>
      </c>
      <c r="E929">
        <v>543606</v>
      </c>
      <c r="F929" s="1">
        <v>45607</v>
      </c>
      <c r="G929" s="1"/>
      <c r="I929">
        <v>3512</v>
      </c>
      <c r="K929">
        <v>5</v>
      </c>
      <c r="L929">
        <v>4</v>
      </c>
      <c r="M929" t="s">
        <v>62</v>
      </c>
      <c r="N929">
        <v>2019</v>
      </c>
      <c r="O929">
        <v>1</v>
      </c>
      <c r="P929">
        <v>1</v>
      </c>
      <c r="Q929" t="s">
        <v>132</v>
      </c>
      <c r="R929" t="s">
        <v>2309</v>
      </c>
      <c r="S929" t="s">
        <v>33</v>
      </c>
      <c r="T929" t="s">
        <v>2310</v>
      </c>
    </row>
    <row r="930" spans="1:20" ht="16.5" x14ac:dyDescent="0.45">
      <c r="A930">
        <v>1929</v>
      </c>
      <c r="B930" t="s">
        <v>2311</v>
      </c>
      <c r="C930" t="s">
        <v>28</v>
      </c>
      <c r="D930" t="s">
        <v>29</v>
      </c>
      <c r="E930">
        <v>787401</v>
      </c>
      <c r="F930" s="1">
        <v>45593</v>
      </c>
      <c r="G930" s="1">
        <v>45367</v>
      </c>
      <c r="H930">
        <v>814920</v>
      </c>
      <c r="I930">
        <v>4124</v>
      </c>
      <c r="J930" s="5">
        <v>3360730080</v>
      </c>
      <c r="K930">
        <v>2</v>
      </c>
      <c r="L930">
        <v>5</v>
      </c>
      <c r="M930" t="s">
        <v>62</v>
      </c>
      <c r="N930">
        <v>2005</v>
      </c>
      <c r="O930">
        <v>3</v>
      </c>
      <c r="P930">
        <v>4</v>
      </c>
      <c r="Q930" t="s">
        <v>86</v>
      </c>
      <c r="R930" t="s">
        <v>2312</v>
      </c>
      <c r="S930" t="s">
        <v>25</v>
      </c>
      <c r="T930" t="s">
        <v>164</v>
      </c>
    </row>
    <row r="931" spans="1:20" ht="16.5" x14ac:dyDescent="0.45">
      <c r="A931">
        <v>1930</v>
      </c>
      <c r="B931" t="s">
        <v>2313</v>
      </c>
      <c r="C931" t="s">
        <v>20</v>
      </c>
      <c r="D931" t="s">
        <v>42</v>
      </c>
      <c r="E931">
        <v>447218</v>
      </c>
      <c r="F931" s="1">
        <v>45278</v>
      </c>
      <c r="G931" s="1"/>
      <c r="I931">
        <v>1699</v>
      </c>
      <c r="K931">
        <v>2</v>
      </c>
      <c r="L931">
        <v>2</v>
      </c>
      <c r="M931" t="s">
        <v>30</v>
      </c>
      <c r="N931">
        <v>2011</v>
      </c>
      <c r="O931">
        <v>8</v>
      </c>
      <c r="P931">
        <v>4</v>
      </c>
      <c r="Q931" t="s">
        <v>38</v>
      </c>
      <c r="R931" t="s">
        <v>2314</v>
      </c>
      <c r="S931" t="s">
        <v>33</v>
      </c>
      <c r="T931" t="s">
        <v>2315</v>
      </c>
    </row>
    <row r="932" spans="1:20" ht="16.5" x14ac:dyDescent="0.45">
      <c r="A932">
        <v>1931</v>
      </c>
      <c r="B932" t="s">
        <v>2316</v>
      </c>
      <c r="C932" t="s">
        <v>20</v>
      </c>
      <c r="D932" t="s">
        <v>42</v>
      </c>
      <c r="E932">
        <v>404839</v>
      </c>
      <c r="F932" s="1">
        <v>45494</v>
      </c>
      <c r="G932" s="1">
        <v>45616</v>
      </c>
      <c r="H932">
        <v>447064</v>
      </c>
      <c r="I932">
        <v>3857</v>
      </c>
      <c r="J932" s="5">
        <v>1724325848</v>
      </c>
      <c r="K932">
        <v>4</v>
      </c>
      <c r="L932">
        <v>4</v>
      </c>
      <c r="M932" t="s">
        <v>30</v>
      </c>
      <c r="N932">
        <v>2006</v>
      </c>
      <c r="O932">
        <v>2</v>
      </c>
      <c r="P932">
        <v>1</v>
      </c>
      <c r="Q932" t="s">
        <v>93</v>
      </c>
      <c r="R932" t="s">
        <v>2317</v>
      </c>
      <c r="S932" t="s">
        <v>25</v>
      </c>
      <c r="T932" t="s">
        <v>1487</v>
      </c>
    </row>
    <row r="933" spans="1:20" ht="16.5" x14ac:dyDescent="0.45">
      <c r="A933">
        <v>1932</v>
      </c>
      <c r="B933" t="s">
        <v>2318</v>
      </c>
      <c r="C933" t="s">
        <v>47</v>
      </c>
      <c r="D933" t="s">
        <v>29</v>
      </c>
      <c r="E933">
        <v>373492</v>
      </c>
      <c r="F933" s="1">
        <v>45474</v>
      </c>
      <c r="G933" s="1"/>
      <c r="I933">
        <v>1633</v>
      </c>
      <c r="K933">
        <v>6</v>
      </c>
      <c r="L933">
        <v>5</v>
      </c>
      <c r="M933" t="s">
        <v>37</v>
      </c>
      <c r="N933">
        <v>2008</v>
      </c>
      <c r="O933">
        <v>1</v>
      </c>
      <c r="P933">
        <v>1</v>
      </c>
      <c r="Q933" t="s">
        <v>23</v>
      </c>
      <c r="R933" t="s">
        <v>2319</v>
      </c>
      <c r="S933" t="s">
        <v>33</v>
      </c>
      <c r="T933" t="s">
        <v>73</v>
      </c>
    </row>
    <row r="934" spans="1:20" ht="16.5" x14ac:dyDescent="0.45">
      <c r="A934">
        <v>1933</v>
      </c>
      <c r="B934" t="s">
        <v>2320</v>
      </c>
      <c r="C934" t="s">
        <v>36</v>
      </c>
      <c r="D934" t="s">
        <v>29</v>
      </c>
      <c r="E934">
        <v>809778</v>
      </c>
      <c r="F934" s="1">
        <v>45324</v>
      </c>
      <c r="G934" s="1">
        <v>45569</v>
      </c>
      <c r="H934">
        <v>821797</v>
      </c>
      <c r="I934">
        <v>2934</v>
      </c>
      <c r="J934" s="5">
        <v>2411152398</v>
      </c>
      <c r="K934">
        <v>5</v>
      </c>
      <c r="L934">
        <v>5</v>
      </c>
      <c r="M934" t="s">
        <v>62</v>
      </c>
      <c r="N934">
        <v>2000</v>
      </c>
      <c r="O934">
        <v>5</v>
      </c>
      <c r="P934">
        <v>3</v>
      </c>
      <c r="Q934" t="s">
        <v>86</v>
      </c>
      <c r="R934" t="s">
        <v>2321</v>
      </c>
      <c r="S934" t="s">
        <v>25</v>
      </c>
      <c r="T934" t="s">
        <v>40</v>
      </c>
    </row>
    <row r="935" spans="1:20" ht="16.5" x14ac:dyDescent="0.45">
      <c r="A935">
        <v>1934</v>
      </c>
      <c r="B935" t="s">
        <v>2322</v>
      </c>
      <c r="C935" t="s">
        <v>47</v>
      </c>
      <c r="D935" t="s">
        <v>42</v>
      </c>
      <c r="E935">
        <v>483803</v>
      </c>
      <c r="F935" s="1">
        <v>45396</v>
      </c>
      <c r="G935" s="1">
        <v>45295</v>
      </c>
      <c r="H935">
        <v>515782</v>
      </c>
      <c r="I935">
        <v>1351</v>
      </c>
      <c r="J935" s="5">
        <v>696821482</v>
      </c>
      <c r="K935">
        <v>5</v>
      </c>
      <c r="L935">
        <v>2</v>
      </c>
      <c r="M935" t="s">
        <v>22</v>
      </c>
      <c r="N935">
        <v>2000</v>
      </c>
      <c r="P935">
        <v>3</v>
      </c>
      <c r="Q935" t="s">
        <v>162</v>
      </c>
      <c r="R935" t="s">
        <v>2323</v>
      </c>
      <c r="S935" t="s">
        <v>25</v>
      </c>
      <c r="T935" t="s">
        <v>183</v>
      </c>
    </row>
    <row r="936" spans="1:20" ht="16.5" x14ac:dyDescent="0.45">
      <c r="A936">
        <v>1935</v>
      </c>
      <c r="B936" t="s">
        <v>2324</v>
      </c>
      <c r="C936" t="s">
        <v>28</v>
      </c>
      <c r="D936" t="s">
        <v>42</v>
      </c>
      <c r="E936">
        <v>486220</v>
      </c>
      <c r="F936" s="1">
        <v>45579</v>
      </c>
      <c r="G936" s="1">
        <v>45540</v>
      </c>
      <c r="H936">
        <v>519668</v>
      </c>
      <c r="I936">
        <v>4905</v>
      </c>
      <c r="J936" s="5">
        <v>2548971540</v>
      </c>
      <c r="K936">
        <v>2</v>
      </c>
      <c r="L936">
        <v>2</v>
      </c>
      <c r="M936" t="s">
        <v>30</v>
      </c>
      <c r="N936">
        <v>2002</v>
      </c>
      <c r="O936">
        <v>8</v>
      </c>
      <c r="P936">
        <v>3</v>
      </c>
      <c r="Q936" t="s">
        <v>38</v>
      </c>
      <c r="R936" t="s">
        <v>2325</v>
      </c>
      <c r="S936" t="s">
        <v>25</v>
      </c>
      <c r="T936" t="s">
        <v>158</v>
      </c>
    </row>
    <row r="937" spans="1:20" ht="16.5" x14ac:dyDescent="0.45">
      <c r="A937">
        <v>1936</v>
      </c>
      <c r="B937" t="s">
        <v>2326</v>
      </c>
      <c r="C937" t="s">
        <v>20</v>
      </c>
      <c r="D937" t="s">
        <v>21</v>
      </c>
      <c r="E937">
        <v>365465</v>
      </c>
      <c r="F937" s="1">
        <v>45575</v>
      </c>
      <c r="G937" s="1"/>
      <c r="I937">
        <v>3659</v>
      </c>
      <c r="K937">
        <v>2</v>
      </c>
      <c r="L937">
        <v>3</v>
      </c>
      <c r="M937" t="s">
        <v>22</v>
      </c>
      <c r="N937">
        <v>2007</v>
      </c>
      <c r="P937">
        <v>1</v>
      </c>
      <c r="Q937" t="s">
        <v>132</v>
      </c>
      <c r="R937" t="s">
        <v>2327</v>
      </c>
      <c r="S937" t="s">
        <v>33</v>
      </c>
      <c r="T937" t="s">
        <v>2328</v>
      </c>
    </row>
    <row r="938" spans="1:20" ht="16.5" x14ac:dyDescent="0.45">
      <c r="A938">
        <v>1937</v>
      </c>
      <c r="B938" t="s">
        <v>2329</v>
      </c>
      <c r="C938" t="s">
        <v>28</v>
      </c>
      <c r="D938" t="s">
        <v>21</v>
      </c>
      <c r="E938">
        <v>571409</v>
      </c>
      <c r="F938" s="1">
        <v>45278</v>
      </c>
      <c r="G938" s="1"/>
      <c r="I938">
        <v>4764</v>
      </c>
      <c r="K938">
        <v>5</v>
      </c>
      <c r="L938">
        <v>2</v>
      </c>
      <c r="M938" t="s">
        <v>22</v>
      </c>
      <c r="N938">
        <v>2000</v>
      </c>
      <c r="P938">
        <v>4</v>
      </c>
      <c r="Q938" t="s">
        <v>93</v>
      </c>
      <c r="R938" t="s">
        <v>2330</v>
      </c>
      <c r="S938" t="s">
        <v>33</v>
      </c>
      <c r="T938" t="s">
        <v>2331</v>
      </c>
    </row>
    <row r="939" spans="1:20" ht="16.5" x14ac:dyDescent="0.45">
      <c r="A939">
        <v>1938</v>
      </c>
      <c r="B939" t="s">
        <v>2332</v>
      </c>
      <c r="C939" t="s">
        <v>47</v>
      </c>
      <c r="D939" t="s">
        <v>42</v>
      </c>
      <c r="E939">
        <v>855832</v>
      </c>
      <c r="F939" s="1">
        <v>45610</v>
      </c>
      <c r="G939" s="1">
        <v>45386</v>
      </c>
      <c r="H939">
        <v>873350</v>
      </c>
      <c r="I939">
        <v>4023</v>
      </c>
      <c r="J939" s="5">
        <v>3513487050</v>
      </c>
      <c r="K939">
        <v>6</v>
      </c>
      <c r="L939">
        <v>5</v>
      </c>
      <c r="M939" t="s">
        <v>30</v>
      </c>
      <c r="N939">
        <v>2018</v>
      </c>
      <c r="O939">
        <v>1</v>
      </c>
      <c r="P939">
        <v>2</v>
      </c>
      <c r="Q939" t="s">
        <v>58</v>
      </c>
      <c r="R939" t="s">
        <v>2333</v>
      </c>
      <c r="S939" t="s">
        <v>25</v>
      </c>
      <c r="T939" t="s">
        <v>110</v>
      </c>
    </row>
    <row r="940" spans="1:20" ht="16.5" x14ac:dyDescent="0.45">
      <c r="A940">
        <v>1939</v>
      </c>
      <c r="B940" t="s">
        <v>2334</v>
      </c>
      <c r="C940" t="s">
        <v>51</v>
      </c>
      <c r="D940" t="s">
        <v>29</v>
      </c>
      <c r="E940">
        <v>818208</v>
      </c>
      <c r="F940" s="1">
        <v>45484</v>
      </c>
      <c r="G940" s="1">
        <v>45446</v>
      </c>
      <c r="H940">
        <v>846992</v>
      </c>
      <c r="I940">
        <v>2639</v>
      </c>
      <c r="J940" s="5">
        <v>2235211888</v>
      </c>
      <c r="K940">
        <v>4</v>
      </c>
      <c r="L940">
        <v>2</v>
      </c>
      <c r="M940" t="s">
        <v>62</v>
      </c>
      <c r="N940">
        <v>2007</v>
      </c>
      <c r="O940">
        <v>3</v>
      </c>
      <c r="P940">
        <v>4</v>
      </c>
      <c r="Q940" t="s">
        <v>38</v>
      </c>
      <c r="R940" t="s">
        <v>2335</v>
      </c>
      <c r="S940" t="s">
        <v>25</v>
      </c>
      <c r="T940" t="s">
        <v>2336</v>
      </c>
    </row>
    <row r="941" spans="1:20" ht="16.5" x14ac:dyDescent="0.45">
      <c r="A941">
        <v>1940</v>
      </c>
      <c r="B941" t="s">
        <v>2337</v>
      </c>
      <c r="C941" t="s">
        <v>36</v>
      </c>
      <c r="D941" t="s">
        <v>21</v>
      </c>
      <c r="E941">
        <v>446003</v>
      </c>
      <c r="F941" s="1">
        <v>45403</v>
      </c>
      <c r="G941" s="1"/>
      <c r="I941">
        <v>1829</v>
      </c>
      <c r="K941">
        <v>4</v>
      </c>
      <c r="L941">
        <v>3</v>
      </c>
      <c r="M941" t="s">
        <v>22</v>
      </c>
      <c r="N941">
        <v>2017</v>
      </c>
      <c r="P941">
        <v>3</v>
      </c>
      <c r="Q941" t="s">
        <v>43</v>
      </c>
      <c r="R941" t="s">
        <v>2338</v>
      </c>
      <c r="S941" t="s">
        <v>33</v>
      </c>
      <c r="T941" t="s">
        <v>2339</v>
      </c>
    </row>
    <row r="942" spans="1:20" ht="16.5" x14ac:dyDescent="0.45">
      <c r="A942">
        <v>1941</v>
      </c>
      <c r="B942" t="s">
        <v>2340</v>
      </c>
      <c r="C942" t="s">
        <v>20</v>
      </c>
      <c r="D942" t="s">
        <v>21</v>
      </c>
      <c r="E942">
        <v>301585</v>
      </c>
      <c r="F942" s="1">
        <v>45554</v>
      </c>
      <c r="G942" s="1"/>
      <c r="I942">
        <v>1637</v>
      </c>
      <c r="K942">
        <v>6</v>
      </c>
      <c r="L942">
        <v>4</v>
      </c>
      <c r="M942" t="s">
        <v>22</v>
      </c>
      <c r="N942">
        <v>2018</v>
      </c>
      <c r="P942">
        <v>4</v>
      </c>
      <c r="Q942" t="s">
        <v>43</v>
      </c>
      <c r="R942" t="s">
        <v>2341</v>
      </c>
      <c r="S942" t="s">
        <v>33</v>
      </c>
      <c r="T942" t="s">
        <v>2342</v>
      </c>
    </row>
    <row r="943" spans="1:20" ht="16.5" x14ac:dyDescent="0.45">
      <c r="A943">
        <v>1942</v>
      </c>
      <c r="B943" t="s">
        <v>2343</v>
      </c>
      <c r="C943" t="s">
        <v>51</v>
      </c>
      <c r="D943" t="s">
        <v>21</v>
      </c>
      <c r="E943">
        <v>842414</v>
      </c>
      <c r="F943" s="1">
        <v>45409</v>
      </c>
      <c r="G943" s="1"/>
      <c r="I943">
        <v>1984</v>
      </c>
      <c r="K943">
        <v>2</v>
      </c>
      <c r="L943">
        <v>4</v>
      </c>
      <c r="M943" t="s">
        <v>22</v>
      </c>
      <c r="N943">
        <v>2008</v>
      </c>
      <c r="P943">
        <v>1</v>
      </c>
      <c r="Q943" t="s">
        <v>23</v>
      </c>
      <c r="R943" t="s">
        <v>2344</v>
      </c>
      <c r="S943" t="s">
        <v>33</v>
      </c>
      <c r="T943" t="s">
        <v>695</v>
      </c>
    </row>
    <row r="944" spans="1:20" ht="16.5" x14ac:dyDescent="0.45">
      <c r="A944">
        <v>1943</v>
      </c>
      <c r="B944" t="s">
        <v>2345</v>
      </c>
      <c r="C944" t="s">
        <v>36</v>
      </c>
      <c r="D944" t="s">
        <v>21</v>
      </c>
      <c r="E944">
        <v>806797</v>
      </c>
      <c r="F944" s="1">
        <v>45329</v>
      </c>
      <c r="G944" s="1">
        <v>45342</v>
      </c>
      <c r="H944">
        <v>827330</v>
      </c>
      <c r="I944">
        <v>3252</v>
      </c>
      <c r="J944" s="5">
        <v>2690477160</v>
      </c>
      <c r="K944">
        <v>3</v>
      </c>
      <c r="L944">
        <v>4</v>
      </c>
      <c r="M944" t="s">
        <v>30</v>
      </c>
      <c r="N944">
        <v>2002</v>
      </c>
      <c r="O944">
        <v>2</v>
      </c>
      <c r="P944">
        <v>3</v>
      </c>
      <c r="Q944" t="s">
        <v>31</v>
      </c>
      <c r="R944" t="s">
        <v>2346</v>
      </c>
      <c r="S944" t="s">
        <v>25</v>
      </c>
      <c r="T944" t="s">
        <v>2347</v>
      </c>
    </row>
    <row r="945" spans="1:20" ht="16.5" x14ac:dyDescent="0.45">
      <c r="A945">
        <v>1944</v>
      </c>
      <c r="B945" t="s">
        <v>2348</v>
      </c>
      <c r="C945" t="s">
        <v>28</v>
      </c>
      <c r="D945" t="s">
        <v>21</v>
      </c>
      <c r="E945">
        <v>472466</v>
      </c>
      <c r="F945" s="1">
        <v>45628</v>
      </c>
      <c r="G945" s="1">
        <v>45441</v>
      </c>
      <c r="H945">
        <v>484151</v>
      </c>
      <c r="I945">
        <v>3539</v>
      </c>
      <c r="J945" s="5">
        <v>1713410389</v>
      </c>
      <c r="K945">
        <v>5</v>
      </c>
      <c r="L945">
        <v>5</v>
      </c>
      <c r="M945" t="s">
        <v>30</v>
      </c>
      <c r="N945">
        <v>2010</v>
      </c>
      <c r="O945">
        <v>5</v>
      </c>
      <c r="P945">
        <v>4</v>
      </c>
      <c r="Q945" t="s">
        <v>93</v>
      </c>
      <c r="R945" t="s">
        <v>2349</v>
      </c>
      <c r="S945" t="s">
        <v>25</v>
      </c>
      <c r="T945" t="s">
        <v>515</v>
      </c>
    </row>
    <row r="946" spans="1:20" ht="16.5" x14ac:dyDescent="0.45">
      <c r="A946">
        <v>1945</v>
      </c>
      <c r="B946" t="s">
        <v>2350</v>
      </c>
      <c r="C946" t="s">
        <v>36</v>
      </c>
      <c r="D946" t="s">
        <v>42</v>
      </c>
      <c r="E946">
        <v>896230</v>
      </c>
      <c r="F946" s="1">
        <v>45370</v>
      </c>
      <c r="G946" s="1"/>
      <c r="I946">
        <v>2372</v>
      </c>
      <c r="K946">
        <v>5</v>
      </c>
      <c r="L946">
        <v>3</v>
      </c>
      <c r="M946" t="s">
        <v>30</v>
      </c>
      <c r="N946">
        <v>2005</v>
      </c>
      <c r="O946">
        <v>2</v>
      </c>
      <c r="P946">
        <v>2</v>
      </c>
      <c r="Q946" t="s">
        <v>162</v>
      </c>
      <c r="R946" t="s">
        <v>2351</v>
      </c>
      <c r="S946" t="s">
        <v>33</v>
      </c>
      <c r="T946" t="s">
        <v>152</v>
      </c>
    </row>
    <row r="947" spans="1:20" ht="16.5" x14ac:dyDescent="0.45">
      <c r="A947">
        <v>1946</v>
      </c>
      <c r="B947" t="s">
        <v>2352</v>
      </c>
      <c r="C947" t="s">
        <v>28</v>
      </c>
      <c r="D947" t="s">
        <v>29</v>
      </c>
      <c r="E947">
        <v>452473</v>
      </c>
      <c r="F947" s="1">
        <v>45618</v>
      </c>
      <c r="G947" s="1"/>
      <c r="I947">
        <v>1483</v>
      </c>
      <c r="K947">
        <v>3</v>
      </c>
      <c r="L947">
        <v>5</v>
      </c>
      <c r="M947" t="s">
        <v>62</v>
      </c>
      <c r="N947">
        <v>2009</v>
      </c>
      <c r="O947">
        <v>3</v>
      </c>
      <c r="P947">
        <v>1</v>
      </c>
      <c r="Q947" t="s">
        <v>38</v>
      </c>
      <c r="R947" t="s">
        <v>2353</v>
      </c>
      <c r="S947" t="s">
        <v>33</v>
      </c>
      <c r="T947" t="s">
        <v>2354</v>
      </c>
    </row>
    <row r="948" spans="1:20" ht="16.5" x14ac:dyDescent="0.45">
      <c r="A948">
        <v>1947</v>
      </c>
      <c r="B948" t="s">
        <v>2355</v>
      </c>
      <c r="C948" t="s">
        <v>20</v>
      </c>
      <c r="D948" t="s">
        <v>42</v>
      </c>
      <c r="E948">
        <v>468802</v>
      </c>
      <c r="F948" s="1">
        <v>45515</v>
      </c>
      <c r="G948" s="1"/>
      <c r="I948">
        <v>4959</v>
      </c>
      <c r="K948">
        <v>4</v>
      </c>
      <c r="L948">
        <v>3</v>
      </c>
      <c r="M948" t="s">
        <v>62</v>
      </c>
      <c r="N948">
        <v>2017</v>
      </c>
      <c r="O948">
        <v>7</v>
      </c>
      <c r="P948">
        <v>3</v>
      </c>
      <c r="Q948" t="s">
        <v>58</v>
      </c>
      <c r="R948" t="s">
        <v>2356</v>
      </c>
      <c r="S948" t="s">
        <v>33</v>
      </c>
      <c r="T948" t="s">
        <v>137</v>
      </c>
    </row>
    <row r="949" spans="1:20" ht="16.5" x14ac:dyDescent="0.45">
      <c r="A949">
        <v>1948</v>
      </c>
      <c r="B949" t="s">
        <v>2357</v>
      </c>
      <c r="C949" t="s">
        <v>28</v>
      </c>
      <c r="D949" t="s">
        <v>42</v>
      </c>
      <c r="E949">
        <v>433843</v>
      </c>
      <c r="F949" s="1">
        <v>45634</v>
      </c>
      <c r="G949" s="1">
        <v>45421</v>
      </c>
      <c r="H949">
        <v>480279</v>
      </c>
      <c r="I949">
        <v>2037</v>
      </c>
      <c r="J949" s="5">
        <v>978328323</v>
      </c>
      <c r="K949">
        <v>6</v>
      </c>
      <c r="L949">
        <v>2</v>
      </c>
      <c r="M949" t="s">
        <v>37</v>
      </c>
      <c r="N949">
        <v>2020</v>
      </c>
      <c r="O949">
        <v>5</v>
      </c>
      <c r="P949">
        <v>3</v>
      </c>
      <c r="Q949" t="s">
        <v>31</v>
      </c>
      <c r="R949" t="s">
        <v>2358</v>
      </c>
      <c r="S949" t="s">
        <v>25</v>
      </c>
      <c r="T949" t="s">
        <v>344</v>
      </c>
    </row>
    <row r="950" spans="1:20" ht="16.5" x14ac:dyDescent="0.45">
      <c r="A950">
        <v>1949</v>
      </c>
      <c r="B950" t="s">
        <v>2359</v>
      </c>
      <c r="C950" t="s">
        <v>36</v>
      </c>
      <c r="D950" t="s">
        <v>29</v>
      </c>
      <c r="E950">
        <v>515495</v>
      </c>
      <c r="F950" s="1">
        <v>45475</v>
      </c>
      <c r="G950" s="1"/>
      <c r="I950">
        <v>4667</v>
      </c>
      <c r="K950">
        <v>5</v>
      </c>
      <c r="L950">
        <v>4</v>
      </c>
      <c r="M950" t="s">
        <v>37</v>
      </c>
      <c r="N950">
        <v>2019</v>
      </c>
      <c r="O950">
        <v>10</v>
      </c>
      <c r="P950">
        <v>2</v>
      </c>
      <c r="Q950" t="s">
        <v>58</v>
      </c>
      <c r="R950" t="s">
        <v>2360</v>
      </c>
      <c r="S950" t="s">
        <v>33</v>
      </c>
      <c r="T950" t="s">
        <v>2361</v>
      </c>
    </row>
    <row r="951" spans="1:20" ht="16.5" x14ac:dyDescent="0.45">
      <c r="A951">
        <v>1950</v>
      </c>
      <c r="B951" t="s">
        <v>2362</v>
      </c>
      <c r="C951" t="s">
        <v>20</v>
      </c>
      <c r="D951" t="s">
        <v>29</v>
      </c>
      <c r="E951">
        <v>433630</v>
      </c>
      <c r="F951" s="1">
        <v>45278</v>
      </c>
      <c r="G951" s="1"/>
      <c r="I951">
        <v>4812</v>
      </c>
      <c r="K951">
        <v>4</v>
      </c>
      <c r="L951">
        <v>2</v>
      </c>
      <c r="M951" t="s">
        <v>22</v>
      </c>
      <c r="N951">
        <v>2019</v>
      </c>
      <c r="P951">
        <v>4</v>
      </c>
      <c r="Q951" t="s">
        <v>43</v>
      </c>
      <c r="R951" t="s">
        <v>2271</v>
      </c>
      <c r="S951" t="s">
        <v>33</v>
      </c>
      <c r="T951" t="s">
        <v>183</v>
      </c>
    </row>
    <row r="952" spans="1:20" ht="16.5" x14ac:dyDescent="0.45">
      <c r="A952">
        <v>1951</v>
      </c>
      <c r="B952" t="s">
        <v>2363</v>
      </c>
      <c r="C952" t="s">
        <v>36</v>
      </c>
      <c r="D952" t="s">
        <v>21</v>
      </c>
      <c r="E952">
        <v>309929</v>
      </c>
      <c r="F952" s="1">
        <v>45415</v>
      </c>
      <c r="G952" s="1">
        <v>45539</v>
      </c>
      <c r="H952">
        <v>347213</v>
      </c>
      <c r="I952">
        <v>3796</v>
      </c>
      <c r="J952" s="5">
        <v>1318020548</v>
      </c>
      <c r="K952">
        <v>2</v>
      </c>
      <c r="L952">
        <v>5</v>
      </c>
      <c r="M952" t="s">
        <v>37</v>
      </c>
      <c r="N952">
        <v>2005</v>
      </c>
      <c r="O952">
        <v>9</v>
      </c>
      <c r="P952">
        <v>4</v>
      </c>
      <c r="Q952" t="s">
        <v>132</v>
      </c>
      <c r="R952" t="s">
        <v>2364</v>
      </c>
      <c r="S952" t="s">
        <v>25</v>
      </c>
      <c r="T952" t="s">
        <v>1391</v>
      </c>
    </row>
    <row r="953" spans="1:20" ht="16.5" x14ac:dyDescent="0.45">
      <c r="A953">
        <v>1952</v>
      </c>
      <c r="B953" t="s">
        <v>2365</v>
      </c>
      <c r="C953" t="s">
        <v>47</v>
      </c>
      <c r="D953" t="s">
        <v>42</v>
      </c>
      <c r="E953">
        <v>865331</v>
      </c>
      <c r="F953" s="1">
        <v>45309</v>
      </c>
      <c r="G953" s="1">
        <v>45623</v>
      </c>
      <c r="H953">
        <v>887025</v>
      </c>
      <c r="I953">
        <v>3396</v>
      </c>
      <c r="J953" s="5">
        <v>3012336900</v>
      </c>
      <c r="K953">
        <v>6</v>
      </c>
      <c r="L953">
        <v>3</v>
      </c>
      <c r="M953" t="s">
        <v>30</v>
      </c>
      <c r="N953">
        <v>2004</v>
      </c>
      <c r="O953">
        <v>10</v>
      </c>
      <c r="P953">
        <v>3</v>
      </c>
      <c r="Q953" t="s">
        <v>31</v>
      </c>
      <c r="R953" t="s">
        <v>2366</v>
      </c>
      <c r="S953" t="s">
        <v>25</v>
      </c>
      <c r="T953" t="s">
        <v>668</v>
      </c>
    </row>
    <row r="954" spans="1:20" ht="16.5" x14ac:dyDescent="0.45">
      <c r="A954">
        <v>1953</v>
      </c>
      <c r="B954" t="s">
        <v>2367</v>
      </c>
      <c r="C954" t="s">
        <v>36</v>
      </c>
      <c r="D954" t="s">
        <v>21</v>
      </c>
      <c r="E954">
        <v>762646</v>
      </c>
      <c r="F954" s="1">
        <v>45483</v>
      </c>
      <c r="G954" s="1">
        <v>45520</v>
      </c>
      <c r="H954">
        <v>805415</v>
      </c>
      <c r="I954">
        <v>1900</v>
      </c>
      <c r="J954" s="5">
        <v>1530288500</v>
      </c>
      <c r="K954">
        <v>6</v>
      </c>
      <c r="L954">
        <v>2</v>
      </c>
      <c r="M954" t="s">
        <v>22</v>
      </c>
      <c r="N954">
        <v>2002</v>
      </c>
      <c r="P954">
        <v>2</v>
      </c>
      <c r="Q954" t="s">
        <v>23</v>
      </c>
      <c r="R954" t="s">
        <v>2368</v>
      </c>
      <c r="S954" t="s">
        <v>25</v>
      </c>
      <c r="T954" t="s">
        <v>284</v>
      </c>
    </row>
    <row r="955" spans="1:20" ht="16.5" x14ac:dyDescent="0.45">
      <c r="A955">
        <v>1954</v>
      </c>
      <c r="B955" t="s">
        <v>2369</v>
      </c>
      <c r="C955" t="s">
        <v>20</v>
      </c>
      <c r="D955" t="s">
        <v>42</v>
      </c>
      <c r="E955">
        <v>666758</v>
      </c>
      <c r="F955" s="1">
        <v>45329</v>
      </c>
      <c r="G955" s="1"/>
      <c r="I955">
        <v>4768</v>
      </c>
      <c r="K955">
        <v>4</v>
      </c>
      <c r="L955">
        <v>3</v>
      </c>
      <c r="M955" t="s">
        <v>30</v>
      </c>
      <c r="N955">
        <v>2020</v>
      </c>
      <c r="O955">
        <v>1</v>
      </c>
      <c r="P955">
        <v>2</v>
      </c>
      <c r="Q955" t="s">
        <v>86</v>
      </c>
      <c r="R955" t="s">
        <v>1316</v>
      </c>
      <c r="S955" t="s">
        <v>33</v>
      </c>
      <c r="T955" t="s">
        <v>665</v>
      </c>
    </row>
    <row r="956" spans="1:20" ht="16.5" x14ac:dyDescent="0.45">
      <c r="A956">
        <v>1955</v>
      </c>
      <c r="B956" t="s">
        <v>2370</v>
      </c>
      <c r="C956" t="s">
        <v>47</v>
      </c>
      <c r="D956" t="s">
        <v>42</v>
      </c>
      <c r="E956">
        <v>453864</v>
      </c>
      <c r="F956" s="1">
        <v>45631</v>
      </c>
      <c r="G956" s="1"/>
      <c r="I956">
        <v>4002</v>
      </c>
      <c r="K956">
        <v>2</v>
      </c>
      <c r="L956">
        <v>3</v>
      </c>
      <c r="M956" t="s">
        <v>30</v>
      </c>
      <c r="N956">
        <v>2022</v>
      </c>
      <c r="O956">
        <v>2</v>
      </c>
      <c r="P956">
        <v>4</v>
      </c>
      <c r="Q956" t="s">
        <v>93</v>
      </c>
      <c r="R956" t="s">
        <v>2371</v>
      </c>
      <c r="S956" t="s">
        <v>33</v>
      </c>
      <c r="T956" t="s">
        <v>2372</v>
      </c>
    </row>
    <row r="957" spans="1:20" ht="16.5" x14ac:dyDescent="0.45">
      <c r="A957">
        <v>1956</v>
      </c>
      <c r="B957" t="s">
        <v>2373</v>
      </c>
      <c r="C957" t="s">
        <v>36</v>
      </c>
      <c r="D957" t="s">
        <v>21</v>
      </c>
      <c r="E957">
        <v>953619</v>
      </c>
      <c r="F957" s="1">
        <v>45420</v>
      </c>
      <c r="G957" s="1">
        <v>45575</v>
      </c>
      <c r="H957">
        <v>999313</v>
      </c>
      <c r="I957">
        <v>2923</v>
      </c>
      <c r="J957" s="5">
        <v>2920991899</v>
      </c>
      <c r="K957">
        <v>3</v>
      </c>
      <c r="L957">
        <v>3</v>
      </c>
      <c r="M957" t="s">
        <v>37</v>
      </c>
      <c r="N957">
        <v>2018</v>
      </c>
      <c r="O957">
        <v>10</v>
      </c>
      <c r="P957">
        <v>1</v>
      </c>
      <c r="Q957" t="s">
        <v>31</v>
      </c>
      <c r="R957" t="s">
        <v>2374</v>
      </c>
      <c r="S957" t="s">
        <v>25</v>
      </c>
      <c r="T957" t="s">
        <v>77</v>
      </c>
    </row>
    <row r="958" spans="1:20" ht="16.5" x14ac:dyDescent="0.45">
      <c r="A958">
        <v>1957</v>
      </c>
      <c r="B958" t="s">
        <v>2375</v>
      </c>
      <c r="C958" t="s">
        <v>47</v>
      </c>
      <c r="D958" t="s">
        <v>29</v>
      </c>
      <c r="E958">
        <v>639056</v>
      </c>
      <c r="F958" s="1">
        <v>45498</v>
      </c>
      <c r="G958" s="1"/>
      <c r="I958">
        <v>3736</v>
      </c>
      <c r="K958">
        <v>2</v>
      </c>
      <c r="L958">
        <v>2</v>
      </c>
      <c r="M958" t="s">
        <v>30</v>
      </c>
      <c r="N958">
        <v>2017</v>
      </c>
      <c r="O958">
        <v>7</v>
      </c>
      <c r="P958">
        <v>3</v>
      </c>
      <c r="Q958" t="s">
        <v>43</v>
      </c>
      <c r="R958" t="s">
        <v>2376</v>
      </c>
      <c r="S958" t="s">
        <v>33</v>
      </c>
      <c r="T958" t="s">
        <v>116</v>
      </c>
    </row>
    <row r="959" spans="1:20" ht="16.5" x14ac:dyDescent="0.45">
      <c r="A959">
        <v>1958</v>
      </c>
      <c r="B959" t="s">
        <v>2377</v>
      </c>
      <c r="C959" t="s">
        <v>20</v>
      </c>
      <c r="D959" t="s">
        <v>42</v>
      </c>
      <c r="E959">
        <v>957320</v>
      </c>
      <c r="F959" s="1">
        <v>45489</v>
      </c>
      <c r="G959" s="1">
        <v>45328</v>
      </c>
      <c r="H959">
        <v>968938</v>
      </c>
      <c r="I959">
        <v>4370</v>
      </c>
      <c r="J959" s="5">
        <v>4234259060</v>
      </c>
      <c r="K959">
        <v>2</v>
      </c>
      <c r="L959">
        <v>5</v>
      </c>
      <c r="M959" t="s">
        <v>30</v>
      </c>
      <c r="N959">
        <v>2016</v>
      </c>
      <c r="O959">
        <v>8</v>
      </c>
      <c r="P959">
        <v>2</v>
      </c>
      <c r="Q959" t="s">
        <v>86</v>
      </c>
      <c r="R959" t="s">
        <v>2378</v>
      </c>
      <c r="S959" t="s">
        <v>25</v>
      </c>
      <c r="T959" t="s">
        <v>137</v>
      </c>
    </row>
    <row r="960" spans="1:20" ht="16.5" x14ac:dyDescent="0.45">
      <c r="A960">
        <v>1959</v>
      </c>
      <c r="B960" t="s">
        <v>2379</v>
      </c>
      <c r="C960" t="s">
        <v>20</v>
      </c>
      <c r="D960" t="s">
        <v>42</v>
      </c>
      <c r="E960">
        <v>450223</v>
      </c>
      <c r="F960" s="1">
        <v>45617</v>
      </c>
      <c r="G960" s="1"/>
      <c r="I960">
        <v>4413</v>
      </c>
      <c r="K960">
        <v>3</v>
      </c>
      <c r="L960">
        <v>3</v>
      </c>
      <c r="M960" t="s">
        <v>22</v>
      </c>
      <c r="N960">
        <v>2018</v>
      </c>
      <c r="P960">
        <v>3</v>
      </c>
      <c r="Q960" t="s">
        <v>132</v>
      </c>
      <c r="R960" t="s">
        <v>2380</v>
      </c>
      <c r="S960" t="s">
        <v>33</v>
      </c>
      <c r="T960" t="s">
        <v>91</v>
      </c>
    </row>
    <row r="961" spans="1:20" ht="16.5" x14ac:dyDescent="0.45">
      <c r="A961">
        <v>1960</v>
      </c>
      <c r="B961" t="s">
        <v>2381</v>
      </c>
      <c r="C961" t="s">
        <v>51</v>
      </c>
      <c r="D961" t="s">
        <v>29</v>
      </c>
      <c r="E961">
        <v>749209</v>
      </c>
      <c r="F961" s="1">
        <v>45340</v>
      </c>
      <c r="G961" s="1"/>
      <c r="I961">
        <v>4540</v>
      </c>
      <c r="K961">
        <v>6</v>
      </c>
      <c r="L961">
        <v>4</v>
      </c>
      <c r="M961" t="s">
        <v>37</v>
      </c>
      <c r="N961">
        <v>2013</v>
      </c>
      <c r="O961">
        <v>8</v>
      </c>
      <c r="P961">
        <v>4</v>
      </c>
      <c r="Q961" t="s">
        <v>162</v>
      </c>
      <c r="R961" t="s">
        <v>2382</v>
      </c>
      <c r="S961" t="s">
        <v>33</v>
      </c>
      <c r="T961" t="s">
        <v>2336</v>
      </c>
    </row>
    <row r="962" spans="1:20" ht="16.5" x14ac:dyDescent="0.45">
      <c r="A962">
        <v>1961</v>
      </c>
      <c r="B962" t="s">
        <v>2383</v>
      </c>
      <c r="C962" t="s">
        <v>51</v>
      </c>
      <c r="D962" t="s">
        <v>42</v>
      </c>
      <c r="E962">
        <v>553781</v>
      </c>
      <c r="F962" s="1">
        <v>45367</v>
      </c>
      <c r="G962" s="1"/>
      <c r="I962">
        <v>2591</v>
      </c>
      <c r="K962">
        <v>2</v>
      </c>
      <c r="L962">
        <v>5</v>
      </c>
      <c r="M962" t="s">
        <v>22</v>
      </c>
      <c r="N962">
        <v>2010</v>
      </c>
      <c r="P962">
        <v>4</v>
      </c>
      <c r="Q962" t="s">
        <v>31</v>
      </c>
      <c r="R962" t="s">
        <v>2384</v>
      </c>
      <c r="S962" t="s">
        <v>33</v>
      </c>
      <c r="T962" t="s">
        <v>275</v>
      </c>
    </row>
    <row r="963" spans="1:20" ht="16.5" x14ac:dyDescent="0.45">
      <c r="A963">
        <v>1962</v>
      </c>
      <c r="B963" t="s">
        <v>2385</v>
      </c>
      <c r="C963" t="s">
        <v>36</v>
      </c>
      <c r="D963" t="s">
        <v>29</v>
      </c>
      <c r="E963">
        <v>360240</v>
      </c>
      <c r="F963" s="1">
        <v>45466</v>
      </c>
      <c r="G963" s="1">
        <v>45363</v>
      </c>
      <c r="H963">
        <v>407455</v>
      </c>
      <c r="I963">
        <v>4686</v>
      </c>
      <c r="J963" s="5">
        <v>1909334130</v>
      </c>
      <c r="K963">
        <v>5</v>
      </c>
      <c r="L963">
        <v>2</v>
      </c>
      <c r="M963" t="s">
        <v>22</v>
      </c>
      <c r="N963">
        <v>2010</v>
      </c>
      <c r="P963">
        <v>2</v>
      </c>
      <c r="Q963" t="s">
        <v>93</v>
      </c>
      <c r="R963" t="s">
        <v>2386</v>
      </c>
      <c r="S963" t="s">
        <v>25</v>
      </c>
      <c r="T963" t="s">
        <v>595</v>
      </c>
    </row>
    <row r="964" spans="1:20" ht="16.5" x14ac:dyDescent="0.45">
      <c r="A964">
        <v>1963</v>
      </c>
      <c r="B964" t="s">
        <v>2387</v>
      </c>
      <c r="C964" t="s">
        <v>51</v>
      </c>
      <c r="D964" t="s">
        <v>42</v>
      </c>
      <c r="E964">
        <v>998379</v>
      </c>
      <c r="F964" s="1">
        <v>45334</v>
      </c>
      <c r="G964" s="1">
        <v>45278</v>
      </c>
      <c r="H964">
        <v>1033772</v>
      </c>
      <c r="I964">
        <v>2282</v>
      </c>
      <c r="J964" s="5">
        <v>2359067704</v>
      </c>
      <c r="K964">
        <v>3</v>
      </c>
      <c r="L964">
        <v>3</v>
      </c>
      <c r="M964" t="s">
        <v>62</v>
      </c>
      <c r="N964">
        <v>2003</v>
      </c>
      <c r="O964">
        <v>1</v>
      </c>
      <c r="P964">
        <v>2</v>
      </c>
      <c r="Q964" t="s">
        <v>58</v>
      </c>
      <c r="R964" t="s">
        <v>2388</v>
      </c>
      <c r="S964" t="s">
        <v>25</v>
      </c>
      <c r="T964" t="s">
        <v>584</v>
      </c>
    </row>
    <row r="965" spans="1:20" ht="16.5" x14ac:dyDescent="0.45">
      <c r="A965">
        <v>1964</v>
      </c>
      <c r="B965" t="s">
        <v>2389</v>
      </c>
      <c r="C965" t="s">
        <v>20</v>
      </c>
      <c r="D965" t="s">
        <v>21</v>
      </c>
      <c r="E965">
        <v>769517</v>
      </c>
      <c r="F965" s="1">
        <v>45626</v>
      </c>
      <c r="G965" s="1"/>
      <c r="I965">
        <v>3577</v>
      </c>
      <c r="K965">
        <v>5</v>
      </c>
      <c r="L965">
        <v>2</v>
      </c>
      <c r="M965" t="s">
        <v>22</v>
      </c>
      <c r="N965">
        <v>2003</v>
      </c>
      <c r="P965">
        <v>1</v>
      </c>
      <c r="Q965" t="s">
        <v>38</v>
      </c>
      <c r="R965" t="s">
        <v>2390</v>
      </c>
      <c r="S965" t="s">
        <v>33</v>
      </c>
      <c r="T965" t="s">
        <v>1556</v>
      </c>
    </row>
    <row r="966" spans="1:20" ht="16.5" x14ac:dyDescent="0.45">
      <c r="A966">
        <v>1965</v>
      </c>
      <c r="B966" t="s">
        <v>2391</v>
      </c>
      <c r="C966" t="s">
        <v>36</v>
      </c>
      <c r="D966" t="s">
        <v>29</v>
      </c>
      <c r="E966">
        <v>857025</v>
      </c>
      <c r="F966" s="1">
        <v>45389</v>
      </c>
      <c r="G966" s="1">
        <v>45493</v>
      </c>
      <c r="H966">
        <v>877041</v>
      </c>
      <c r="I966">
        <v>2398</v>
      </c>
      <c r="J966" s="5">
        <v>2103144318</v>
      </c>
      <c r="K966">
        <v>3</v>
      </c>
      <c r="L966">
        <v>3</v>
      </c>
      <c r="M966" t="s">
        <v>62</v>
      </c>
      <c r="N966">
        <v>2011</v>
      </c>
      <c r="O966">
        <v>2</v>
      </c>
      <c r="P966">
        <v>3</v>
      </c>
      <c r="Q966" t="s">
        <v>132</v>
      </c>
      <c r="R966" t="s">
        <v>2392</v>
      </c>
      <c r="S966" t="s">
        <v>25</v>
      </c>
      <c r="T966" t="s">
        <v>388</v>
      </c>
    </row>
    <row r="967" spans="1:20" ht="16.5" x14ac:dyDescent="0.45">
      <c r="A967">
        <v>1966</v>
      </c>
      <c r="B967" t="s">
        <v>2393</v>
      </c>
      <c r="C967" t="s">
        <v>51</v>
      </c>
      <c r="D967" t="s">
        <v>21</v>
      </c>
      <c r="E967">
        <v>574955</v>
      </c>
      <c r="F967" s="1">
        <v>45474</v>
      </c>
      <c r="G967" s="1">
        <v>45443</v>
      </c>
      <c r="H967">
        <v>608122</v>
      </c>
      <c r="I967">
        <v>4821</v>
      </c>
      <c r="J967" s="5">
        <v>2931756162</v>
      </c>
      <c r="K967">
        <v>2</v>
      </c>
      <c r="L967">
        <v>2</v>
      </c>
      <c r="M967" t="s">
        <v>37</v>
      </c>
      <c r="N967">
        <v>2002</v>
      </c>
      <c r="O967">
        <v>9</v>
      </c>
      <c r="P967">
        <v>3</v>
      </c>
      <c r="Q967" t="s">
        <v>162</v>
      </c>
      <c r="R967" t="s">
        <v>1036</v>
      </c>
      <c r="S967" t="s">
        <v>25</v>
      </c>
      <c r="T967" t="s">
        <v>2394</v>
      </c>
    </row>
    <row r="968" spans="1:20" ht="16.5" x14ac:dyDescent="0.45">
      <c r="A968">
        <v>1967</v>
      </c>
      <c r="B968" t="s">
        <v>2395</v>
      </c>
      <c r="C968" t="s">
        <v>36</v>
      </c>
      <c r="D968" t="s">
        <v>21</v>
      </c>
      <c r="E968">
        <v>813623</v>
      </c>
      <c r="F968" s="1">
        <v>45592</v>
      </c>
      <c r="G968" s="1"/>
      <c r="I968">
        <v>4736</v>
      </c>
      <c r="K968">
        <v>6</v>
      </c>
      <c r="L968">
        <v>4</v>
      </c>
      <c r="M968" t="s">
        <v>62</v>
      </c>
      <c r="N968">
        <v>2001</v>
      </c>
      <c r="O968">
        <v>1</v>
      </c>
      <c r="P968">
        <v>1</v>
      </c>
      <c r="Q968" t="s">
        <v>162</v>
      </c>
      <c r="R968" t="s">
        <v>2396</v>
      </c>
      <c r="S968" t="s">
        <v>33</v>
      </c>
      <c r="T968" t="s">
        <v>372</v>
      </c>
    </row>
    <row r="969" spans="1:20" ht="16.5" x14ac:dyDescent="0.45">
      <c r="A969">
        <v>1968</v>
      </c>
      <c r="B969" t="s">
        <v>2397</v>
      </c>
      <c r="C969" t="s">
        <v>28</v>
      </c>
      <c r="D969" t="s">
        <v>42</v>
      </c>
      <c r="E969">
        <v>862479</v>
      </c>
      <c r="F969" s="1">
        <v>45278</v>
      </c>
      <c r="G969" s="1"/>
      <c r="I969">
        <v>4343</v>
      </c>
      <c r="K969">
        <v>5</v>
      </c>
      <c r="L969">
        <v>5</v>
      </c>
      <c r="M969" t="s">
        <v>62</v>
      </c>
      <c r="N969">
        <v>2007</v>
      </c>
      <c r="O969">
        <v>8</v>
      </c>
      <c r="P969">
        <v>2</v>
      </c>
      <c r="Q969" t="s">
        <v>38</v>
      </c>
      <c r="R969" t="s">
        <v>2398</v>
      </c>
      <c r="S969" t="s">
        <v>33</v>
      </c>
      <c r="T969" t="s">
        <v>2399</v>
      </c>
    </row>
    <row r="970" spans="1:20" ht="16.5" x14ac:dyDescent="0.45">
      <c r="A970">
        <v>1969</v>
      </c>
      <c r="B970" t="s">
        <v>2400</v>
      </c>
      <c r="C970" t="s">
        <v>20</v>
      </c>
      <c r="D970" t="s">
        <v>29</v>
      </c>
      <c r="E970">
        <v>816524</v>
      </c>
      <c r="F970" s="1">
        <v>45467</v>
      </c>
      <c r="G970" s="1"/>
      <c r="I970">
        <v>4194</v>
      </c>
      <c r="K970">
        <v>3</v>
      </c>
      <c r="L970">
        <v>4</v>
      </c>
      <c r="M970" t="s">
        <v>37</v>
      </c>
      <c r="N970">
        <v>2009</v>
      </c>
      <c r="O970">
        <v>8</v>
      </c>
      <c r="P970">
        <v>4</v>
      </c>
      <c r="Q970" t="s">
        <v>75</v>
      </c>
      <c r="R970" t="s">
        <v>2401</v>
      </c>
      <c r="S970" t="s">
        <v>33</v>
      </c>
      <c r="T970" t="s">
        <v>107</v>
      </c>
    </row>
    <row r="971" spans="1:20" ht="16.5" x14ac:dyDescent="0.45">
      <c r="A971">
        <v>1970</v>
      </c>
      <c r="B971" t="s">
        <v>2402</v>
      </c>
      <c r="C971" t="s">
        <v>47</v>
      </c>
      <c r="D971" t="s">
        <v>29</v>
      </c>
      <c r="E971">
        <v>901894</v>
      </c>
      <c r="F971" s="1">
        <v>45374</v>
      </c>
      <c r="G971" s="1"/>
      <c r="I971">
        <v>3065</v>
      </c>
      <c r="K971">
        <v>3</v>
      </c>
      <c r="L971">
        <v>5</v>
      </c>
      <c r="M971" t="s">
        <v>37</v>
      </c>
      <c r="N971">
        <v>2019</v>
      </c>
      <c r="O971">
        <v>4</v>
      </c>
      <c r="P971">
        <v>1</v>
      </c>
      <c r="Q971" t="s">
        <v>23</v>
      </c>
      <c r="R971" t="s">
        <v>1791</v>
      </c>
      <c r="S971" t="s">
        <v>33</v>
      </c>
      <c r="T971" t="s">
        <v>2403</v>
      </c>
    </row>
    <row r="972" spans="1:20" ht="16.5" x14ac:dyDescent="0.45">
      <c r="A972">
        <v>1971</v>
      </c>
      <c r="B972" t="s">
        <v>2404</v>
      </c>
      <c r="C972" t="s">
        <v>51</v>
      </c>
      <c r="D972" t="s">
        <v>21</v>
      </c>
      <c r="E972">
        <v>990647</v>
      </c>
      <c r="F972" s="1">
        <v>45341</v>
      </c>
      <c r="G972" s="1">
        <v>45375</v>
      </c>
      <c r="H972">
        <v>1026549</v>
      </c>
      <c r="I972">
        <v>3279</v>
      </c>
      <c r="J972" s="5">
        <v>3366054171</v>
      </c>
      <c r="K972">
        <v>6</v>
      </c>
      <c r="L972">
        <v>2</v>
      </c>
      <c r="M972" t="s">
        <v>37</v>
      </c>
      <c r="N972">
        <v>2005</v>
      </c>
      <c r="O972">
        <v>10</v>
      </c>
      <c r="P972">
        <v>2</v>
      </c>
      <c r="Q972" t="s">
        <v>93</v>
      </c>
      <c r="R972" t="s">
        <v>130</v>
      </c>
      <c r="S972" t="s">
        <v>25</v>
      </c>
      <c r="T972" t="s">
        <v>137</v>
      </c>
    </row>
    <row r="973" spans="1:20" ht="16.5" x14ac:dyDescent="0.45">
      <c r="A973">
        <v>1972</v>
      </c>
      <c r="B973" t="s">
        <v>2405</v>
      </c>
      <c r="C973" t="s">
        <v>28</v>
      </c>
      <c r="D973" t="s">
        <v>21</v>
      </c>
      <c r="E973">
        <v>595628</v>
      </c>
      <c r="F973" s="1">
        <v>45472</v>
      </c>
      <c r="G973" s="1">
        <v>45512</v>
      </c>
      <c r="H973">
        <v>629385</v>
      </c>
      <c r="I973">
        <v>3272</v>
      </c>
      <c r="J973" s="5">
        <v>2059347720</v>
      </c>
      <c r="K973">
        <v>6</v>
      </c>
      <c r="L973">
        <v>2</v>
      </c>
      <c r="M973" t="s">
        <v>62</v>
      </c>
      <c r="N973">
        <v>2018</v>
      </c>
      <c r="O973">
        <v>7</v>
      </c>
      <c r="P973">
        <v>2</v>
      </c>
      <c r="Q973" t="s">
        <v>58</v>
      </c>
      <c r="R973" t="s">
        <v>2406</v>
      </c>
      <c r="S973" t="s">
        <v>25</v>
      </c>
      <c r="T973" t="s">
        <v>230</v>
      </c>
    </row>
    <row r="974" spans="1:20" ht="16.5" x14ac:dyDescent="0.45">
      <c r="A974">
        <v>1973</v>
      </c>
      <c r="B974" t="s">
        <v>2407</v>
      </c>
      <c r="C974" t="s">
        <v>36</v>
      </c>
      <c r="D974" t="s">
        <v>29</v>
      </c>
      <c r="E974">
        <v>745917</v>
      </c>
      <c r="F974" s="1">
        <v>45278</v>
      </c>
      <c r="G974" s="1">
        <v>45310</v>
      </c>
      <c r="H974">
        <v>780239</v>
      </c>
      <c r="I974">
        <v>4012</v>
      </c>
      <c r="J974" s="5">
        <v>3130318868</v>
      </c>
      <c r="K974">
        <v>5</v>
      </c>
      <c r="L974">
        <v>3</v>
      </c>
      <c r="M974" t="s">
        <v>37</v>
      </c>
      <c r="N974">
        <v>2012</v>
      </c>
      <c r="O974">
        <v>10</v>
      </c>
      <c r="P974">
        <v>1</v>
      </c>
      <c r="Q974" t="s">
        <v>43</v>
      </c>
      <c r="R974" t="s">
        <v>2163</v>
      </c>
      <c r="S974" t="s">
        <v>25</v>
      </c>
      <c r="T974" t="s">
        <v>950</v>
      </c>
    </row>
    <row r="975" spans="1:20" ht="16.5" x14ac:dyDescent="0.45">
      <c r="A975">
        <v>1974</v>
      </c>
      <c r="B975" t="s">
        <v>2408</v>
      </c>
      <c r="C975" t="s">
        <v>36</v>
      </c>
      <c r="D975" t="s">
        <v>21</v>
      </c>
      <c r="E975">
        <v>581818</v>
      </c>
      <c r="F975" s="1">
        <v>45278</v>
      </c>
      <c r="G975" s="1"/>
      <c r="I975">
        <v>3982</v>
      </c>
      <c r="K975">
        <v>5</v>
      </c>
      <c r="L975">
        <v>5</v>
      </c>
      <c r="M975" t="s">
        <v>62</v>
      </c>
      <c r="N975">
        <v>2013</v>
      </c>
      <c r="O975">
        <v>4</v>
      </c>
      <c r="P975">
        <v>2</v>
      </c>
      <c r="Q975" t="s">
        <v>23</v>
      </c>
      <c r="R975" t="s">
        <v>2409</v>
      </c>
      <c r="S975" t="s">
        <v>33</v>
      </c>
      <c r="T975" t="s">
        <v>56</v>
      </c>
    </row>
    <row r="976" spans="1:20" ht="16.5" x14ac:dyDescent="0.45">
      <c r="A976">
        <v>1975</v>
      </c>
      <c r="B976" t="s">
        <v>2410</v>
      </c>
      <c r="C976" t="s">
        <v>28</v>
      </c>
      <c r="D976" t="s">
        <v>42</v>
      </c>
      <c r="E976">
        <v>740980</v>
      </c>
      <c r="F976" s="1">
        <v>45323</v>
      </c>
      <c r="G976" s="1"/>
      <c r="I976">
        <v>1293</v>
      </c>
      <c r="K976">
        <v>4</v>
      </c>
      <c r="L976">
        <v>3</v>
      </c>
      <c r="M976" t="s">
        <v>30</v>
      </c>
      <c r="N976">
        <v>2008</v>
      </c>
      <c r="O976">
        <v>5</v>
      </c>
      <c r="P976">
        <v>2</v>
      </c>
      <c r="Q976" t="s">
        <v>38</v>
      </c>
      <c r="R976" t="s">
        <v>2411</v>
      </c>
      <c r="S976" t="s">
        <v>33</v>
      </c>
      <c r="T976" t="s">
        <v>2412</v>
      </c>
    </row>
    <row r="977" spans="1:20" ht="16.5" x14ac:dyDescent="0.45">
      <c r="A977">
        <v>1976</v>
      </c>
      <c r="B977" t="s">
        <v>2413</v>
      </c>
      <c r="C977" t="s">
        <v>51</v>
      </c>
      <c r="D977" t="s">
        <v>21</v>
      </c>
      <c r="E977">
        <v>987633</v>
      </c>
      <c r="F977" s="1">
        <v>45334</v>
      </c>
      <c r="G977" s="1"/>
      <c r="I977">
        <v>2204</v>
      </c>
      <c r="K977">
        <v>4</v>
      </c>
      <c r="L977">
        <v>3</v>
      </c>
      <c r="M977" t="s">
        <v>62</v>
      </c>
      <c r="N977">
        <v>2018</v>
      </c>
      <c r="O977">
        <v>7</v>
      </c>
      <c r="P977">
        <v>2</v>
      </c>
      <c r="Q977" t="s">
        <v>58</v>
      </c>
      <c r="R977" t="s">
        <v>2414</v>
      </c>
      <c r="S977" t="s">
        <v>33</v>
      </c>
      <c r="T977" t="s">
        <v>2415</v>
      </c>
    </row>
    <row r="978" spans="1:20" ht="16.5" x14ac:dyDescent="0.45">
      <c r="A978">
        <v>1977</v>
      </c>
      <c r="B978" t="s">
        <v>2416</v>
      </c>
      <c r="C978" t="s">
        <v>47</v>
      </c>
      <c r="D978" t="s">
        <v>29</v>
      </c>
      <c r="E978">
        <v>331952</v>
      </c>
      <c r="F978" s="1">
        <v>45343</v>
      </c>
      <c r="G978" s="1"/>
      <c r="I978">
        <v>2107</v>
      </c>
      <c r="K978">
        <v>6</v>
      </c>
      <c r="L978">
        <v>5</v>
      </c>
      <c r="M978" t="s">
        <v>22</v>
      </c>
      <c r="N978">
        <v>2000</v>
      </c>
      <c r="P978">
        <v>2</v>
      </c>
      <c r="Q978" t="s">
        <v>93</v>
      </c>
      <c r="R978" t="s">
        <v>2111</v>
      </c>
      <c r="S978" t="s">
        <v>33</v>
      </c>
      <c r="T978" t="s">
        <v>128</v>
      </c>
    </row>
    <row r="979" spans="1:20" ht="16.5" x14ac:dyDescent="0.45">
      <c r="A979">
        <v>1978</v>
      </c>
      <c r="B979" t="s">
        <v>2417</v>
      </c>
      <c r="C979" t="s">
        <v>28</v>
      </c>
      <c r="D979" t="s">
        <v>29</v>
      </c>
      <c r="E979">
        <v>892392</v>
      </c>
      <c r="F979" s="1">
        <v>45421</v>
      </c>
      <c r="G979" s="1"/>
      <c r="I979">
        <v>2556</v>
      </c>
      <c r="K979">
        <v>5</v>
      </c>
      <c r="L979">
        <v>5</v>
      </c>
      <c r="M979" t="s">
        <v>30</v>
      </c>
      <c r="N979">
        <v>2017</v>
      </c>
      <c r="O979">
        <v>8</v>
      </c>
      <c r="P979">
        <v>4</v>
      </c>
      <c r="Q979" t="s">
        <v>23</v>
      </c>
      <c r="R979" t="s">
        <v>2418</v>
      </c>
      <c r="S979" t="s">
        <v>33</v>
      </c>
      <c r="T979" t="s">
        <v>2419</v>
      </c>
    </row>
    <row r="980" spans="1:20" ht="16.5" x14ac:dyDescent="0.45">
      <c r="A980">
        <v>1979</v>
      </c>
      <c r="B980" t="s">
        <v>2420</v>
      </c>
      <c r="C980" t="s">
        <v>36</v>
      </c>
      <c r="D980" t="s">
        <v>21</v>
      </c>
      <c r="E980">
        <v>979898</v>
      </c>
      <c r="F980" s="1">
        <v>45534</v>
      </c>
      <c r="G980" s="1">
        <v>45332</v>
      </c>
      <c r="H980">
        <v>991377</v>
      </c>
      <c r="I980">
        <v>3289</v>
      </c>
      <c r="J980" s="5">
        <v>3260638953</v>
      </c>
      <c r="K980">
        <v>5</v>
      </c>
      <c r="L980">
        <v>4</v>
      </c>
      <c r="M980" t="s">
        <v>62</v>
      </c>
      <c r="N980">
        <v>2005</v>
      </c>
      <c r="O980">
        <v>4</v>
      </c>
      <c r="P980">
        <v>4</v>
      </c>
      <c r="Q980" t="s">
        <v>31</v>
      </c>
      <c r="R980" t="s">
        <v>1469</v>
      </c>
      <c r="S980" t="s">
        <v>25</v>
      </c>
      <c r="T980" t="s">
        <v>822</v>
      </c>
    </row>
    <row r="981" spans="1:20" ht="16.5" x14ac:dyDescent="0.45">
      <c r="A981">
        <v>1980</v>
      </c>
      <c r="B981" t="s">
        <v>2421</v>
      </c>
      <c r="C981" t="s">
        <v>28</v>
      </c>
      <c r="D981" t="s">
        <v>42</v>
      </c>
      <c r="E981">
        <v>677216</v>
      </c>
      <c r="F981" s="1">
        <v>45436</v>
      </c>
      <c r="G981" s="1"/>
      <c r="I981">
        <v>2638</v>
      </c>
      <c r="K981">
        <v>3</v>
      </c>
      <c r="L981">
        <v>3</v>
      </c>
      <c r="M981" t="s">
        <v>22</v>
      </c>
      <c r="N981">
        <v>2010</v>
      </c>
      <c r="P981">
        <v>3</v>
      </c>
      <c r="Q981" t="s">
        <v>58</v>
      </c>
      <c r="R981" t="s">
        <v>2422</v>
      </c>
      <c r="S981" t="s">
        <v>33</v>
      </c>
      <c r="T981" t="s">
        <v>1544</v>
      </c>
    </row>
    <row r="982" spans="1:20" ht="16.5" x14ac:dyDescent="0.45">
      <c r="A982">
        <v>1981</v>
      </c>
      <c r="B982" t="s">
        <v>2423</v>
      </c>
      <c r="C982" t="s">
        <v>20</v>
      </c>
      <c r="D982" t="s">
        <v>21</v>
      </c>
      <c r="E982">
        <v>881378</v>
      </c>
      <c r="F982" s="1">
        <v>45377</v>
      </c>
      <c r="G982" s="1"/>
      <c r="I982">
        <v>2920</v>
      </c>
      <c r="K982">
        <v>4</v>
      </c>
      <c r="L982">
        <v>2</v>
      </c>
      <c r="M982" t="s">
        <v>62</v>
      </c>
      <c r="N982">
        <v>2019</v>
      </c>
      <c r="O982">
        <v>4</v>
      </c>
      <c r="P982">
        <v>4</v>
      </c>
      <c r="Q982" t="s">
        <v>31</v>
      </c>
      <c r="R982" t="s">
        <v>2424</v>
      </c>
      <c r="S982" t="s">
        <v>33</v>
      </c>
      <c r="T982" t="s">
        <v>40</v>
      </c>
    </row>
    <row r="983" spans="1:20" ht="16.5" x14ac:dyDescent="0.45">
      <c r="A983">
        <v>1982</v>
      </c>
      <c r="B983" t="s">
        <v>2425</v>
      </c>
      <c r="C983" t="s">
        <v>36</v>
      </c>
      <c r="D983" t="s">
        <v>42</v>
      </c>
      <c r="E983">
        <v>325802</v>
      </c>
      <c r="F983" s="1">
        <v>45507</v>
      </c>
      <c r="G983" s="1">
        <v>45310</v>
      </c>
      <c r="H983">
        <v>361525</v>
      </c>
      <c r="I983">
        <v>2798</v>
      </c>
      <c r="J983" s="5">
        <v>1011546950</v>
      </c>
      <c r="K983">
        <v>5</v>
      </c>
      <c r="L983">
        <v>3</v>
      </c>
      <c r="M983" t="s">
        <v>22</v>
      </c>
      <c r="N983">
        <v>2010</v>
      </c>
      <c r="P983">
        <v>4</v>
      </c>
      <c r="Q983" t="s">
        <v>132</v>
      </c>
      <c r="R983" t="s">
        <v>2426</v>
      </c>
      <c r="S983" t="s">
        <v>25</v>
      </c>
      <c r="T983" t="s">
        <v>2427</v>
      </c>
    </row>
    <row r="984" spans="1:20" ht="16.5" x14ac:dyDescent="0.45">
      <c r="A984">
        <v>1983</v>
      </c>
      <c r="B984" t="s">
        <v>2428</v>
      </c>
      <c r="C984" t="s">
        <v>47</v>
      </c>
      <c r="D984" t="s">
        <v>29</v>
      </c>
      <c r="E984">
        <v>443917</v>
      </c>
      <c r="F984" s="1">
        <v>45436</v>
      </c>
      <c r="G984" s="1">
        <v>45431</v>
      </c>
      <c r="H984">
        <v>481278</v>
      </c>
      <c r="I984">
        <v>1079</v>
      </c>
      <c r="J984" s="5">
        <v>519298962</v>
      </c>
      <c r="K984">
        <v>6</v>
      </c>
      <c r="L984">
        <v>2</v>
      </c>
      <c r="M984" t="s">
        <v>22</v>
      </c>
      <c r="N984">
        <v>2016</v>
      </c>
      <c r="P984">
        <v>4</v>
      </c>
      <c r="Q984" t="s">
        <v>86</v>
      </c>
      <c r="R984" t="s">
        <v>2429</v>
      </c>
      <c r="S984" t="s">
        <v>25</v>
      </c>
      <c r="T984" t="s">
        <v>592</v>
      </c>
    </row>
    <row r="985" spans="1:20" ht="16.5" x14ac:dyDescent="0.45">
      <c r="A985">
        <v>1984</v>
      </c>
      <c r="B985" t="s">
        <v>2430</v>
      </c>
      <c r="C985" t="s">
        <v>28</v>
      </c>
      <c r="D985" t="s">
        <v>29</v>
      </c>
      <c r="E985">
        <v>551102</v>
      </c>
      <c r="F985" s="1">
        <v>45320</v>
      </c>
      <c r="G985" s="1">
        <v>45361</v>
      </c>
      <c r="H985">
        <v>585186</v>
      </c>
      <c r="I985">
        <v>4757</v>
      </c>
      <c r="J985" s="5">
        <v>2783729802</v>
      </c>
      <c r="K985">
        <v>4</v>
      </c>
      <c r="L985">
        <v>2</v>
      </c>
      <c r="M985" t="s">
        <v>62</v>
      </c>
      <c r="N985">
        <v>2014</v>
      </c>
      <c r="O985">
        <v>9</v>
      </c>
      <c r="P985">
        <v>3</v>
      </c>
      <c r="Q985" t="s">
        <v>86</v>
      </c>
      <c r="R985" t="s">
        <v>2431</v>
      </c>
      <c r="S985" t="s">
        <v>25</v>
      </c>
      <c r="T985" t="s">
        <v>2432</v>
      </c>
    </row>
    <row r="986" spans="1:20" ht="16.5" x14ac:dyDescent="0.45">
      <c r="A986">
        <v>1985</v>
      </c>
      <c r="B986" t="s">
        <v>2433</v>
      </c>
      <c r="C986" t="s">
        <v>51</v>
      </c>
      <c r="D986" t="s">
        <v>29</v>
      </c>
      <c r="E986">
        <v>731626</v>
      </c>
      <c r="F986" s="1">
        <v>45621</v>
      </c>
      <c r="G986" s="1">
        <v>45461</v>
      </c>
      <c r="H986">
        <v>753709</v>
      </c>
      <c r="I986">
        <v>4352</v>
      </c>
      <c r="J986" s="5">
        <v>3280141568</v>
      </c>
      <c r="K986">
        <v>4</v>
      </c>
      <c r="L986">
        <v>2</v>
      </c>
      <c r="M986" t="s">
        <v>30</v>
      </c>
      <c r="N986">
        <v>2005</v>
      </c>
      <c r="O986">
        <v>4</v>
      </c>
      <c r="P986">
        <v>4</v>
      </c>
      <c r="Q986" t="s">
        <v>86</v>
      </c>
      <c r="R986" t="s">
        <v>2434</v>
      </c>
      <c r="S986" t="s">
        <v>25</v>
      </c>
      <c r="T986" t="s">
        <v>2435</v>
      </c>
    </row>
    <row r="987" spans="1:20" ht="16.5" x14ac:dyDescent="0.45">
      <c r="A987">
        <v>1986</v>
      </c>
      <c r="B987" t="s">
        <v>2436</v>
      </c>
      <c r="C987" t="s">
        <v>51</v>
      </c>
      <c r="D987" t="s">
        <v>21</v>
      </c>
      <c r="E987">
        <v>705425</v>
      </c>
      <c r="F987" s="1">
        <v>45285</v>
      </c>
      <c r="G987" s="1">
        <v>45564</v>
      </c>
      <c r="H987">
        <v>725737</v>
      </c>
      <c r="I987">
        <v>3250</v>
      </c>
      <c r="J987" s="5">
        <v>2358645250</v>
      </c>
      <c r="K987">
        <v>6</v>
      </c>
      <c r="L987">
        <v>2</v>
      </c>
      <c r="M987" t="s">
        <v>62</v>
      </c>
      <c r="N987">
        <v>2004</v>
      </c>
      <c r="O987">
        <v>8</v>
      </c>
      <c r="P987">
        <v>2</v>
      </c>
      <c r="Q987" t="s">
        <v>75</v>
      </c>
      <c r="R987" t="s">
        <v>2437</v>
      </c>
      <c r="S987" t="s">
        <v>25</v>
      </c>
      <c r="T987" t="s">
        <v>1394</v>
      </c>
    </row>
    <row r="988" spans="1:20" ht="16.5" x14ac:dyDescent="0.45">
      <c r="A988">
        <v>1987</v>
      </c>
      <c r="B988" t="s">
        <v>2438</v>
      </c>
      <c r="C988" t="s">
        <v>20</v>
      </c>
      <c r="D988" t="s">
        <v>42</v>
      </c>
      <c r="E988">
        <v>378311</v>
      </c>
      <c r="F988" s="1">
        <v>45296</v>
      </c>
      <c r="G988" s="1"/>
      <c r="I988">
        <v>2027</v>
      </c>
      <c r="K988">
        <v>4</v>
      </c>
      <c r="L988">
        <v>3</v>
      </c>
      <c r="M988" t="s">
        <v>22</v>
      </c>
      <c r="N988">
        <v>2017</v>
      </c>
      <c r="P988">
        <v>4</v>
      </c>
      <c r="Q988" t="s">
        <v>86</v>
      </c>
      <c r="R988" t="s">
        <v>673</v>
      </c>
      <c r="S988" t="s">
        <v>33</v>
      </c>
      <c r="T988" t="s">
        <v>493</v>
      </c>
    </row>
    <row r="989" spans="1:20" ht="16.5" x14ac:dyDescent="0.45">
      <c r="A989">
        <v>1988</v>
      </c>
      <c r="B989" t="s">
        <v>2439</v>
      </c>
      <c r="C989" t="s">
        <v>36</v>
      </c>
      <c r="D989" t="s">
        <v>29</v>
      </c>
      <c r="E989">
        <v>705846</v>
      </c>
      <c r="F989" s="1">
        <v>45460</v>
      </c>
      <c r="G989" s="1">
        <v>45580</v>
      </c>
      <c r="H989">
        <v>735382</v>
      </c>
      <c r="I989">
        <v>1905</v>
      </c>
      <c r="J989" s="5">
        <v>1400902710</v>
      </c>
      <c r="K989">
        <v>3</v>
      </c>
      <c r="L989">
        <v>2</v>
      </c>
      <c r="M989" t="s">
        <v>62</v>
      </c>
      <c r="N989">
        <v>2020</v>
      </c>
      <c r="O989">
        <v>3</v>
      </c>
      <c r="P989">
        <v>3</v>
      </c>
      <c r="Q989" t="s">
        <v>43</v>
      </c>
      <c r="R989" t="s">
        <v>2440</v>
      </c>
      <c r="S989" t="s">
        <v>25</v>
      </c>
      <c r="T989" t="s">
        <v>40</v>
      </c>
    </row>
    <row r="990" spans="1:20" ht="16.5" x14ac:dyDescent="0.45">
      <c r="A990">
        <v>1989</v>
      </c>
      <c r="B990" t="s">
        <v>2441</v>
      </c>
      <c r="C990" t="s">
        <v>36</v>
      </c>
      <c r="D990" t="s">
        <v>21</v>
      </c>
      <c r="E990">
        <v>350543</v>
      </c>
      <c r="F990" s="1">
        <v>45436</v>
      </c>
      <c r="G990" s="1"/>
      <c r="I990">
        <v>2581</v>
      </c>
      <c r="K990">
        <v>3</v>
      </c>
      <c r="L990">
        <v>2</v>
      </c>
      <c r="M990" t="s">
        <v>62</v>
      </c>
      <c r="N990">
        <v>2013</v>
      </c>
      <c r="O990">
        <v>3</v>
      </c>
      <c r="P990">
        <v>2</v>
      </c>
      <c r="Q990" t="s">
        <v>31</v>
      </c>
      <c r="R990" t="s">
        <v>2442</v>
      </c>
      <c r="S990" t="s">
        <v>33</v>
      </c>
      <c r="T990" t="s">
        <v>1544</v>
      </c>
    </row>
    <row r="991" spans="1:20" ht="16.5" x14ac:dyDescent="0.45">
      <c r="A991">
        <v>1990</v>
      </c>
      <c r="B991" t="s">
        <v>2443</v>
      </c>
      <c r="C991" t="s">
        <v>28</v>
      </c>
      <c r="D991" t="s">
        <v>21</v>
      </c>
      <c r="E991">
        <v>415358</v>
      </c>
      <c r="F991" s="1">
        <v>45405</v>
      </c>
      <c r="G991" s="1"/>
      <c r="I991">
        <v>1273</v>
      </c>
      <c r="K991">
        <v>5</v>
      </c>
      <c r="L991">
        <v>3</v>
      </c>
      <c r="M991" t="s">
        <v>37</v>
      </c>
      <c r="N991">
        <v>2023</v>
      </c>
      <c r="O991">
        <v>1</v>
      </c>
      <c r="P991">
        <v>2</v>
      </c>
      <c r="Q991" t="s">
        <v>75</v>
      </c>
      <c r="R991" t="s">
        <v>2444</v>
      </c>
      <c r="S991" t="s">
        <v>33</v>
      </c>
      <c r="T991" t="s">
        <v>964</v>
      </c>
    </row>
    <row r="992" spans="1:20" ht="16.5" x14ac:dyDescent="0.45">
      <c r="A992">
        <v>1991</v>
      </c>
      <c r="B992" t="s">
        <v>2445</v>
      </c>
      <c r="C992" t="s">
        <v>20</v>
      </c>
      <c r="D992" t="s">
        <v>21</v>
      </c>
      <c r="E992">
        <v>831889</v>
      </c>
      <c r="F992" s="1">
        <v>45352</v>
      </c>
      <c r="G992" s="1"/>
      <c r="I992">
        <v>2095</v>
      </c>
      <c r="K992">
        <v>4</v>
      </c>
      <c r="L992">
        <v>4</v>
      </c>
      <c r="M992" t="s">
        <v>30</v>
      </c>
      <c r="N992">
        <v>2016</v>
      </c>
      <c r="O992">
        <v>5</v>
      </c>
      <c r="P992">
        <v>4</v>
      </c>
      <c r="Q992" t="s">
        <v>38</v>
      </c>
      <c r="R992" t="s">
        <v>2446</v>
      </c>
      <c r="S992" t="s">
        <v>33</v>
      </c>
      <c r="T992" t="s">
        <v>2119</v>
      </c>
    </row>
    <row r="993" spans="1:20" ht="16.5" x14ac:dyDescent="0.45">
      <c r="A993">
        <v>1992</v>
      </c>
      <c r="B993" t="s">
        <v>2447</v>
      </c>
      <c r="C993" t="s">
        <v>28</v>
      </c>
      <c r="D993" t="s">
        <v>42</v>
      </c>
      <c r="E993">
        <v>446474</v>
      </c>
      <c r="F993" s="1">
        <v>45593</v>
      </c>
      <c r="G993" s="1">
        <v>45504</v>
      </c>
      <c r="H993">
        <v>470166</v>
      </c>
      <c r="I993">
        <v>4527</v>
      </c>
      <c r="J993" s="5">
        <v>2128441482</v>
      </c>
      <c r="K993">
        <v>4</v>
      </c>
      <c r="L993">
        <v>2</v>
      </c>
      <c r="M993" t="s">
        <v>30</v>
      </c>
      <c r="N993">
        <v>2004</v>
      </c>
      <c r="O993">
        <v>10</v>
      </c>
      <c r="P993">
        <v>4</v>
      </c>
      <c r="Q993" t="s">
        <v>38</v>
      </c>
      <c r="R993" t="s">
        <v>2448</v>
      </c>
      <c r="S993" t="s">
        <v>25</v>
      </c>
      <c r="T993" t="s">
        <v>2449</v>
      </c>
    </row>
    <row r="994" spans="1:20" ht="16.5" x14ac:dyDescent="0.45">
      <c r="A994">
        <v>1993</v>
      </c>
      <c r="B994" t="s">
        <v>2450</v>
      </c>
      <c r="C994" t="s">
        <v>20</v>
      </c>
      <c r="D994" t="s">
        <v>29</v>
      </c>
      <c r="E994">
        <v>650502</v>
      </c>
      <c r="F994" s="1">
        <v>45470</v>
      </c>
      <c r="G994" s="1">
        <v>45533</v>
      </c>
      <c r="H994">
        <v>667304</v>
      </c>
      <c r="I994">
        <v>1216</v>
      </c>
      <c r="J994" s="5">
        <v>811441664</v>
      </c>
      <c r="K994">
        <v>6</v>
      </c>
      <c r="L994">
        <v>4</v>
      </c>
      <c r="M994" t="s">
        <v>30</v>
      </c>
      <c r="N994">
        <v>2005</v>
      </c>
      <c r="O994">
        <v>1</v>
      </c>
      <c r="P994">
        <v>1</v>
      </c>
      <c r="Q994" t="s">
        <v>86</v>
      </c>
      <c r="R994" t="s">
        <v>2451</v>
      </c>
      <c r="S994" t="s">
        <v>25</v>
      </c>
      <c r="T994" t="s">
        <v>1882</v>
      </c>
    </row>
    <row r="995" spans="1:20" ht="16.5" x14ac:dyDescent="0.45">
      <c r="A995">
        <v>1994</v>
      </c>
      <c r="B995" t="s">
        <v>2452</v>
      </c>
      <c r="C995" t="s">
        <v>28</v>
      </c>
      <c r="D995" t="s">
        <v>42</v>
      </c>
      <c r="E995">
        <v>797573</v>
      </c>
      <c r="F995" s="1">
        <v>45526</v>
      </c>
      <c r="G995" s="1"/>
      <c r="I995">
        <v>2183</v>
      </c>
      <c r="K995">
        <v>6</v>
      </c>
      <c r="L995">
        <v>4</v>
      </c>
      <c r="M995" t="s">
        <v>37</v>
      </c>
      <c r="N995">
        <v>2006</v>
      </c>
      <c r="O995">
        <v>6</v>
      </c>
      <c r="P995">
        <v>1</v>
      </c>
      <c r="Q995" t="s">
        <v>23</v>
      </c>
      <c r="R995" t="s">
        <v>2453</v>
      </c>
      <c r="S995" t="s">
        <v>33</v>
      </c>
      <c r="T995" t="s">
        <v>40</v>
      </c>
    </row>
    <row r="996" spans="1:20" ht="16.5" x14ac:dyDescent="0.45">
      <c r="A996">
        <v>1995</v>
      </c>
      <c r="B996" t="s">
        <v>2454</v>
      </c>
      <c r="C996" t="s">
        <v>51</v>
      </c>
      <c r="D996" t="s">
        <v>29</v>
      </c>
      <c r="E996">
        <v>497302</v>
      </c>
      <c r="F996" s="1">
        <v>45552</v>
      </c>
      <c r="G996" s="1"/>
      <c r="I996">
        <v>2281</v>
      </c>
      <c r="K996">
        <v>2</v>
      </c>
      <c r="L996">
        <v>3</v>
      </c>
      <c r="M996" t="s">
        <v>37</v>
      </c>
      <c r="N996">
        <v>2014</v>
      </c>
      <c r="O996">
        <v>5</v>
      </c>
      <c r="P996">
        <v>3</v>
      </c>
      <c r="Q996" t="s">
        <v>132</v>
      </c>
      <c r="R996" t="s">
        <v>2455</v>
      </c>
      <c r="S996" t="s">
        <v>33</v>
      </c>
      <c r="T996" t="s">
        <v>91</v>
      </c>
    </row>
    <row r="997" spans="1:20" ht="16.5" x14ac:dyDescent="0.45">
      <c r="A997">
        <v>1996</v>
      </c>
      <c r="B997" t="s">
        <v>2456</v>
      </c>
      <c r="C997" t="s">
        <v>47</v>
      </c>
      <c r="D997" t="s">
        <v>29</v>
      </c>
      <c r="E997">
        <v>895223</v>
      </c>
      <c r="F997" s="1">
        <v>45286</v>
      </c>
      <c r="G997" s="1"/>
      <c r="I997">
        <v>4041</v>
      </c>
      <c r="K997">
        <v>3</v>
      </c>
      <c r="L997">
        <v>4</v>
      </c>
      <c r="M997" t="s">
        <v>30</v>
      </c>
      <c r="N997">
        <v>2006</v>
      </c>
      <c r="O997">
        <v>10</v>
      </c>
      <c r="P997">
        <v>1</v>
      </c>
      <c r="Q997" t="s">
        <v>58</v>
      </c>
      <c r="R997" t="s">
        <v>2269</v>
      </c>
      <c r="S997" t="s">
        <v>33</v>
      </c>
      <c r="T997" t="s">
        <v>77</v>
      </c>
    </row>
    <row r="998" spans="1:20" ht="16.5" x14ac:dyDescent="0.45">
      <c r="A998">
        <v>1997</v>
      </c>
      <c r="B998" t="s">
        <v>2457</v>
      </c>
      <c r="C998" t="s">
        <v>36</v>
      </c>
      <c r="D998" t="s">
        <v>21</v>
      </c>
      <c r="E998">
        <v>905499</v>
      </c>
      <c r="F998" s="1">
        <v>45593</v>
      </c>
      <c r="G998" s="1">
        <v>45474</v>
      </c>
      <c r="H998">
        <v>929845</v>
      </c>
      <c r="I998">
        <v>1580</v>
      </c>
      <c r="J998" s="5">
        <v>1469155100</v>
      </c>
      <c r="K998">
        <v>4</v>
      </c>
      <c r="L998">
        <v>3</v>
      </c>
      <c r="M998" t="s">
        <v>22</v>
      </c>
      <c r="N998">
        <v>2020</v>
      </c>
      <c r="P998">
        <v>4</v>
      </c>
      <c r="Q998" t="s">
        <v>162</v>
      </c>
      <c r="R998" t="s">
        <v>2458</v>
      </c>
      <c r="S998" t="s">
        <v>25</v>
      </c>
      <c r="T998" t="s">
        <v>2459</v>
      </c>
    </row>
    <row r="999" spans="1:20" ht="16.5" x14ac:dyDescent="0.45">
      <c r="A999">
        <v>1998</v>
      </c>
      <c r="B999" t="s">
        <v>2460</v>
      </c>
      <c r="C999" t="s">
        <v>51</v>
      </c>
      <c r="D999" t="s">
        <v>21</v>
      </c>
      <c r="E999">
        <v>830378</v>
      </c>
      <c r="F999" s="1">
        <v>45506</v>
      </c>
      <c r="G999" s="1">
        <v>45393</v>
      </c>
      <c r="H999">
        <v>847541</v>
      </c>
      <c r="I999">
        <v>4296</v>
      </c>
      <c r="J999" s="5">
        <v>3641036136</v>
      </c>
      <c r="K999">
        <v>3</v>
      </c>
      <c r="L999">
        <v>2</v>
      </c>
      <c r="M999" t="s">
        <v>37</v>
      </c>
      <c r="N999">
        <v>2017</v>
      </c>
      <c r="O999">
        <v>3</v>
      </c>
      <c r="P999">
        <v>2</v>
      </c>
      <c r="Q999" t="s">
        <v>43</v>
      </c>
      <c r="R999" t="s">
        <v>2461</v>
      </c>
      <c r="S999" t="s">
        <v>25</v>
      </c>
      <c r="T999" t="s">
        <v>2462</v>
      </c>
    </row>
    <row r="1000" spans="1:20" ht="16.5" x14ac:dyDescent="0.45">
      <c r="A1000">
        <v>1999</v>
      </c>
      <c r="B1000" t="s">
        <v>2463</v>
      </c>
      <c r="C1000" t="s">
        <v>36</v>
      </c>
      <c r="D1000" t="s">
        <v>21</v>
      </c>
      <c r="E1000">
        <v>791764</v>
      </c>
      <c r="F1000" s="1">
        <v>45611</v>
      </c>
      <c r="G1000" s="1"/>
      <c r="I1000">
        <v>2382</v>
      </c>
      <c r="K1000">
        <v>3</v>
      </c>
      <c r="L1000">
        <v>2</v>
      </c>
      <c r="M1000" t="s">
        <v>30</v>
      </c>
      <c r="N1000">
        <v>2012</v>
      </c>
      <c r="O1000">
        <v>10</v>
      </c>
      <c r="P1000">
        <v>3</v>
      </c>
      <c r="Q1000" t="s">
        <v>86</v>
      </c>
      <c r="R1000" t="s">
        <v>2464</v>
      </c>
      <c r="S1000" t="s">
        <v>33</v>
      </c>
      <c r="T1000" t="s">
        <v>2465</v>
      </c>
    </row>
    <row r="1001" spans="1:20" ht="16.5" x14ac:dyDescent="0.45">
      <c r="A1001">
        <v>2000</v>
      </c>
      <c r="B1001" t="s">
        <v>2466</v>
      </c>
      <c r="C1001" t="s">
        <v>20</v>
      </c>
      <c r="D1001" t="s">
        <v>42</v>
      </c>
      <c r="E1001">
        <v>933434</v>
      </c>
      <c r="F1001" s="1">
        <v>45338</v>
      </c>
      <c r="G1001" s="1">
        <v>45315</v>
      </c>
      <c r="H1001">
        <v>955774</v>
      </c>
      <c r="I1001">
        <v>1759</v>
      </c>
      <c r="J1001" s="5">
        <v>1681206466</v>
      </c>
      <c r="K1001">
        <v>3</v>
      </c>
      <c r="L1001">
        <v>4</v>
      </c>
      <c r="M1001" t="s">
        <v>37</v>
      </c>
      <c r="N1001">
        <v>2006</v>
      </c>
      <c r="O1001">
        <v>2</v>
      </c>
      <c r="P1001">
        <v>2</v>
      </c>
      <c r="Q1001" t="s">
        <v>31</v>
      </c>
      <c r="R1001" t="s">
        <v>2467</v>
      </c>
      <c r="S1001" t="s">
        <v>25</v>
      </c>
      <c r="T1001" t="s">
        <v>1658</v>
      </c>
    </row>
    <row r="1002" spans="1:20" ht="16.5" x14ac:dyDescent="0.45">
      <c r="A1002">
        <v>2001</v>
      </c>
      <c r="B1002" t="s">
        <v>2468</v>
      </c>
      <c r="C1002" t="s">
        <v>20</v>
      </c>
      <c r="D1002" t="s">
        <v>21</v>
      </c>
      <c r="E1002">
        <v>791129</v>
      </c>
      <c r="F1002" s="1">
        <v>45580</v>
      </c>
      <c r="G1002" s="1"/>
      <c r="I1002">
        <v>2144</v>
      </c>
      <c r="K1002">
        <v>4</v>
      </c>
      <c r="L1002">
        <v>2</v>
      </c>
      <c r="M1002" t="s">
        <v>37</v>
      </c>
      <c r="N1002">
        <v>2023</v>
      </c>
      <c r="O1002">
        <v>6</v>
      </c>
      <c r="P1002">
        <v>3</v>
      </c>
      <c r="Q1002" t="s">
        <v>23</v>
      </c>
      <c r="R1002" t="s">
        <v>2469</v>
      </c>
      <c r="S1002" t="s">
        <v>33</v>
      </c>
      <c r="T1002" t="s">
        <v>91</v>
      </c>
    </row>
    <row r="1003" spans="1:20" ht="16.5" x14ac:dyDescent="0.45">
      <c r="A1003">
        <v>2002</v>
      </c>
      <c r="B1003" t="s">
        <v>2470</v>
      </c>
      <c r="C1003" t="s">
        <v>36</v>
      </c>
      <c r="D1003" t="s">
        <v>42</v>
      </c>
      <c r="E1003">
        <v>838935</v>
      </c>
      <c r="F1003" s="1">
        <v>45459</v>
      </c>
      <c r="G1003" s="1"/>
      <c r="I1003">
        <v>4055</v>
      </c>
      <c r="K1003">
        <v>5</v>
      </c>
      <c r="L1003">
        <v>4</v>
      </c>
      <c r="M1003" t="s">
        <v>30</v>
      </c>
      <c r="N1003">
        <v>2021</v>
      </c>
      <c r="O1003">
        <v>10</v>
      </c>
      <c r="P1003">
        <v>1</v>
      </c>
      <c r="Q1003" t="s">
        <v>132</v>
      </c>
      <c r="R1003" t="s">
        <v>2471</v>
      </c>
      <c r="S1003" t="s">
        <v>33</v>
      </c>
      <c r="T1003" t="s">
        <v>2472</v>
      </c>
    </row>
    <row r="1004" spans="1:20" ht="16.5" x14ac:dyDescent="0.45">
      <c r="A1004">
        <v>2003</v>
      </c>
      <c r="B1004" t="s">
        <v>2473</v>
      </c>
      <c r="C1004" t="s">
        <v>20</v>
      </c>
      <c r="D1004" t="s">
        <v>42</v>
      </c>
      <c r="E1004">
        <v>742434</v>
      </c>
      <c r="F1004" s="1">
        <v>45617</v>
      </c>
      <c r="G1004" s="1"/>
      <c r="I1004">
        <v>3880</v>
      </c>
      <c r="K1004">
        <v>2</v>
      </c>
      <c r="L1004">
        <v>2</v>
      </c>
      <c r="M1004" t="s">
        <v>62</v>
      </c>
      <c r="N1004">
        <v>2012</v>
      </c>
      <c r="O1004">
        <v>1</v>
      </c>
      <c r="P1004">
        <v>2</v>
      </c>
      <c r="Q1004" t="s">
        <v>93</v>
      </c>
      <c r="R1004" t="s">
        <v>1236</v>
      </c>
      <c r="S1004" t="s">
        <v>33</v>
      </c>
      <c r="T1004" t="s">
        <v>128</v>
      </c>
    </row>
    <row r="1005" spans="1:20" ht="16.5" x14ac:dyDescent="0.45">
      <c r="A1005">
        <v>2004</v>
      </c>
      <c r="B1005" t="s">
        <v>2474</v>
      </c>
      <c r="C1005" t="s">
        <v>51</v>
      </c>
      <c r="D1005" t="s">
        <v>29</v>
      </c>
      <c r="E1005">
        <v>625232</v>
      </c>
      <c r="F1005" s="1">
        <v>45380</v>
      </c>
      <c r="G1005" s="1">
        <v>45392</v>
      </c>
      <c r="H1005">
        <v>637317</v>
      </c>
      <c r="I1005">
        <v>3365</v>
      </c>
      <c r="J1005" s="5">
        <v>2144571705</v>
      </c>
      <c r="K1005">
        <v>3</v>
      </c>
      <c r="L1005">
        <v>4</v>
      </c>
      <c r="M1005" t="s">
        <v>22</v>
      </c>
      <c r="N1005">
        <v>2018</v>
      </c>
      <c r="P1005">
        <v>3</v>
      </c>
      <c r="Q1005" t="s">
        <v>43</v>
      </c>
      <c r="R1005" t="s">
        <v>591</v>
      </c>
      <c r="S1005" t="s">
        <v>25</v>
      </c>
      <c r="T1005" t="s">
        <v>2475</v>
      </c>
    </row>
    <row r="1006" spans="1:20" ht="16.5" x14ac:dyDescent="0.45">
      <c r="A1006">
        <v>2005</v>
      </c>
      <c r="B1006" t="s">
        <v>2476</v>
      </c>
      <c r="C1006" t="s">
        <v>28</v>
      </c>
      <c r="D1006" t="s">
        <v>29</v>
      </c>
      <c r="E1006">
        <v>440160</v>
      </c>
      <c r="F1006" s="1">
        <v>45557</v>
      </c>
      <c r="G1006" s="1"/>
      <c r="I1006">
        <v>3467</v>
      </c>
      <c r="K1006">
        <v>2</v>
      </c>
      <c r="L1006">
        <v>2</v>
      </c>
      <c r="M1006" t="s">
        <v>62</v>
      </c>
      <c r="N1006">
        <v>2019</v>
      </c>
      <c r="O1006">
        <v>1</v>
      </c>
      <c r="P1006">
        <v>2</v>
      </c>
      <c r="Q1006" t="s">
        <v>31</v>
      </c>
      <c r="R1006" t="s">
        <v>2477</v>
      </c>
      <c r="S1006" t="s">
        <v>33</v>
      </c>
      <c r="T1006" t="s">
        <v>540</v>
      </c>
    </row>
    <row r="1007" spans="1:20" ht="16.5" x14ac:dyDescent="0.45">
      <c r="A1007">
        <v>2006</v>
      </c>
      <c r="B1007" t="s">
        <v>2478</v>
      </c>
      <c r="C1007" t="s">
        <v>51</v>
      </c>
      <c r="D1007" t="s">
        <v>21</v>
      </c>
      <c r="E1007">
        <v>403746</v>
      </c>
      <c r="F1007" s="1">
        <v>45286</v>
      </c>
      <c r="G1007" s="1"/>
      <c r="I1007">
        <v>1819</v>
      </c>
      <c r="K1007">
        <v>6</v>
      </c>
      <c r="L1007">
        <v>3</v>
      </c>
      <c r="M1007" t="s">
        <v>30</v>
      </c>
      <c r="N1007">
        <v>2001</v>
      </c>
      <c r="O1007">
        <v>3</v>
      </c>
      <c r="P1007">
        <v>2</v>
      </c>
      <c r="Q1007" t="s">
        <v>132</v>
      </c>
      <c r="R1007" t="s">
        <v>2479</v>
      </c>
      <c r="S1007" t="s">
        <v>33</v>
      </c>
      <c r="T1007" t="s">
        <v>964</v>
      </c>
    </row>
    <row r="1008" spans="1:20" ht="16.5" x14ac:dyDescent="0.45">
      <c r="A1008">
        <v>2007</v>
      </c>
      <c r="B1008" t="s">
        <v>2480</v>
      </c>
      <c r="C1008" t="s">
        <v>28</v>
      </c>
      <c r="D1008" t="s">
        <v>42</v>
      </c>
      <c r="E1008">
        <v>981250</v>
      </c>
      <c r="F1008" s="1">
        <v>45562</v>
      </c>
      <c r="G1008" s="1"/>
      <c r="I1008">
        <v>4169</v>
      </c>
      <c r="K1008">
        <v>5</v>
      </c>
      <c r="L1008">
        <v>2</v>
      </c>
      <c r="M1008" t="s">
        <v>22</v>
      </c>
      <c r="N1008">
        <v>2000</v>
      </c>
      <c r="P1008">
        <v>4</v>
      </c>
      <c r="Q1008" t="s">
        <v>86</v>
      </c>
      <c r="R1008" t="s">
        <v>2481</v>
      </c>
      <c r="S1008" t="s">
        <v>33</v>
      </c>
      <c r="T1008" t="s">
        <v>253</v>
      </c>
    </row>
    <row r="1009" spans="1:20" ht="16.5" x14ac:dyDescent="0.45">
      <c r="A1009">
        <v>2008</v>
      </c>
      <c r="B1009" t="s">
        <v>2482</v>
      </c>
      <c r="C1009" t="s">
        <v>20</v>
      </c>
      <c r="D1009" t="s">
        <v>21</v>
      </c>
      <c r="E1009">
        <v>369981</v>
      </c>
      <c r="F1009" s="1">
        <v>45505</v>
      </c>
      <c r="G1009" s="1"/>
      <c r="I1009">
        <v>3063</v>
      </c>
      <c r="K1009">
        <v>3</v>
      </c>
      <c r="L1009">
        <v>2</v>
      </c>
      <c r="M1009" t="s">
        <v>37</v>
      </c>
      <c r="N1009">
        <v>2000</v>
      </c>
      <c r="O1009">
        <v>7</v>
      </c>
      <c r="P1009">
        <v>2</v>
      </c>
      <c r="Q1009" t="s">
        <v>132</v>
      </c>
      <c r="R1009" t="s">
        <v>2483</v>
      </c>
      <c r="S1009" t="s">
        <v>33</v>
      </c>
      <c r="T1009" t="s">
        <v>1541</v>
      </c>
    </row>
    <row r="1010" spans="1:20" ht="16.5" x14ac:dyDescent="0.45">
      <c r="A1010">
        <v>2009</v>
      </c>
      <c r="B1010" t="s">
        <v>2484</v>
      </c>
      <c r="C1010" t="s">
        <v>28</v>
      </c>
      <c r="D1010" t="s">
        <v>29</v>
      </c>
      <c r="E1010">
        <v>713947</v>
      </c>
      <c r="F1010" s="1">
        <v>45596</v>
      </c>
      <c r="G1010" s="1"/>
      <c r="I1010">
        <v>1279</v>
      </c>
      <c r="K1010">
        <v>2</v>
      </c>
      <c r="L1010">
        <v>3</v>
      </c>
      <c r="M1010" t="s">
        <v>30</v>
      </c>
      <c r="N1010">
        <v>2006</v>
      </c>
      <c r="O1010">
        <v>6</v>
      </c>
      <c r="P1010">
        <v>1</v>
      </c>
      <c r="Q1010" t="s">
        <v>38</v>
      </c>
      <c r="R1010" t="s">
        <v>2485</v>
      </c>
      <c r="S1010" t="s">
        <v>33</v>
      </c>
      <c r="T1010" t="s">
        <v>70</v>
      </c>
    </row>
    <row r="1011" spans="1:20" ht="16.5" x14ac:dyDescent="0.45">
      <c r="A1011">
        <v>2010</v>
      </c>
      <c r="B1011" t="s">
        <v>2486</v>
      </c>
      <c r="C1011" t="s">
        <v>51</v>
      </c>
      <c r="D1011" t="s">
        <v>42</v>
      </c>
      <c r="E1011">
        <v>631499</v>
      </c>
      <c r="F1011" s="1">
        <v>45500</v>
      </c>
      <c r="G1011" s="1"/>
      <c r="I1011">
        <v>4718</v>
      </c>
      <c r="K1011">
        <v>5</v>
      </c>
      <c r="L1011">
        <v>2</v>
      </c>
      <c r="M1011" t="s">
        <v>30</v>
      </c>
      <c r="N1011">
        <v>2006</v>
      </c>
      <c r="O1011">
        <v>7</v>
      </c>
      <c r="P1011">
        <v>2</v>
      </c>
      <c r="Q1011" t="s">
        <v>162</v>
      </c>
      <c r="R1011" t="s">
        <v>2487</v>
      </c>
      <c r="S1011" t="s">
        <v>33</v>
      </c>
      <c r="T1011" t="s">
        <v>91</v>
      </c>
    </row>
    <row r="1012" spans="1:20" ht="16.5" x14ac:dyDescent="0.45">
      <c r="A1012">
        <v>2011</v>
      </c>
      <c r="B1012" t="s">
        <v>2488</v>
      </c>
      <c r="C1012" t="s">
        <v>51</v>
      </c>
      <c r="D1012" t="s">
        <v>29</v>
      </c>
      <c r="E1012">
        <v>774033</v>
      </c>
      <c r="F1012" s="1">
        <v>45317</v>
      </c>
      <c r="G1012" s="1">
        <v>45314</v>
      </c>
      <c r="H1012">
        <v>811832</v>
      </c>
      <c r="I1012">
        <v>1853</v>
      </c>
      <c r="J1012" s="5">
        <v>1504324696</v>
      </c>
      <c r="K1012">
        <v>3</v>
      </c>
      <c r="L1012">
        <v>2</v>
      </c>
      <c r="M1012" t="s">
        <v>30</v>
      </c>
      <c r="N1012">
        <v>2000</v>
      </c>
      <c r="O1012">
        <v>10</v>
      </c>
      <c r="P1012">
        <v>4</v>
      </c>
      <c r="Q1012" t="s">
        <v>75</v>
      </c>
      <c r="R1012" t="s">
        <v>2489</v>
      </c>
      <c r="S1012" t="s">
        <v>25</v>
      </c>
      <c r="T1012" t="s">
        <v>560</v>
      </c>
    </row>
    <row r="1013" spans="1:20" ht="16.5" x14ac:dyDescent="0.45">
      <c r="A1013">
        <v>2012</v>
      </c>
      <c r="B1013" t="s">
        <v>2490</v>
      </c>
      <c r="C1013" t="s">
        <v>20</v>
      </c>
      <c r="D1013" t="s">
        <v>42</v>
      </c>
      <c r="E1013">
        <v>390126</v>
      </c>
      <c r="F1013" s="1">
        <v>45344</v>
      </c>
      <c r="G1013" s="1"/>
      <c r="I1013">
        <v>2793</v>
      </c>
      <c r="K1013">
        <v>5</v>
      </c>
      <c r="L1013">
        <v>3</v>
      </c>
      <c r="M1013" t="s">
        <v>30</v>
      </c>
      <c r="N1013">
        <v>2019</v>
      </c>
      <c r="O1013">
        <v>5</v>
      </c>
      <c r="P1013">
        <v>1</v>
      </c>
      <c r="Q1013" t="s">
        <v>43</v>
      </c>
      <c r="R1013" t="s">
        <v>1886</v>
      </c>
      <c r="S1013" t="s">
        <v>33</v>
      </c>
      <c r="T1013" t="s">
        <v>236</v>
      </c>
    </row>
    <row r="1014" spans="1:20" ht="16.5" x14ac:dyDescent="0.45">
      <c r="A1014">
        <v>2013</v>
      </c>
      <c r="B1014" t="s">
        <v>2491</v>
      </c>
      <c r="C1014" t="s">
        <v>36</v>
      </c>
      <c r="D1014" t="s">
        <v>21</v>
      </c>
      <c r="E1014">
        <v>651540</v>
      </c>
      <c r="F1014" s="1">
        <v>45330</v>
      </c>
      <c r="G1014" s="1"/>
      <c r="I1014">
        <v>3042</v>
      </c>
      <c r="K1014">
        <v>2</v>
      </c>
      <c r="L1014">
        <v>2</v>
      </c>
      <c r="M1014" t="s">
        <v>30</v>
      </c>
      <c r="N1014">
        <v>2017</v>
      </c>
      <c r="O1014">
        <v>1</v>
      </c>
      <c r="P1014">
        <v>4</v>
      </c>
      <c r="Q1014" t="s">
        <v>43</v>
      </c>
      <c r="R1014" t="s">
        <v>2492</v>
      </c>
      <c r="S1014" t="s">
        <v>33</v>
      </c>
      <c r="T1014" t="s">
        <v>77</v>
      </c>
    </row>
    <row r="1015" spans="1:20" ht="16.5" x14ac:dyDescent="0.45">
      <c r="A1015">
        <v>2014</v>
      </c>
      <c r="B1015" t="s">
        <v>2493</v>
      </c>
      <c r="C1015" t="s">
        <v>36</v>
      </c>
      <c r="D1015" t="s">
        <v>29</v>
      </c>
      <c r="E1015">
        <v>885247</v>
      </c>
      <c r="F1015" s="1">
        <v>45443</v>
      </c>
      <c r="G1015" s="1">
        <v>45499</v>
      </c>
      <c r="H1015">
        <v>934548</v>
      </c>
      <c r="I1015">
        <v>1089</v>
      </c>
      <c r="J1015" s="5">
        <v>1017722772</v>
      </c>
      <c r="K1015">
        <v>3</v>
      </c>
      <c r="L1015">
        <v>4</v>
      </c>
      <c r="M1015" t="s">
        <v>37</v>
      </c>
      <c r="N1015">
        <v>2002</v>
      </c>
      <c r="O1015">
        <v>5</v>
      </c>
      <c r="P1015">
        <v>3</v>
      </c>
      <c r="Q1015" t="s">
        <v>58</v>
      </c>
      <c r="R1015" t="s">
        <v>2494</v>
      </c>
      <c r="S1015" t="s">
        <v>25</v>
      </c>
      <c r="T1015" t="s">
        <v>2495</v>
      </c>
    </row>
    <row r="1016" spans="1:20" ht="16.5" x14ac:dyDescent="0.45">
      <c r="A1016">
        <v>2015</v>
      </c>
      <c r="B1016" t="s">
        <v>2496</v>
      </c>
      <c r="C1016" t="s">
        <v>47</v>
      </c>
      <c r="D1016" t="s">
        <v>21</v>
      </c>
      <c r="E1016">
        <v>872640</v>
      </c>
      <c r="F1016" s="1">
        <v>45352</v>
      </c>
      <c r="G1016" s="1"/>
      <c r="I1016">
        <v>4307</v>
      </c>
      <c r="K1016">
        <v>4</v>
      </c>
      <c r="L1016">
        <v>4</v>
      </c>
      <c r="M1016" t="s">
        <v>37</v>
      </c>
      <c r="N1016">
        <v>2016</v>
      </c>
      <c r="O1016">
        <v>4</v>
      </c>
      <c r="P1016">
        <v>4</v>
      </c>
      <c r="Q1016" t="s">
        <v>75</v>
      </c>
      <c r="R1016" t="s">
        <v>2497</v>
      </c>
      <c r="S1016" t="s">
        <v>33</v>
      </c>
      <c r="T1016" t="s">
        <v>2498</v>
      </c>
    </row>
    <row r="1017" spans="1:20" ht="16.5" x14ac:dyDescent="0.45">
      <c r="A1017">
        <v>2016</v>
      </c>
      <c r="B1017" t="s">
        <v>2499</v>
      </c>
      <c r="C1017" t="s">
        <v>20</v>
      </c>
      <c r="D1017" t="s">
        <v>29</v>
      </c>
      <c r="E1017">
        <v>431007</v>
      </c>
      <c r="F1017" s="1">
        <v>45333</v>
      </c>
      <c r="G1017" s="1"/>
      <c r="I1017">
        <v>3034</v>
      </c>
      <c r="K1017">
        <v>3</v>
      </c>
      <c r="L1017">
        <v>3</v>
      </c>
      <c r="M1017" t="s">
        <v>62</v>
      </c>
      <c r="N1017">
        <v>2009</v>
      </c>
      <c r="O1017">
        <v>9</v>
      </c>
      <c r="P1017">
        <v>2</v>
      </c>
      <c r="Q1017" t="s">
        <v>23</v>
      </c>
      <c r="R1017" t="s">
        <v>2500</v>
      </c>
      <c r="S1017" t="s">
        <v>33</v>
      </c>
      <c r="T1017" t="s">
        <v>128</v>
      </c>
    </row>
    <row r="1018" spans="1:20" ht="16.5" x14ac:dyDescent="0.45">
      <c r="A1018">
        <v>2017</v>
      </c>
      <c r="B1018" t="s">
        <v>2501</v>
      </c>
      <c r="C1018" t="s">
        <v>47</v>
      </c>
      <c r="D1018" t="s">
        <v>29</v>
      </c>
      <c r="E1018">
        <v>434206</v>
      </c>
      <c r="F1018" s="1">
        <v>45416</v>
      </c>
      <c r="G1018" s="1"/>
      <c r="I1018">
        <v>4270</v>
      </c>
      <c r="K1018">
        <v>3</v>
      </c>
      <c r="L1018">
        <v>3</v>
      </c>
      <c r="M1018" t="s">
        <v>22</v>
      </c>
      <c r="N1018">
        <v>2008</v>
      </c>
      <c r="P1018">
        <v>3</v>
      </c>
      <c r="Q1018" t="s">
        <v>162</v>
      </c>
      <c r="R1018" t="s">
        <v>2502</v>
      </c>
      <c r="S1018" t="s">
        <v>33</v>
      </c>
      <c r="T1018" t="s">
        <v>180</v>
      </c>
    </row>
    <row r="1019" spans="1:20" ht="16.5" x14ac:dyDescent="0.45">
      <c r="A1019">
        <v>2018</v>
      </c>
      <c r="B1019" t="s">
        <v>2503</v>
      </c>
      <c r="C1019" t="s">
        <v>28</v>
      </c>
      <c r="D1019" t="s">
        <v>42</v>
      </c>
      <c r="E1019">
        <v>672650</v>
      </c>
      <c r="F1019" s="1">
        <v>45469</v>
      </c>
      <c r="G1019" s="1">
        <v>45548</v>
      </c>
      <c r="H1019">
        <v>685450</v>
      </c>
      <c r="I1019">
        <v>4595</v>
      </c>
      <c r="J1019" s="5">
        <v>3149642750</v>
      </c>
      <c r="K1019">
        <v>2</v>
      </c>
      <c r="L1019">
        <v>4</v>
      </c>
      <c r="M1019" t="s">
        <v>37</v>
      </c>
      <c r="N1019">
        <v>2005</v>
      </c>
      <c r="O1019">
        <v>1</v>
      </c>
      <c r="P1019">
        <v>3</v>
      </c>
      <c r="Q1019" t="s">
        <v>132</v>
      </c>
      <c r="R1019" t="s">
        <v>2504</v>
      </c>
      <c r="S1019" t="s">
        <v>25</v>
      </c>
      <c r="T1019" t="s">
        <v>830</v>
      </c>
    </row>
    <row r="1020" spans="1:20" ht="16.5" x14ac:dyDescent="0.45">
      <c r="A1020">
        <v>2019</v>
      </c>
      <c r="B1020" t="s">
        <v>2505</v>
      </c>
      <c r="C1020" t="s">
        <v>20</v>
      </c>
      <c r="D1020" t="s">
        <v>29</v>
      </c>
      <c r="E1020">
        <v>929581</v>
      </c>
      <c r="F1020" s="1">
        <v>45410</v>
      </c>
      <c r="G1020" s="1">
        <v>45493</v>
      </c>
      <c r="H1020">
        <v>952895</v>
      </c>
      <c r="I1020">
        <v>3606</v>
      </c>
      <c r="J1020" s="5">
        <v>3436139370</v>
      </c>
      <c r="K1020">
        <v>4</v>
      </c>
      <c r="L1020">
        <v>5</v>
      </c>
      <c r="M1020" t="s">
        <v>22</v>
      </c>
      <c r="N1020">
        <v>2018</v>
      </c>
      <c r="P1020">
        <v>2</v>
      </c>
      <c r="Q1020" t="s">
        <v>132</v>
      </c>
      <c r="R1020" t="s">
        <v>2506</v>
      </c>
      <c r="S1020" t="s">
        <v>25</v>
      </c>
      <c r="T1020" t="s">
        <v>925</v>
      </c>
    </row>
    <row r="1021" spans="1:20" ht="16.5" x14ac:dyDescent="0.45">
      <c r="A1021">
        <v>2020</v>
      </c>
      <c r="B1021" t="s">
        <v>2507</v>
      </c>
      <c r="C1021" t="s">
        <v>28</v>
      </c>
      <c r="D1021" t="s">
        <v>21</v>
      </c>
      <c r="E1021">
        <v>994210</v>
      </c>
      <c r="F1021" s="1">
        <v>45357</v>
      </c>
      <c r="G1021" s="1"/>
      <c r="I1021">
        <v>1374</v>
      </c>
      <c r="K1021">
        <v>6</v>
      </c>
      <c r="L1021">
        <v>3</v>
      </c>
      <c r="M1021" t="s">
        <v>30</v>
      </c>
      <c r="N1021">
        <v>2010</v>
      </c>
      <c r="O1021">
        <v>2</v>
      </c>
      <c r="P1021">
        <v>4</v>
      </c>
      <c r="Q1021" t="s">
        <v>162</v>
      </c>
      <c r="R1021" t="s">
        <v>2508</v>
      </c>
      <c r="S1021" t="s">
        <v>33</v>
      </c>
      <c r="T1021" t="s">
        <v>1062</v>
      </c>
    </row>
    <row r="1022" spans="1:20" ht="16.5" x14ac:dyDescent="0.45">
      <c r="A1022">
        <v>2021</v>
      </c>
      <c r="B1022" t="s">
        <v>2509</v>
      </c>
      <c r="C1022" t="s">
        <v>28</v>
      </c>
      <c r="D1022" t="s">
        <v>29</v>
      </c>
      <c r="E1022">
        <v>305822</v>
      </c>
      <c r="F1022" s="1">
        <v>45427</v>
      </c>
      <c r="G1022" s="1"/>
      <c r="I1022">
        <v>3728</v>
      </c>
      <c r="K1022">
        <v>3</v>
      </c>
      <c r="L1022">
        <v>4</v>
      </c>
      <c r="M1022" t="s">
        <v>62</v>
      </c>
      <c r="N1022">
        <v>2015</v>
      </c>
      <c r="O1022">
        <v>10</v>
      </c>
      <c r="P1022">
        <v>2</v>
      </c>
      <c r="Q1022" t="s">
        <v>23</v>
      </c>
      <c r="R1022" t="s">
        <v>2510</v>
      </c>
      <c r="S1022" t="s">
        <v>33</v>
      </c>
      <c r="T1022" t="s">
        <v>40</v>
      </c>
    </row>
    <row r="1023" spans="1:20" ht="16.5" x14ac:dyDescent="0.45">
      <c r="A1023">
        <v>2022</v>
      </c>
      <c r="B1023" t="s">
        <v>2511</v>
      </c>
      <c r="C1023" t="s">
        <v>20</v>
      </c>
      <c r="D1023" t="s">
        <v>29</v>
      </c>
      <c r="E1023">
        <v>869842</v>
      </c>
      <c r="F1023" s="1">
        <v>45287</v>
      </c>
      <c r="G1023" s="1"/>
      <c r="I1023">
        <v>4578</v>
      </c>
      <c r="K1023">
        <v>3</v>
      </c>
      <c r="L1023">
        <v>2</v>
      </c>
      <c r="M1023" t="s">
        <v>22</v>
      </c>
      <c r="N1023">
        <v>2000</v>
      </c>
      <c r="P1023">
        <v>4</v>
      </c>
      <c r="Q1023" t="s">
        <v>132</v>
      </c>
      <c r="R1023" t="s">
        <v>2512</v>
      </c>
      <c r="S1023" t="s">
        <v>33</v>
      </c>
      <c r="T1023" t="s">
        <v>2513</v>
      </c>
    </row>
    <row r="1024" spans="1:20" ht="16.5" x14ac:dyDescent="0.45">
      <c r="A1024">
        <v>2023</v>
      </c>
      <c r="B1024" t="s">
        <v>2514</v>
      </c>
      <c r="C1024" t="s">
        <v>47</v>
      </c>
      <c r="D1024" t="s">
        <v>29</v>
      </c>
      <c r="E1024">
        <v>412946</v>
      </c>
      <c r="F1024" s="1">
        <v>45451</v>
      </c>
      <c r="G1024" s="1">
        <v>45500</v>
      </c>
      <c r="H1024">
        <v>431490</v>
      </c>
      <c r="I1024">
        <v>4901</v>
      </c>
      <c r="J1024" s="5">
        <v>2114732490</v>
      </c>
      <c r="K1024">
        <v>2</v>
      </c>
      <c r="L1024">
        <v>3</v>
      </c>
      <c r="M1024" t="s">
        <v>22</v>
      </c>
      <c r="N1024">
        <v>2018</v>
      </c>
      <c r="P1024">
        <v>2</v>
      </c>
      <c r="Q1024" t="s">
        <v>86</v>
      </c>
      <c r="R1024" t="s">
        <v>2515</v>
      </c>
      <c r="S1024" t="s">
        <v>25</v>
      </c>
      <c r="T1024" t="s">
        <v>284</v>
      </c>
    </row>
    <row r="1025" spans="1:20" ht="16.5" x14ac:dyDescent="0.45">
      <c r="A1025">
        <v>2024</v>
      </c>
      <c r="B1025" t="s">
        <v>2516</v>
      </c>
      <c r="C1025" t="s">
        <v>51</v>
      </c>
      <c r="D1025" t="s">
        <v>42</v>
      </c>
      <c r="E1025">
        <v>370303</v>
      </c>
      <c r="F1025" s="1">
        <v>45343</v>
      </c>
      <c r="G1025" s="1">
        <v>45306</v>
      </c>
      <c r="H1025">
        <v>417076</v>
      </c>
      <c r="I1025">
        <v>1278</v>
      </c>
      <c r="J1025" s="5">
        <v>533023128</v>
      </c>
      <c r="K1025">
        <v>3</v>
      </c>
      <c r="L1025">
        <v>5</v>
      </c>
      <c r="M1025" t="s">
        <v>62</v>
      </c>
      <c r="N1025">
        <v>2021</v>
      </c>
      <c r="O1025">
        <v>6</v>
      </c>
      <c r="P1025">
        <v>4</v>
      </c>
      <c r="Q1025" t="s">
        <v>31</v>
      </c>
      <c r="R1025" t="s">
        <v>2517</v>
      </c>
      <c r="S1025" t="s">
        <v>25</v>
      </c>
      <c r="T1025" t="s">
        <v>91</v>
      </c>
    </row>
    <row r="1026" spans="1:20" ht="16.5" x14ac:dyDescent="0.45">
      <c r="A1026">
        <v>2025</v>
      </c>
      <c r="B1026" t="s">
        <v>2518</v>
      </c>
      <c r="C1026" t="s">
        <v>28</v>
      </c>
      <c r="D1026" t="s">
        <v>21</v>
      </c>
      <c r="E1026">
        <v>362395</v>
      </c>
      <c r="F1026" s="1">
        <v>45596</v>
      </c>
      <c r="G1026" s="1">
        <v>45347</v>
      </c>
      <c r="H1026">
        <v>387509</v>
      </c>
      <c r="I1026">
        <v>1250</v>
      </c>
      <c r="J1026" s="5">
        <v>484386250</v>
      </c>
      <c r="K1026">
        <v>2</v>
      </c>
      <c r="L1026">
        <v>2</v>
      </c>
      <c r="M1026" t="s">
        <v>62</v>
      </c>
      <c r="N1026">
        <v>2014</v>
      </c>
      <c r="O1026">
        <v>6</v>
      </c>
      <c r="P1026">
        <v>1</v>
      </c>
      <c r="Q1026" t="s">
        <v>38</v>
      </c>
      <c r="R1026" t="s">
        <v>1082</v>
      </c>
      <c r="S1026" t="s">
        <v>25</v>
      </c>
      <c r="T1026" t="s">
        <v>2519</v>
      </c>
    </row>
    <row r="1027" spans="1:20" ht="16.5" x14ac:dyDescent="0.45">
      <c r="A1027">
        <v>2026</v>
      </c>
      <c r="B1027" t="s">
        <v>2520</v>
      </c>
      <c r="C1027" t="s">
        <v>47</v>
      </c>
      <c r="D1027" t="s">
        <v>21</v>
      </c>
      <c r="E1027">
        <v>687033</v>
      </c>
      <c r="F1027" s="1">
        <v>45519</v>
      </c>
      <c r="G1027" s="1">
        <v>45487</v>
      </c>
      <c r="H1027">
        <v>719365</v>
      </c>
      <c r="I1027">
        <v>3212</v>
      </c>
      <c r="J1027" s="5">
        <v>2310600380</v>
      </c>
      <c r="K1027">
        <v>3</v>
      </c>
      <c r="L1027">
        <v>5</v>
      </c>
      <c r="M1027" t="s">
        <v>22</v>
      </c>
      <c r="N1027">
        <v>2014</v>
      </c>
      <c r="P1027">
        <v>2</v>
      </c>
      <c r="Q1027" t="s">
        <v>58</v>
      </c>
      <c r="R1027" t="s">
        <v>2521</v>
      </c>
      <c r="S1027" t="s">
        <v>25</v>
      </c>
      <c r="T1027" t="s">
        <v>1242</v>
      </c>
    </row>
    <row r="1028" spans="1:20" ht="16.5" x14ac:dyDescent="0.45">
      <c r="A1028">
        <v>2027</v>
      </c>
      <c r="B1028" t="s">
        <v>2522</v>
      </c>
      <c r="C1028" t="s">
        <v>20</v>
      </c>
      <c r="D1028" t="s">
        <v>21</v>
      </c>
      <c r="E1028">
        <v>815846</v>
      </c>
      <c r="F1028" s="1">
        <v>45315</v>
      </c>
      <c r="G1028" s="1">
        <v>45369</v>
      </c>
      <c r="H1028">
        <v>855195</v>
      </c>
      <c r="I1028">
        <v>3326</v>
      </c>
      <c r="J1028" s="5">
        <v>2844378570</v>
      </c>
      <c r="K1028">
        <v>6</v>
      </c>
      <c r="L1028">
        <v>2</v>
      </c>
      <c r="M1028" t="s">
        <v>37</v>
      </c>
      <c r="N1028">
        <v>2000</v>
      </c>
      <c r="O1028">
        <v>3</v>
      </c>
      <c r="P1028">
        <v>2</v>
      </c>
      <c r="Q1028" t="s">
        <v>43</v>
      </c>
      <c r="R1028" t="s">
        <v>2523</v>
      </c>
      <c r="S1028" t="s">
        <v>25</v>
      </c>
      <c r="T1028" t="s">
        <v>40</v>
      </c>
    </row>
    <row r="1029" spans="1:20" ht="16.5" x14ac:dyDescent="0.45">
      <c r="A1029">
        <v>2028</v>
      </c>
      <c r="B1029" t="s">
        <v>2524</v>
      </c>
      <c r="C1029" t="s">
        <v>51</v>
      </c>
      <c r="D1029" t="s">
        <v>21</v>
      </c>
      <c r="E1029">
        <v>308242</v>
      </c>
      <c r="F1029" s="1">
        <v>45583</v>
      </c>
      <c r="G1029" s="1">
        <v>45641</v>
      </c>
      <c r="H1029">
        <v>332697</v>
      </c>
      <c r="I1029">
        <v>4649</v>
      </c>
      <c r="J1029" s="5">
        <v>1546708353</v>
      </c>
      <c r="K1029">
        <v>3</v>
      </c>
      <c r="L1029">
        <v>3</v>
      </c>
      <c r="M1029" t="s">
        <v>30</v>
      </c>
      <c r="N1029">
        <v>2015</v>
      </c>
      <c r="O1029">
        <v>5</v>
      </c>
      <c r="P1029">
        <v>2</v>
      </c>
      <c r="Q1029" t="s">
        <v>93</v>
      </c>
      <c r="R1029" t="s">
        <v>2525</v>
      </c>
      <c r="S1029" t="s">
        <v>25</v>
      </c>
      <c r="T1029" t="s">
        <v>128</v>
      </c>
    </row>
    <row r="1030" spans="1:20" ht="16.5" x14ac:dyDescent="0.45">
      <c r="A1030">
        <v>2029</v>
      </c>
      <c r="B1030" t="s">
        <v>2526</v>
      </c>
      <c r="C1030" t="s">
        <v>20</v>
      </c>
      <c r="D1030" t="s">
        <v>42</v>
      </c>
      <c r="E1030">
        <v>589650</v>
      </c>
      <c r="F1030" s="1">
        <v>45456</v>
      </c>
      <c r="G1030" s="1"/>
      <c r="I1030">
        <v>4997</v>
      </c>
      <c r="K1030">
        <v>6</v>
      </c>
      <c r="L1030">
        <v>2</v>
      </c>
      <c r="M1030" t="s">
        <v>30</v>
      </c>
      <c r="N1030">
        <v>2019</v>
      </c>
      <c r="O1030">
        <v>2</v>
      </c>
      <c r="P1030">
        <v>1</v>
      </c>
      <c r="Q1030" t="s">
        <v>93</v>
      </c>
      <c r="R1030" t="s">
        <v>2527</v>
      </c>
      <c r="S1030" t="s">
        <v>33</v>
      </c>
      <c r="T1030" t="s">
        <v>158</v>
      </c>
    </row>
    <row r="1031" spans="1:20" ht="16.5" x14ac:dyDescent="0.45">
      <c r="A1031">
        <v>2030</v>
      </c>
      <c r="B1031" t="s">
        <v>2528</v>
      </c>
      <c r="C1031" t="s">
        <v>28</v>
      </c>
      <c r="D1031" t="s">
        <v>21</v>
      </c>
      <c r="E1031">
        <v>692304</v>
      </c>
      <c r="F1031" s="1">
        <v>45587</v>
      </c>
      <c r="G1031" s="1"/>
      <c r="I1031">
        <v>4204</v>
      </c>
      <c r="K1031">
        <v>6</v>
      </c>
      <c r="L1031">
        <v>4</v>
      </c>
      <c r="M1031" t="s">
        <v>62</v>
      </c>
      <c r="N1031">
        <v>2023</v>
      </c>
      <c r="O1031">
        <v>10</v>
      </c>
      <c r="P1031">
        <v>4</v>
      </c>
      <c r="Q1031" t="s">
        <v>38</v>
      </c>
      <c r="R1031" t="s">
        <v>2529</v>
      </c>
      <c r="S1031" t="s">
        <v>33</v>
      </c>
      <c r="T1031" t="s">
        <v>77</v>
      </c>
    </row>
    <row r="1032" spans="1:20" ht="16.5" x14ac:dyDescent="0.45">
      <c r="A1032">
        <v>2031</v>
      </c>
      <c r="B1032" t="s">
        <v>2530</v>
      </c>
      <c r="C1032" t="s">
        <v>28</v>
      </c>
      <c r="D1032" t="s">
        <v>42</v>
      </c>
      <c r="E1032">
        <v>465865</v>
      </c>
      <c r="F1032" s="1">
        <v>45418</v>
      </c>
      <c r="G1032" s="1">
        <v>45520</v>
      </c>
      <c r="H1032">
        <v>498463</v>
      </c>
      <c r="I1032">
        <v>1334</v>
      </c>
      <c r="J1032" s="5">
        <v>664949642</v>
      </c>
      <c r="K1032">
        <v>2</v>
      </c>
      <c r="L1032">
        <v>5</v>
      </c>
      <c r="M1032" t="s">
        <v>22</v>
      </c>
      <c r="N1032">
        <v>2012</v>
      </c>
      <c r="P1032">
        <v>4</v>
      </c>
      <c r="Q1032" t="s">
        <v>132</v>
      </c>
      <c r="R1032" t="s">
        <v>2531</v>
      </c>
      <c r="S1032" t="s">
        <v>25</v>
      </c>
      <c r="T1032" t="s">
        <v>2532</v>
      </c>
    </row>
    <row r="1033" spans="1:20" ht="16.5" x14ac:dyDescent="0.45">
      <c r="A1033">
        <v>2032</v>
      </c>
      <c r="B1033" t="s">
        <v>2533</v>
      </c>
      <c r="C1033" t="s">
        <v>47</v>
      </c>
      <c r="D1033" t="s">
        <v>21</v>
      </c>
      <c r="E1033">
        <v>579555</v>
      </c>
      <c r="F1033" s="1">
        <v>45363</v>
      </c>
      <c r="G1033" s="1">
        <v>45491</v>
      </c>
      <c r="H1033">
        <v>594811</v>
      </c>
      <c r="I1033">
        <v>3288</v>
      </c>
      <c r="J1033" s="5">
        <v>1955738568</v>
      </c>
      <c r="K1033">
        <v>6</v>
      </c>
      <c r="L1033">
        <v>3</v>
      </c>
      <c r="M1033" t="s">
        <v>22</v>
      </c>
      <c r="N1033">
        <v>2017</v>
      </c>
      <c r="P1033">
        <v>3</v>
      </c>
      <c r="Q1033" t="s">
        <v>38</v>
      </c>
      <c r="R1033" t="s">
        <v>2534</v>
      </c>
      <c r="S1033" t="s">
        <v>25</v>
      </c>
      <c r="T1033" t="s">
        <v>2535</v>
      </c>
    </row>
    <row r="1034" spans="1:20" ht="16.5" x14ac:dyDescent="0.45">
      <c r="A1034">
        <v>2033</v>
      </c>
      <c r="B1034" t="s">
        <v>2536</v>
      </c>
      <c r="C1034" t="s">
        <v>47</v>
      </c>
      <c r="D1034" t="s">
        <v>29</v>
      </c>
      <c r="E1034">
        <v>769260</v>
      </c>
      <c r="F1034" s="1">
        <v>45290</v>
      </c>
      <c r="G1034" s="1">
        <v>45595</v>
      </c>
      <c r="H1034">
        <v>799053</v>
      </c>
      <c r="I1034">
        <v>2667</v>
      </c>
      <c r="J1034" s="5">
        <v>2131074351</v>
      </c>
      <c r="K1034">
        <v>2</v>
      </c>
      <c r="L1034">
        <v>5</v>
      </c>
      <c r="M1034" t="s">
        <v>30</v>
      </c>
      <c r="N1034">
        <v>2016</v>
      </c>
      <c r="O1034">
        <v>6</v>
      </c>
      <c r="P1034">
        <v>3</v>
      </c>
      <c r="Q1034" t="s">
        <v>58</v>
      </c>
      <c r="R1034" t="s">
        <v>2537</v>
      </c>
      <c r="S1034" t="s">
        <v>25</v>
      </c>
      <c r="T1034" t="s">
        <v>125</v>
      </c>
    </row>
    <row r="1035" spans="1:20" ht="16.5" x14ac:dyDescent="0.45">
      <c r="A1035">
        <v>2034</v>
      </c>
      <c r="B1035" t="s">
        <v>2538</v>
      </c>
      <c r="C1035" t="s">
        <v>20</v>
      </c>
      <c r="D1035" t="s">
        <v>21</v>
      </c>
      <c r="E1035">
        <v>772797</v>
      </c>
      <c r="F1035" s="1">
        <v>45487</v>
      </c>
      <c r="G1035" s="1">
        <v>45623</v>
      </c>
      <c r="H1035">
        <v>791365</v>
      </c>
      <c r="I1035">
        <v>3283</v>
      </c>
      <c r="J1035" s="5">
        <v>2598051295</v>
      </c>
      <c r="K1035">
        <v>5</v>
      </c>
      <c r="L1035">
        <v>5</v>
      </c>
      <c r="M1035" t="s">
        <v>62</v>
      </c>
      <c r="N1035">
        <v>2018</v>
      </c>
      <c r="O1035">
        <v>5</v>
      </c>
      <c r="P1035">
        <v>1</v>
      </c>
      <c r="Q1035" t="s">
        <v>38</v>
      </c>
      <c r="R1035" t="s">
        <v>2539</v>
      </c>
      <c r="S1035" t="s">
        <v>25</v>
      </c>
      <c r="T1035" t="s">
        <v>183</v>
      </c>
    </row>
    <row r="1036" spans="1:20" ht="16.5" x14ac:dyDescent="0.45">
      <c r="A1036">
        <v>2035</v>
      </c>
      <c r="B1036" t="s">
        <v>2540</v>
      </c>
      <c r="C1036" t="s">
        <v>36</v>
      </c>
      <c r="D1036" t="s">
        <v>21</v>
      </c>
      <c r="E1036">
        <v>545905</v>
      </c>
      <c r="F1036" s="1">
        <v>45463</v>
      </c>
      <c r="G1036" s="1"/>
      <c r="I1036">
        <v>1463</v>
      </c>
      <c r="K1036">
        <v>6</v>
      </c>
      <c r="L1036">
        <v>4</v>
      </c>
      <c r="M1036" t="s">
        <v>37</v>
      </c>
      <c r="N1036">
        <v>2023</v>
      </c>
      <c r="O1036">
        <v>10</v>
      </c>
      <c r="P1036">
        <v>3</v>
      </c>
      <c r="Q1036" t="s">
        <v>132</v>
      </c>
      <c r="R1036" t="s">
        <v>1318</v>
      </c>
      <c r="S1036" t="s">
        <v>33</v>
      </c>
      <c r="T1036" t="s">
        <v>77</v>
      </c>
    </row>
    <row r="1037" spans="1:20" ht="16.5" x14ac:dyDescent="0.45">
      <c r="A1037">
        <v>2036</v>
      </c>
      <c r="B1037" t="s">
        <v>2541</v>
      </c>
      <c r="C1037" t="s">
        <v>47</v>
      </c>
      <c r="D1037" t="s">
        <v>21</v>
      </c>
      <c r="E1037">
        <v>578396</v>
      </c>
      <c r="F1037" s="1">
        <v>45336</v>
      </c>
      <c r="G1037" s="1">
        <v>45631</v>
      </c>
      <c r="H1037">
        <v>605899</v>
      </c>
      <c r="I1037">
        <v>3154</v>
      </c>
      <c r="J1037" s="5">
        <v>1911005446</v>
      </c>
      <c r="K1037">
        <v>3</v>
      </c>
      <c r="L1037">
        <v>4</v>
      </c>
      <c r="M1037" t="s">
        <v>62</v>
      </c>
      <c r="N1037">
        <v>2016</v>
      </c>
      <c r="O1037">
        <v>4</v>
      </c>
      <c r="P1037">
        <v>4</v>
      </c>
      <c r="Q1037" t="s">
        <v>38</v>
      </c>
      <c r="R1037" t="s">
        <v>2542</v>
      </c>
      <c r="S1037" t="s">
        <v>25</v>
      </c>
      <c r="T1037" t="s">
        <v>2543</v>
      </c>
    </row>
    <row r="1038" spans="1:20" ht="16.5" x14ac:dyDescent="0.45">
      <c r="A1038">
        <v>2037</v>
      </c>
      <c r="B1038" t="s">
        <v>2544</v>
      </c>
      <c r="C1038" t="s">
        <v>28</v>
      </c>
      <c r="D1038" t="s">
        <v>29</v>
      </c>
      <c r="E1038">
        <v>602495</v>
      </c>
      <c r="F1038" s="1">
        <v>45526</v>
      </c>
      <c r="G1038" s="1"/>
      <c r="I1038">
        <v>4983</v>
      </c>
      <c r="K1038">
        <v>2</v>
      </c>
      <c r="L1038">
        <v>5</v>
      </c>
      <c r="M1038" t="s">
        <v>30</v>
      </c>
      <c r="N1038">
        <v>2009</v>
      </c>
      <c r="O1038">
        <v>10</v>
      </c>
      <c r="P1038">
        <v>1</v>
      </c>
      <c r="Q1038" t="s">
        <v>75</v>
      </c>
      <c r="R1038" t="s">
        <v>2545</v>
      </c>
      <c r="S1038" t="s">
        <v>33</v>
      </c>
      <c r="T1038" t="s">
        <v>137</v>
      </c>
    </row>
    <row r="1039" spans="1:20" ht="16.5" x14ac:dyDescent="0.45">
      <c r="A1039">
        <v>2038</v>
      </c>
      <c r="B1039" t="s">
        <v>2546</v>
      </c>
      <c r="C1039" t="s">
        <v>36</v>
      </c>
      <c r="D1039" t="s">
        <v>21</v>
      </c>
      <c r="E1039">
        <v>935990</v>
      </c>
      <c r="F1039" s="1">
        <v>45311</v>
      </c>
      <c r="G1039" s="1"/>
      <c r="I1039">
        <v>3005</v>
      </c>
      <c r="K1039">
        <v>3</v>
      </c>
      <c r="L1039">
        <v>5</v>
      </c>
      <c r="M1039" t="s">
        <v>37</v>
      </c>
      <c r="N1039">
        <v>2012</v>
      </c>
      <c r="O1039">
        <v>1</v>
      </c>
      <c r="P1039">
        <v>2</v>
      </c>
      <c r="Q1039" t="s">
        <v>31</v>
      </c>
      <c r="R1039" t="s">
        <v>2547</v>
      </c>
      <c r="S1039" t="s">
        <v>33</v>
      </c>
      <c r="T1039" t="s">
        <v>180</v>
      </c>
    </row>
    <row r="1040" spans="1:20" ht="16.5" x14ac:dyDescent="0.45">
      <c r="A1040">
        <v>2039</v>
      </c>
      <c r="B1040" t="s">
        <v>2548</v>
      </c>
      <c r="C1040" t="s">
        <v>20</v>
      </c>
      <c r="D1040" t="s">
        <v>21</v>
      </c>
      <c r="E1040">
        <v>808392</v>
      </c>
      <c r="F1040" s="1">
        <v>45528</v>
      </c>
      <c r="G1040" s="1">
        <v>45451</v>
      </c>
      <c r="H1040">
        <v>819991</v>
      </c>
      <c r="I1040">
        <v>2104</v>
      </c>
      <c r="J1040" s="5">
        <v>1725261064</v>
      </c>
      <c r="K1040">
        <v>2</v>
      </c>
      <c r="L1040">
        <v>2</v>
      </c>
      <c r="M1040" t="s">
        <v>62</v>
      </c>
      <c r="N1040">
        <v>2015</v>
      </c>
      <c r="O1040">
        <v>1</v>
      </c>
      <c r="P1040">
        <v>4</v>
      </c>
      <c r="Q1040" t="s">
        <v>93</v>
      </c>
      <c r="R1040" t="s">
        <v>2549</v>
      </c>
      <c r="S1040" t="s">
        <v>25</v>
      </c>
      <c r="T1040" t="s">
        <v>998</v>
      </c>
    </row>
    <row r="1041" spans="1:20" ht="16.5" x14ac:dyDescent="0.45">
      <c r="A1041">
        <v>2040</v>
      </c>
      <c r="B1041" t="s">
        <v>2550</v>
      </c>
      <c r="C1041" t="s">
        <v>51</v>
      </c>
      <c r="D1041" t="s">
        <v>29</v>
      </c>
      <c r="E1041">
        <v>773187</v>
      </c>
      <c r="F1041" s="1">
        <v>45638</v>
      </c>
      <c r="G1041" s="1">
        <v>45416</v>
      </c>
      <c r="H1041">
        <v>820798</v>
      </c>
      <c r="I1041">
        <v>4514</v>
      </c>
      <c r="J1041" s="5">
        <v>3705082172</v>
      </c>
      <c r="K1041">
        <v>3</v>
      </c>
      <c r="L1041">
        <v>5</v>
      </c>
      <c r="M1041" t="s">
        <v>22</v>
      </c>
      <c r="N1041">
        <v>2013</v>
      </c>
      <c r="P1041">
        <v>1</v>
      </c>
      <c r="Q1041" t="s">
        <v>58</v>
      </c>
      <c r="R1041" t="s">
        <v>2551</v>
      </c>
      <c r="S1041" t="s">
        <v>25</v>
      </c>
      <c r="T1041" t="s">
        <v>256</v>
      </c>
    </row>
    <row r="1042" spans="1:20" ht="16.5" x14ac:dyDescent="0.45">
      <c r="A1042">
        <v>2041</v>
      </c>
      <c r="B1042" t="s">
        <v>2552</v>
      </c>
      <c r="C1042" t="s">
        <v>51</v>
      </c>
      <c r="D1042" t="s">
        <v>42</v>
      </c>
      <c r="E1042">
        <v>866464</v>
      </c>
      <c r="F1042" s="1">
        <v>45359</v>
      </c>
      <c r="G1042" s="1"/>
      <c r="I1042">
        <v>3710</v>
      </c>
      <c r="K1042">
        <v>3</v>
      </c>
      <c r="L1042">
        <v>4</v>
      </c>
      <c r="M1042" t="s">
        <v>30</v>
      </c>
      <c r="N1042">
        <v>2008</v>
      </c>
      <c r="O1042">
        <v>6</v>
      </c>
      <c r="P1042">
        <v>1</v>
      </c>
      <c r="Q1042" t="s">
        <v>58</v>
      </c>
      <c r="R1042" t="s">
        <v>2553</v>
      </c>
      <c r="S1042" t="s">
        <v>33</v>
      </c>
      <c r="T1042" t="s">
        <v>180</v>
      </c>
    </row>
    <row r="1043" spans="1:20" ht="16.5" x14ac:dyDescent="0.45">
      <c r="A1043">
        <v>2042</v>
      </c>
      <c r="B1043" t="s">
        <v>2554</v>
      </c>
      <c r="C1043" t="s">
        <v>28</v>
      </c>
      <c r="D1043" t="s">
        <v>42</v>
      </c>
      <c r="E1043">
        <v>685179</v>
      </c>
      <c r="F1043" s="1">
        <v>45587</v>
      </c>
      <c r="G1043" s="1">
        <v>45313</v>
      </c>
      <c r="H1043">
        <v>723454</v>
      </c>
      <c r="I1043">
        <v>4577</v>
      </c>
      <c r="J1043" s="5">
        <v>3311248958</v>
      </c>
      <c r="K1043">
        <v>3</v>
      </c>
      <c r="L1043">
        <v>4</v>
      </c>
      <c r="M1043" t="s">
        <v>62</v>
      </c>
      <c r="N1043">
        <v>2021</v>
      </c>
      <c r="O1043">
        <v>4</v>
      </c>
      <c r="P1043">
        <v>2</v>
      </c>
      <c r="Q1043" t="s">
        <v>43</v>
      </c>
      <c r="R1043" t="s">
        <v>2555</v>
      </c>
      <c r="S1043" t="s">
        <v>25</v>
      </c>
      <c r="T1043" t="s">
        <v>183</v>
      </c>
    </row>
    <row r="1044" spans="1:20" ht="16.5" x14ac:dyDescent="0.45">
      <c r="A1044">
        <v>2043</v>
      </c>
      <c r="B1044" t="s">
        <v>2556</v>
      </c>
      <c r="C1044" t="s">
        <v>28</v>
      </c>
      <c r="D1044" t="s">
        <v>21</v>
      </c>
      <c r="E1044">
        <v>306099</v>
      </c>
      <c r="F1044" s="1">
        <v>45580</v>
      </c>
      <c r="G1044" s="1">
        <v>45341</v>
      </c>
      <c r="H1044">
        <v>325151</v>
      </c>
      <c r="I1044">
        <v>1565</v>
      </c>
      <c r="J1044" s="5">
        <v>508861315</v>
      </c>
      <c r="K1044">
        <v>4</v>
      </c>
      <c r="L1044">
        <v>5</v>
      </c>
      <c r="M1044" t="s">
        <v>62</v>
      </c>
      <c r="N1044">
        <v>2016</v>
      </c>
      <c r="O1044">
        <v>1</v>
      </c>
      <c r="P1044">
        <v>1</v>
      </c>
      <c r="Q1044" t="s">
        <v>43</v>
      </c>
      <c r="R1044" t="s">
        <v>2557</v>
      </c>
      <c r="S1044" t="s">
        <v>25</v>
      </c>
      <c r="T1044" t="s">
        <v>137</v>
      </c>
    </row>
    <row r="1045" spans="1:20" ht="16.5" x14ac:dyDescent="0.45">
      <c r="A1045">
        <v>2044</v>
      </c>
      <c r="B1045" t="s">
        <v>2558</v>
      </c>
      <c r="C1045" t="s">
        <v>20</v>
      </c>
      <c r="D1045" t="s">
        <v>29</v>
      </c>
      <c r="E1045">
        <v>981218</v>
      </c>
      <c r="F1045" s="1">
        <v>45381</v>
      </c>
      <c r="G1045" s="1"/>
      <c r="I1045">
        <v>3977</v>
      </c>
      <c r="K1045">
        <v>6</v>
      </c>
      <c r="L1045">
        <v>2</v>
      </c>
      <c r="M1045" t="s">
        <v>62</v>
      </c>
      <c r="N1045">
        <v>2017</v>
      </c>
      <c r="O1045">
        <v>3</v>
      </c>
      <c r="P1045">
        <v>4</v>
      </c>
      <c r="Q1045" t="s">
        <v>86</v>
      </c>
      <c r="R1045" t="s">
        <v>2559</v>
      </c>
      <c r="S1045" t="s">
        <v>33</v>
      </c>
      <c r="T1045" t="s">
        <v>77</v>
      </c>
    </row>
    <row r="1046" spans="1:20" ht="16.5" x14ac:dyDescent="0.45">
      <c r="A1046">
        <v>2045</v>
      </c>
      <c r="B1046" t="s">
        <v>2560</v>
      </c>
      <c r="C1046" t="s">
        <v>47</v>
      </c>
      <c r="D1046" t="s">
        <v>29</v>
      </c>
      <c r="E1046">
        <v>675196</v>
      </c>
      <c r="F1046" s="1">
        <v>45476</v>
      </c>
      <c r="G1046" s="1"/>
      <c r="I1046">
        <v>3774</v>
      </c>
      <c r="K1046">
        <v>4</v>
      </c>
      <c r="L1046">
        <v>5</v>
      </c>
      <c r="M1046" t="s">
        <v>62</v>
      </c>
      <c r="N1046">
        <v>2012</v>
      </c>
      <c r="O1046">
        <v>3</v>
      </c>
      <c r="P1046">
        <v>2</v>
      </c>
      <c r="Q1046" t="s">
        <v>75</v>
      </c>
      <c r="R1046" t="s">
        <v>2561</v>
      </c>
      <c r="S1046" t="s">
        <v>33</v>
      </c>
      <c r="T1046" t="s">
        <v>878</v>
      </c>
    </row>
    <row r="1047" spans="1:20" ht="16.5" x14ac:dyDescent="0.45">
      <c r="A1047">
        <v>2046</v>
      </c>
      <c r="B1047" t="s">
        <v>2562</v>
      </c>
      <c r="C1047" t="s">
        <v>36</v>
      </c>
      <c r="D1047" t="s">
        <v>21</v>
      </c>
      <c r="E1047">
        <v>643100</v>
      </c>
      <c r="F1047" s="1">
        <v>45323</v>
      </c>
      <c r="G1047" s="1"/>
      <c r="I1047">
        <v>3761</v>
      </c>
      <c r="K1047">
        <v>5</v>
      </c>
      <c r="L1047">
        <v>4</v>
      </c>
      <c r="M1047" t="s">
        <v>62</v>
      </c>
      <c r="N1047">
        <v>2008</v>
      </c>
      <c r="O1047">
        <v>6</v>
      </c>
      <c r="P1047">
        <v>2</v>
      </c>
      <c r="Q1047" t="s">
        <v>75</v>
      </c>
      <c r="R1047" t="s">
        <v>2563</v>
      </c>
      <c r="S1047" t="s">
        <v>33</v>
      </c>
      <c r="T1047" t="s">
        <v>998</v>
      </c>
    </row>
    <row r="1048" spans="1:20" ht="16.5" x14ac:dyDescent="0.45">
      <c r="A1048">
        <v>2047</v>
      </c>
      <c r="B1048" t="s">
        <v>2564</v>
      </c>
      <c r="C1048" t="s">
        <v>47</v>
      </c>
      <c r="D1048" t="s">
        <v>42</v>
      </c>
      <c r="E1048">
        <v>767353</v>
      </c>
      <c r="F1048" s="1">
        <v>45402</v>
      </c>
      <c r="G1048" s="1">
        <v>45329</v>
      </c>
      <c r="H1048">
        <v>802223</v>
      </c>
      <c r="I1048">
        <v>3379</v>
      </c>
      <c r="J1048" s="5">
        <v>2710711517</v>
      </c>
      <c r="K1048">
        <v>6</v>
      </c>
      <c r="L1048">
        <v>4</v>
      </c>
      <c r="M1048" t="s">
        <v>62</v>
      </c>
      <c r="N1048">
        <v>2013</v>
      </c>
      <c r="O1048">
        <v>6</v>
      </c>
      <c r="P1048">
        <v>2</v>
      </c>
      <c r="Q1048" t="s">
        <v>93</v>
      </c>
      <c r="R1048" t="s">
        <v>2565</v>
      </c>
      <c r="S1048" t="s">
        <v>25</v>
      </c>
      <c r="T1048" t="s">
        <v>230</v>
      </c>
    </row>
    <row r="1049" spans="1:20" ht="16.5" x14ac:dyDescent="0.45">
      <c r="A1049">
        <v>2048</v>
      </c>
      <c r="B1049" t="s">
        <v>2566</v>
      </c>
      <c r="C1049" t="s">
        <v>36</v>
      </c>
      <c r="D1049" t="s">
        <v>21</v>
      </c>
      <c r="E1049">
        <v>534319</v>
      </c>
      <c r="F1049" s="1">
        <v>45601</v>
      </c>
      <c r="G1049" s="1">
        <v>45380</v>
      </c>
      <c r="H1049">
        <v>563538</v>
      </c>
      <c r="I1049">
        <v>4618</v>
      </c>
      <c r="J1049" s="5">
        <v>2602418484</v>
      </c>
      <c r="K1049">
        <v>6</v>
      </c>
      <c r="L1049">
        <v>5</v>
      </c>
      <c r="M1049" t="s">
        <v>37</v>
      </c>
      <c r="N1049">
        <v>2013</v>
      </c>
      <c r="O1049">
        <v>5</v>
      </c>
      <c r="P1049">
        <v>4</v>
      </c>
      <c r="Q1049" t="s">
        <v>43</v>
      </c>
      <c r="R1049" t="s">
        <v>2567</v>
      </c>
      <c r="S1049" t="s">
        <v>25</v>
      </c>
      <c r="T1049" t="s">
        <v>2568</v>
      </c>
    </row>
    <row r="1050" spans="1:20" ht="16.5" x14ac:dyDescent="0.45">
      <c r="A1050">
        <v>2049</v>
      </c>
      <c r="B1050" t="s">
        <v>2569</v>
      </c>
      <c r="C1050" t="s">
        <v>36</v>
      </c>
      <c r="D1050" t="s">
        <v>21</v>
      </c>
      <c r="E1050">
        <v>852307</v>
      </c>
      <c r="F1050" s="1">
        <v>45641</v>
      </c>
      <c r="G1050" s="1"/>
      <c r="I1050">
        <v>2730</v>
      </c>
      <c r="K1050">
        <v>4</v>
      </c>
      <c r="L1050">
        <v>4</v>
      </c>
      <c r="M1050" t="s">
        <v>22</v>
      </c>
      <c r="N1050">
        <v>2016</v>
      </c>
      <c r="P1050">
        <v>2</v>
      </c>
      <c r="Q1050" t="s">
        <v>132</v>
      </c>
      <c r="R1050" t="s">
        <v>2570</v>
      </c>
      <c r="S1050" t="s">
        <v>33</v>
      </c>
      <c r="T1050" t="s">
        <v>91</v>
      </c>
    </row>
    <row r="1051" spans="1:20" ht="16.5" x14ac:dyDescent="0.45">
      <c r="A1051">
        <v>2050</v>
      </c>
      <c r="B1051" t="s">
        <v>2571</v>
      </c>
      <c r="C1051" t="s">
        <v>20</v>
      </c>
      <c r="D1051" t="s">
        <v>29</v>
      </c>
      <c r="E1051">
        <v>576312</v>
      </c>
      <c r="F1051" s="1">
        <v>45440</v>
      </c>
      <c r="G1051" s="1">
        <v>45285</v>
      </c>
      <c r="H1051">
        <v>616448</v>
      </c>
      <c r="I1051">
        <v>2419</v>
      </c>
      <c r="J1051" s="5">
        <v>1491187712</v>
      </c>
      <c r="K1051">
        <v>2</v>
      </c>
      <c r="L1051">
        <v>5</v>
      </c>
      <c r="M1051" t="s">
        <v>62</v>
      </c>
      <c r="N1051">
        <v>2023</v>
      </c>
      <c r="O1051">
        <v>5</v>
      </c>
      <c r="P1051">
        <v>1</v>
      </c>
      <c r="Q1051" t="s">
        <v>23</v>
      </c>
      <c r="R1051" t="s">
        <v>2572</v>
      </c>
      <c r="S1051" t="s">
        <v>25</v>
      </c>
      <c r="T1051" t="s">
        <v>128</v>
      </c>
    </row>
    <row r="1052" spans="1:20" ht="16.5" x14ac:dyDescent="0.45">
      <c r="A1052">
        <v>2051</v>
      </c>
      <c r="B1052" t="s">
        <v>2573</v>
      </c>
      <c r="C1052" t="s">
        <v>36</v>
      </c>
      <c r="D1052" t="s">
        <v>21</v>
      </c>
      <c r="E1052">
        <v>914863</v>
      </c>
      <c r="F1052" s="1">
        <v>45350</v>
      </c>
      <c r="G1052" s="1">
        <v>45489</v>
      </c>
      <c r="H1052">
        <v>947493</v>
      </c>
      <c r="I1052">
        <v>3770</v>
      </c>
      <c r="J1052" s="5">
        <v>3572048610</v>
      </c>
      <c r="K1052">
        <v>4</v>
      </c>
      <c r="L1052">
        <v>5</v>
      </c>
      <c r="M1052" t="s">
        <v>22</v>
      </c>
      <c r="N1052">
        <v>2023</v>
      </c>
      <c r="P1052">
        <v>4</v>
      </c>
      <c r="Q1052" t="s">
        <v>31</v>
      </c>
      <c r="R1052" t="s">
        <v>2574</v>
      </c>
      <c r="S1052" t="s">
        <v>25</v>
      </c>
      <c r="T1052" t="s">
        <v>70</v>
      </c>
    </row>
    <row r="1053" spans="1:20" ht="16.5" x14ac:dyDescent="0.45">
      <c r="A1053">
        <v>2052</v>
      </c>
      <c r="B1053" t="s">
        <v>2575</v>
      </c>
      <c r="C1053" t="s">
        <v>28</v>
      </c>
      <c r="D1053" t="s">
        <v>21</v>
      </c>
      <c r="E1053">
        <v>776294</v>
      </c>
      <c r="F1053" s="1">
        <v>45319</v>
      </c>
      <c r="G1053" s="1">
        <v>45518</v>
      </c>
      <c r="H1053">
        <v>823920</v>
      </c>
      <c r="I1053">
        <v>3612</v>
      </c>
      <c r="J1053" s="5">
        <v>2975999040</v>
      </c>
      <c r="K1053">
        <v>3</v>
      </c>
      <c r="L1053">
        <v>2</v>
      </c>
      <c r="M1053" t="s">
        <v>22</v>
      </c>
      <c r="N1053">
        <v>2023</v>
      </c>
      <c r="P1053">
        <v>1</v>
      </c>
      <c r="Q1053" t="s">
        <v>31</v>
      </c>
      <c r="R1053" t="s">
        <v>2576</v>
      </c>
      <c r="S1053" t="s">
        <v>25</v>
      </c>
      <c r="T1053" t="s">
        <v>833</v>
      </c>
    </row>
    <row r="1054" spans="1:20" ht="16.5" x14ac:dyDescent="0.45">
      <c r="A1054">
        <v>2053</v>
      </c>
      <c r="B1054" t="s">
        <v>2577</v>
      </c>
      <c r="C1054" t="s">
        <v>20</v>
      </c>
      <c r="D1054" t="s">
        <v>29</v>
      </c>
      <c r="E1054">
        <v>985709</v>
      </c>
      <c r="F1054" s="1">
        <v>45458</v>
      </c>
      <c r="G1054" s="1"/>
      <c r="I1054">
        <v>3200</v>
      </c>
      <c r="K1054">
        <v>3</v>
      </c>
      <c r="L1054">
        <v>5</v>
      </c>
      <c r="M1054" t="s">
        <v>62</v>
      </c>
      <c r="N1054">
        <v>2012</v>
      </c>
      <c r="O1054">
        <v>2</v>
      </c>
      <c r="P1054">
        <v>1</v>
      </c>
      <c r="Q1054" t="s">
        <v>132</v>
      </c>
      <c r="R1054" t="s">
        <v>2578</v>
      </c>
      <c r="S1054" t="s">
        <v>33</v>
      </c>
      <c r="T1054" t="s">
        <v>2263</v>
      </c>
    </row>
    <row r="1055" spans="1:20" ht="16.5" x14ac:dyDescent="0.45">
      <c r="A1055">
        <v>2054</v>
      </c>
      <c r="B1055" t="s">
        <v>2579</v>
      </c>
      <c r="C1055" t="s">
        <v>47</v>
      </c>
      <c r="D1055" t="s">
        <v>29</v>
      </c>
      <c r="E1055">
        <v>984790</v>
      </c>
      <c r="F1055" s="1">
        <v>45554</v>
      </c>
      <c r="G1055" s="1">
        <v>45396</v>
      </c>
      <c r="H1055">
        <v>1005596</v>
      </c>
      <c r="I1055">
        <v>2606</v>
      </c>
      <c r="J1055" s="5">
        <v>2620583176</v>
      </c>
      <c r="K1055">
        <v>4</v>
      </c>
      <c r="L1055">
        <v>2</v>
      </c>
      <c r="M1055" t="s">
        <v>22</v>
      </c>
      <c r="N1055">
        <v>2013</v>
      </c>
      <c r="P1055">
        <v>1</v>
      </c>
      <c r="Q1055" t="s">
        <v>23</v>
      </c>
      <c r="R1055" t="s">
        <v>2580</v>
      </c>
      <c r="S1055" t="s">
        <v>25</v>
      </c>
      <c r="T1055" t="s">
        <v>1596</v>
      </c>
    </row>
    <row r="1056" spans="1:20" ht="16.5" x14ac:dyDescent="0.45">
      <c r="A1056">
        <v>2055</v>
      </c>
      <c r="B1056" t="s">
        <v>2581</v>
      </c>
      <c r="C1056" t="s">
        <v>36</v>
      </c>
      <c r="D1056" t="s">
        <v>42</v>
      </c>
      <c r="E1056">
        <v>358257</v>
      </c>
      <c r="F1056" s="1">
        <v>45363</v>
      </c>
      <c r="G1056" s="1"/>
      <c r="I1056">
        <v>4832</v>
      </c>
      <c r="K1056">
        <v>6</v>
      </c>
      <c r="L1056">
        <v>3</v>
      </c>
      <c r="M1056" t="s">
        <v>30</v>
      </c>
      <c r="N1056">
        <v>2016</v>
      </c>
      <c r="O1056">
        <v>3</v>
      </c>
      <c r="P1056">
        <v>1</v>
      </c>
      <c r="Q1056" t="s">
        <v>86</v>
      </c>
      <c r="R1056" t="s">
        <v>2582</v>
      </c>
      <c r="S1056" t="s">
        <v>33</v>
      </c>
      <c r="T1056" t="s">
        <v>128</v>
      </c>
    </row>
    <row r="1057" spans="1:20" ht="16.5" x14ac:dyDescent="0.45">
      <c r="A1057">
        <v>2056</v>
      </c>
      <c r="B1057" t="s">
        <v>2583</v>
      </c>
      <c r="C1057" t="s">
        <v>28</v>
      </c>
      <c r="D1057" t="s">
        <v>42</v>
      </c>
      <c r="E1057">
        <v>341804</v>
      </c>
      <c r="F1057" s="1">
        <v>45290</v>
      </c>
      <c r="G1057" s="1"/>
      <c r="I1057">
        <v>3821</v>
      </c>
      <c r="K1057">
        <v>6</v>
      </c>
      <c r="L1057">
        <v>5</v>
      </c>
      <c r="M1057" t="s">
        <v>22</v>
      </c>
      <c r="N1057">
        <v>2006</v>
      </c>
      <c r="P1057">
        <v>3</v>
      </c>
      <c r="Q1057" t="s">
        <v>162</v>
      </c>
      <c r="R1057" t="s">
        <v>2584</v>
      </c>
      <c r="S1057" t="s">
        <v>33</v>
      </c>
      <c r="T1057" t="s">
        <v>2585</v>
      </c>
    </row>
    <row r="1058" spans="1:20" ht="16.5" x14ac:dyDescent="0.45">
      <c r="A1058">
        <v>2057</v>
      </c>
      <c r="B1058" t="s">
        <v>2586</v>
      </c>
      <c r="C1058" t="s">
        <v>51</v>
      </c>
      <c r="D1058" t="s">
        <v>42</v>
      </c>
      <c r="E1058">
        <v>431451</v>
      </c>
      <c r="F1058" s="1">
        <v>45557</v>
      </c>
      <c r="G1058" s="1"/>
      <c r="I1058">
        <v>1606</v>
      </c>
      <c r="K1058">
        <v>3</v>
      </c>
      <c r="L1058">
        <v>2</v>
      </c>
      <c r="M1058" t="s">
        <v>37</v>
      </c>
      <c r="N1058">
        <v>2010</v>
      </c>
      <c r="O1058">
        <v>7</v>
      </c>
      <c r="P1058">
        <v>3</v>
      </c>
      <c r="Q1058" t="s">
        <v>31</v>
      </c>
      <c r="R1058" t="s">
        <v>2587</v>
      </c>
      <c r="S1058" t="s">
        <v>33</v>
      </c>
      <c r="T1058" t="s">
        <v>2588</v>
      </c>
    </row>
    <row r="1059" spans="1:20" ht="16.5" x14ac:dyDescent="0.45">
      <c r="A1059">
        <v>2058</v>
      </c>
      <c r="B1059" t="s">
        <v>2589</v>
      </c>
      <c r="C1059" t="s">
        <v>20</v>
      </c>
      <c r="D1059" t="s">
        <v>21</v>
      </c>
      <c r="E1059">
        <v>438333</v>
      </c>
      <c r="F1059" s="1">
        <v>45396</v>
      </c>
      <c r="G1059" s="1">
        <v>45345</v>
      </c>
      <c r="H1059">
        <v>481612</v>
      </c>
      <c r="I1059">
        <v>2452</v>
      </c>
      <c r="J1059" s="5">
        <v>1180912624</v>
      </c>
      <c r="K1059">
        <v>3</v>
      </c>
      <c r="L1059">
        <v>4</v>
      </c>
      <c r="M1059" t="s">
        <v>22</v>
      </c>
      <c r="N1059">
        <v>2004</v>
      </c>
      <c r="P1059">
        <v>3</v>
      </c>
      <c r="Q1059" t="s">
        <v>132</v>
      </c>
      <c r="R1059" t="s">
        <v>2590</v>
      </c>
      <c r="S1059" t="s">
        <v>25</v>
      </c>
      <c r="T1059" t="s">
        <v>2591</v>
      </c>
    </row>
    <row r="1060" spans="1:20" ht="16.5" x14ac:dyDescent="0.45">
      <c r="A1060">
        <v>2059</v>
      </c>
      <c r="B1060" t="s">
        <v>2592</v>
      </c>
      <c r="C1060" t="s">
        <v>20</v>
      </c>
      <c r="D1060" t="s">
        <v>21</v>
      </c>
      <c r="E1060">
        <v>935447</v>
      </c>
      <c r="F1060" s="1">
        <v>45329</v>
      </c>
      <c r="G1060" s="1"/>
      <c r="I1060">
        <v>4433</v>
      </c>
      <c r="K1060">
        <v>5</v>
      </c>
      <c r="L1060">
        <v>3</v>
      </c>
      <c r="M1060" t="s">
        <v>30</v>
      </c>
      <c r="N1060">
        <v>2011</v>
      </c>
      <c r="O1060">
        <v>1</v>
      </c>
      <c r="P1060">
        <v>4</v>
      </c>
      <c r="Q1060" t="s">
        <v>31</v>
      </c>
      <c r="R1060" t="s">
        <v>2593</v>
      </c>
      <c r="S1060" t="s">
        <v>33</v>
      </c>
      <c r="T1060" t="s">
        <v>372</v>
      </c>
    </row>
    <row r="1061" spans="1:20" ht="16.5" x14ac:dyDescent="0.45">
      <c r="A1061">
        <v>2060</v>
      </c>
      <c r="B1061" t="s">
        <v>2594</v>
      </c>
      <c r="C1061" t="s">
        <v>47</v>
      </c>
      <c r="D1061" t="s">
        <v>21</v>
      </c>
      <c r="E1061">
        <v>997156</v>
      </c>
      <c r="F1061" s="1">
        <v>45576</v>
      </c>
      <c r="G1061" s="1"/>
      <c r="I1061">
        <v>2477</v>
      </c>
      <c r="K1061">
        <v>6</v>
      </c>
      <c r="L1061">
        <v>5</v>
      </c>
      <c r="M1061" t="s">
        <v>22</v>
      </c>
      <c r="N1061">
        <v>2022</v>
      </c>
      <c r="P1061">
        <v>3</v>
      </c>
      <c r="Q1061" t="s">
        <v>132</v>
      </c>
      <c r="R1061" t="s">
        <v>2595</v>
      </c>
      <c r="S1061" t="s">
        <v>33</v>
      </c>
      <c r="T1061" t="s">
        <v>1544</v>
      </c>
    </row>
    <row r="1062" spans="1:20" ht="16.5" x14ac:dyDescent="0.45">
      <c r="A1062">
        <v>2061</v>
      </c>
      <c r="B1062" t="s">
        <v>2596</v>
      </c>
      <c r="C1062" t="s">
        <v>36</v>
      </c>
      <c r="D1062" t="s">
        <v>42</v>
      </c>
      <c r="E1062">
        <v>376592</v>
      </c>
      <c r="F1062" s="1">
        <v>45290</v>
      </c>
      <c r="G1062" s="1">
        <v>45543</v>
      </c>
      <c r="H1062">
        <v>414751</v>
      </c>
      <c r="I1062">
        <v>4698</v>
      </c>
      <c r="J1062" s="5">
        <v>1948500198</v>
      </c>
      <c r="K1062">
        <v>2</v>
      </c>
      <c r="L1062">
        <v>4</v>
      </c>
      <c r="M1062" t="s">
        <v>30</v>
      </c>
      <c r="N1062">
        <v>2016</v>
      </c>
      <c r="O1062">
        <v>2</v>
      </c>
      <c r="P1062">
        <v>1</v>
      </c>
      <c r="Q1062" t="s">
        <v>75</v>
      </c>
      <c r="R1062" t="s">
        <v>2597</v>
      </c>
      <c r="S1062" t="s">
        <v>25</v>
      </c>
      <c r="T1062" t="s">
        <v>668</v>
      </c>
    </row>
    <row r="1063" spans="1:20" ht="16.5" x14ac:dyDescent="0.45">
      <c r="A1063">
        <v>2062</v>
      </c>
      <c r="B1063" t="s">
        <v>2598</v>
      </c>
      <c r="C1063" t="s">
        <v>51</v>
      </c>
      <c r="D1063" t="s">
        <v>42</v>
      </c>
      <c r="E1063">
        <v>900765</v>
      </c>
      <c r="F1063" s="1">
        <v>45577</v>
      </c>
      <c r="G1063" s="1">
        <v>45450</v>
      </c>
      <c r="H1063">
        <v>924700</v>
      </c>
      <c r="I1063">
        <v>4042</v>
      </c>
      <c r="J1063" s="5">
        <v>3737637400</v>
      </c>
      <c r="K1063">
        <v>2</v>
      </c>
      <c r="L1063">
        <v>2</v>
      </c>
      <c r="M1063" t="s">
        <v>30</v>
      </c>
      <c r="N1063">
        <v>2019</v>
      </c>
      <c r="O1063">
        <v>5</v>
      </c>
      <c r="P1063">
        <v>4</v>
      </c>
      <c r="Q1063" t="s">
        <v>162</v>
      </c>
      <c r="R1063" t="s">
        <v>2599</v>
      </c>
      <c r="S1063" t="s">
        <v>25</v>
      </c>
      <c r="T1063" t="s">
        <v>1273</v>
      </c>
    </row>
    <row r="1064" spans="1:20" ht="16.5" x14ac:dyDescent="0.45">
      <c r="A1064">
        <v>2063</v>
      </c>
      <c r="B1064" t="s">
        <v>2600</v>
      </c>
      <c r="C1064" t="s">
        <v>20</v>
      </c>
      <c r="D1064" t="s">
        <v>29</v>
      </c>
      <c r="E1064">
        <v>797915</v>
      </c>
      <c r="F1064" s="1">
        <v>45404</v>
      </c>
      <c r="G1064" s="1">
        <v>45395</v>
      </c>
      <c r="H1064">
        <v>828474</v>
      </c>
      <c r="I1064">
        <v>4406</v>
      </c>
      <c r="J1064" s="5">
        <v>3650256444</v>
      </c>
      <c r="K1064">
        <v>2</v>
      </c>
      <c r="L1064">
        <v>2</v>
      </c>
      <c r="M1064" t="s">
        <v>22</v>
      </c>
      <c r="N1064">
        <v>2004</v>
      </c>
      <c r="P1064">
        <v>2</v>
      </c>
      <c r="Q1064" t="s">
        <v>86</v>
      </c>
      <c r="R1064" t="s">
        <v>2601</v>
      </c>
      <c r="S1064" t="s">
        <v>25</v>
      </c>
      <c r="T1064" t="s">
        <v>107</v>
      </c>
    </row>
    <row r="1065" spans="1:20" ht="16.5" x14ac:dyDescent="0.45">
      <c r="A1065">
        <v>2064</v>
      </c>
      <c r="B1065" t="s">
        <v>2602</v>
      </c>
      <c r="C1065" t="s">
        <v>20</v>
      </c>
      <c r="D1065" t="s">
        <v>29</v>
      </c>
      <c r="E1065">
        <v>797416</v>
      </c>
      <c r="F1065" s="1">
        <v>45527</v>
      </c>
      <c r="G1065" s="1">
        <v>45513</v>
      </c>
      <c r="H1065">
        <v>809018</v>
      </c>
      <c r="I1065">
        <v>2063</v>
      </c>
      <c r="J1065" s="5">
        <v>1669004134</v>
      </c>
      <c r="K1065">
        <v>4</v>
      </c>
      <c r="L1065">
        <v>4</v>
      </c>
      <c r="M1065" t="s">
        <v>22</v>
      </c>
      <c r="N1065">
        <v>2020</v>
      </c>
      <c r="P1065">
        <v>4</v>
      </c>
      <c r="Q1065" t="s">
        <v>75</v>
      </c>
      <c r="R1065" t="s">
        <v>2603</v>
      </c>
      <c r="S1065" t="s">
        <v>25</v>
      </c>
      <c r="T1065" t="s">
        <v>925</v>
      </c>
    </row>
    <row r="1066" spans="1:20" ht="16.5" x14ac:dyDescent="0.45">
      <c r="A1066">
        <v>2065</v>
      </c>
      <c r="B1066" t="s">
        <v>2604</v>
      </c>
      <c r="C1066" t="s">
        <v>51</v>
      </c>
      <c r="D1066" t="s">
        <v>42</v>
      </c>
      <c r="E1066">
        <v>458131</v>
      </c>
      <c r="F1066" s="1">
        <v>45490</v>
      </c>
      <c r="G1066" s="1">
        <v>45316</v>
      </c>
      <c r="H1066">
        <v>486244</v>
      </c>
      <c r="I1066">
        <v>2806</v>
      </c>
      <c r="J1066" s="5">
        <v>1364400664</v>
      </c>
      <c r="K1066">
        <v>3</v>
      </c>
      <c r="L1066">
        <v>3</v>
      </c>
      <c r="M1066" t="s">
        <v>62</v>
      </c>
      <c r="N1066">
        <v>2020</v>
      </c>
      <c r="O1066">
        <v>6</v>
      </c>
      <c r="P1066">
        <v>2</v>
      </c>
      <c r="Q1066" t="s">
        <v>31</v>
      </c>
      <c r="R1066" t="s">
        <v>2605</v>
      </c>
      <c r="S1066" t="s">
        <v>25</v>
      </c>
      <c r="T1066" t="s">
        <v>70</v>
      </c>
    </row>
    <row r="1067" spans="1:20" ht="16.5" x14ac:dyDescent="0.45">
      <c r="A1067">
        <v>2066</v>
      </c>
      <c r="B1067" t="s">
        <v>2606</v>
      </c>
      <c r="C1067" t="s">
        <v>20</v>
      </c>
      <c r="D1067" t="s">
        <v>29</v>
      </c>
      <c r="E1067">
        <v>580374</v>
      </c>
      <c r="F1067" s="1">
        <v>45409</v>
      </c>
      <c r="G1067" s="1"/>
      <c r="I1067">
        <v>4192</v>
      </c>
      <c r="K1067">
        <v>2</v>
      </c>
      <c r="L1067">
        <v>5</v>
      </c>
      <c r="M1067" t="s">
        <v>30</v>
      </c>
      <c r="N1067">
        <v>2001</v>
      </c>
      <c r="O1067">
        <v>3</v>
      </c>
      <c r="P1067">
        <v>4</v>
      </c>
      <c r="Q1067" t="s">
        <v>43</v>
      </c>
      <c r="R1067" t="s">
        <v>2607</v>
      </c>
      <c r="S1067" t="s">
        <v>33</v>
      </c>
      <c r="T1067" t="s">
        <v>955</v>
      </c>
    </row>
    <row r="1068" spans="1:20" ht="16.5" x14ac:dyDescent="0.45">
      <c r="A1068">
        <v>2067</v>
      </c>
      <c r="B1068" t="s">
        <v>2608</v>
      </c>
      <c r="C1068" t="s">
        <v>51</v>
      </c>
      <c r="D1068" t="s">
        <v>29</v>
      </c>
      <c r="E1068">
        <v>402986</v>
      </c>
      <c r="F1068" s="1">
        <v>45363</v>
      </c>
      <c r="G1068" s="1">
        <v>45325</v>
      </c>
      <c r="H1068">
        <v>413485</v>
      </c>
      <c r="I1068">
        <v>2079</v>
      </c>
      <c r="J1068" s="5">
        <v>859635315</v>
      </c>
      <c r="K1068">
        <v>2</v>
      </c>
      <c r="L1068">
        <v>2</v>
      </c>
      <c r="M1068" t="s">
        <v>22</v>
      </c>
      <c r="N1068">
        <v>2000</v>
      </c>
      <c r="P1068">
        <v>4</v>
      </c>
      <c r="Q1068" t="s">
        <v>86</v>
      </c>
      <c r="R1068" t="s">
        <v>2609</v>
      </c>
      <c r="S1068" t="s">
        <v>25</v>
      </c>
      <c r="T1068" t="s">
        <v>2610</v>
      </c>
    </row>
    <row r="1069" spans="1:20" ht="16.5" x14ac:dyDescent="0.45">
      <c r="A1069">
        <v>2068</v>
      </c>
      <c r="B1069" t="s">
        <v>2611</v>
      </c>
      <c r="C1069" t="s">
        <v>28</v>
      </c>
      <c r="D1069" t="s">
        <v>42</v>
      </c>
      <c r="E1069">
        <v>532676</v>
      </c>
      <c r="F1069" s="1">
        <v>45417</v>
      </c>
      <c r="G1069" s="1"/>
      <c r="I1069">
        <v>4520</v>
      </c>
      <c r="K1069">
        <v>2</v>
      </c>
      <c r="L1069">
        <v>5</v>
      </c>
      <c r="M1069" t="s">
        <v>22</v>
      </c>
      <c r="N1069">
        <v>2011</v>
      </c>
      <c r="P1069">
        <v>3</v>
      </c>
      <c r="Q1069" t="s">
        <v>58</v>
      </c>
      <c r="R1069" t="s">
        <v>1950</v>
      </c>
      <c r="S1069" t="s">
        <v>33</v>
      </c>
      <c r="T1069" t="s">
        <v>77</v>
      </c>
    </row>
    <row r="1070" spans="1:20" ht="16.5" x14ac:dyDescent="0.45">
      <c r="A1070">
        <v>2069</v>
      </c>
      <c r="B1070" t="s">
        <v>2612</v>
      </c>
      <c r="C1070" t="s">
        <v>28</v>
      </c>
      <c r="D1070" t="s">
        <v>29</v>
      </c>
      <c r="E1070">
        <v>473189</v>
      </c>
      <c r="F1070" s="1">
        <v>45346</v>
      </c>
      <c r="G1070" s="1">
        <v>45491</v>
      </c>
      <c r="H1070">
        <v>488941</v>
      </c>
      <c r="I1070">
        <v>2216</v>
      </c>
      <c r="J1070" s="5">
        <v>1083493256</v>
      </c>
      <c r="K1070">
        <v>6</v>
      </c>
      <c r="L1070">
        <v>3</v>
      </c>
      <c r="M1070" t="s">
        <v>22</v>
      </c>
      <c r="N1070">
        <v>2015</v>
      </c>
      <c r="P1070">
        <v>3</v>
      </c>
      <c r="Q1070" t="s">
        <v>23</v>
      </c>
      <c r="R1070" t="s">
        <v>2613</v>
      </c>
      <c r="S1070" t="s">
        <v>25</v>
      </c>
      <c r="T1070" t="s">
        <v>116</v>
      </c>
    </row>
    <row r="1071" spans="1:20" ht="16.5" x14ac:dyDescent="0.45">
      <c r="A1071">
        <v>2070</v>
      </c>
      <c r="B1071" t="s">
        <v>2614</v>
      </c>
      <c r="C1071" t="s">
        <v>20</v>
      </c>
      <c r="D1071" t="s">
        <v>29</v>
      </c>
      <c r="E1071">
        <v>843425</v>
      </c>
      <c r="F1071" s="1">
        <v>45373</v>
      </c>
      <c r="G1071" s="1">
        <v>45291</v>
      </c>
      <c r="H1071">
        <v>859044</v>
      </c>
      <c r="I1071">
        <v>4238</v>
      </c>
      <c r="J1071" s="5">
        <v>3640628472</v>
      </c>
      <c r="K1071">
        <v>3</v>
      </c>
      <c r="L1071">
        <v>3</v>
      </c>
      <c r="M1071" t="s">
        <v>37</v>
      </c>
      <c r="N1071">
        <v>2013</v>
      </c>
      <c r="O1071">
        <v>7</v>
      </c>
      <c r="P1071">
        <v>3</v>
      </c>
      <c r="Q1071" t="s">
        <v>162</v>
      </c>
      <c r="R1071" t="s">
        <v>2615</v>
      </c>
      <c r="S1071" t="s">
        <v>25</v>
      </c>
      <c r="T1071" t="s">
        <v>2616</v>
      </c>
    </row>
    <row r="1072" spans="1:20" ht="16.5" x14ac:dyDescent="0.45">
      <c r="A1072">
        <v>2071</v>
      </c>
      <c r="B1072" t="s">
        <v>2617</v>
      </c>
      <c r="C1072" t="s">
        <v>36</v>
      </c>
      <c r="D1072" t="s">
        <v>21</v>
      </c>
      <c r="E1072">
        <v>515136</v>
      </c>
      <c r="F1072" s="1">
        <v>45404</v>
      </c>
      <c r="G1072" s="1"/>
      <c r="I1072">
        <v>3360</v>
      </c>
      <c r="K1072">
        <v>4</v>
      </c>
      <c r="L1072">
        <v>3</v>
      </c>
      <c r="M1072" t="s">
        <v>37</v>
      </c>
      <c r="N1072">
        <v>2018</v>
      </c>
      <c r="O1072">
        <v>5</v>
      </c>
      <c r="P1072">
        <v>2</v>
      </c>
      <c r="Q1072" t="s">
        <v>75</v>
      </c>
      <c r="R1072" t="s">
        <v>2618</v>
      </c>
      <c r="S1072" t="s">
        <v>33</v>
      </c>
      <c r="T1072" t="s">
        <v>180</v>
      </c>
    </row>
    <row r="1073" spans="1:20" ht="16.5" x14ac:dyDescent="0.45">
      <c r="A1073">
        <v>2072</v>
      </c>
      <c r="B1073" t="s">
        <v>2619</v>
      </c>
      <c r="C1073" t="s">
        <v>36</v>
      </c>
      <c r="D1073" t="s">
        <v>21</v>
      </c>
      <c r="E1073">
        <v>906413</v>
      </c>
      <c r="F1073" s="1">
        <v>45278</v>
      </c>
      <c r="G1073" s="1"/>
      <c r="I1073">
        <v>4166</v>
      </c>
      <c r="K1073">
        <v>6</v>
      </c>
      <c r="L1073">
        <v>3</v>
      </c>
      <c r="M1073" t="s">
        <v>30</v>
      </c>
      <c r="N1073">
        <v>2010</v>
      </c>
      <c r="O1073">
        <v>8</v>
      </c>
      <c r="P1073">
        <v>2</v>
      </c>
      <c r="Q1073" t="s">
        <v>43</v>
      </c>
      <c r="R1073" t="s">
        <v>2620</v>
      </c>
      <c r="S1073" t="s">
        <v>33</v>
      </c>
      <c r="T1073" t="s">
        <v>2621</v>
      </c>
    </row>
    <row r="1074" spans="1:20" ht="16.5" x14ac:dyDescent="0.45">
      <c r="A1074">
        <v>2073</v>
      </c>
      <c r="B1074" t="s">
        <v>2622</v>
      </c>
      <c r="C1074" t="s">
        <v>28</v>
      </c>
      <c r="D1074" t="s">
        <v>29</v>
      </c>
      <c r="E1074">
        <v>800335</v>
      </c>
      <c r="F1074" s="1">
        <v>45347</v>
      </c>
      <c r="G1074" s="1"/>
      <c r="I1074">
        <v>4047</v>
      </c>
      <c r="K1074">
        <v>2</v>
      </c>
      <c r="L1074">
        <v>5</v>
      </c>
      <c r="M1074" t="s">
        <v>37</v>
      </c>
      <c r="N1074">
        <v>2016</v>
      </c>
      <c r="O1074">
        <v>6</v>
      </c>
      <c r="P1074">
        <v>2</v>
      </c>
      <c r="Q1074" t="s">
        <v>38</v>
      </c>
      <c r="R1074" t="s">
        <v>781</v>
      </c>
      <c r="S1074" t="s">
        <v>33</v>
      </c>
      <c r="T1074" t="s">
        <v>2623</v>
      </c>
    </row>
    <row r="1075" spans="1:20" ht="16.5" x14ac:dyDescent="0.45">
      <c r="A1075">
        <v>2074</v>
      </c>
      <c r="B1075" t="s">
        <v>2624</v>
      </c>
      <c r="C1075" t="s">
        <v>51</v>
      </c>
      <c r="D1075" t="s">
        <v>21</v>
      </c>
      <c r="E1075">
        <v>787929</v>
      </c>
      <c r="F1075" s="1">
        <v>45362</v>
      </c>
      <c r="G1075" s="1"/>
      <c r="I1075">
        <v>4740</v>
      </c>
      <c r="K1075">
        <v>4</v>
      </c>
      <c r="L1075">
        <v>4</v>
      </c>
      <c r="M1075" t="s">
        <v>37</v>
      </c>
      <c r="N1075">
        <v>2019</v>
      </c>
      <c r="O1075">
        <v>4</v>
      </c>
      <c r="P1075">
        <v>4</v>
      </c>
      <c r="Q1075" t="s">
        <v>58</v>
      </c>
      <c r="R1075" t="s">
        <v>2625</v>
      </c>
      <c r="S1075" t="s">
        <v>33</v>
      </c>
      <c r="T1075" t="s">
        <v>2626</v>
      </c>
    </row>
    <row r="1076" spans="1:20" ht="16.5" x14ac:dyDescent="0.45">
      <c r="A1076">
        <v>2075</v>
      </c>
      <c r="B1076" t="s">
        <v>2627</v>
      </c>
      <c r="C1076" t="s">
        <v>36</v>
      </c>
      <c r="D1076" t="s">
        <v>21</v>
      </c>
      <c r="E1076">
        <v>981740</v>
      </c>
      <c r="F1076" s="1">
        <v>45486</v>
      </c>
      <c r="G1076" s="1">
        <v>45383</v>
      </c>
      <c r="H1076">
        <v>1006191</v>
      </c>
      <c r="I1076">
        <v>2019</v>
      </c>
      <c r="J1076" s="5">
        <v>2031499629</v>
      </c>
      <c r="K1076">
        <v>4</v>
      </c>
      <c r="L1076">
        <v>4</v>
      </c>
      <c r="M1076" t="s">
        <v>37</v>
      </c>
      <c r="N1076">
        <v>2016</v>
      </c>
      <c r="O1076">
        <v>8</v>
      </c>
      <c r="P1076">
        <v>1</v>
      </c>
      <c r="Q1076" t="s">
        <v>43</v>
      </c>
      <c r="R1076" t="s">
        <v>2628</v>
      </c>
      <c r="S1076" t="s">
        <v>25</v>
      </c>
      <c r="T1076" t="s">
        <v>2616</v>
      </c>
    </row>
    <row r="1077" spans="1:20" ht="16.5" x14ac:dyDescent="0.45">
      <c r="A1077">
        <v>2076</v>
      </c>
      <c r="B1077" t="s">
        <v>2629</v>
      </c>
      <c r="C1077" t="s">
        <v>28</v>
      </c>
      <c r="D1077" t="s">
        <v>42</v>
      </c>
      <c r="E1077">
        <v>421009</v>
      </c>
      <c r="F1077" s="1">
        <v>45642</v>
      </c>
      <c r="G1077" s="1">
        <v>45455</v>
      </c>
      <c r="H1077">
        <v>440172</v>
      </c>
      <c r="I1077">
        <v>2059</v>
      </c>
      <c r="J1077" s="5">
        <v>906314148</v>
      </c>
      <c r="K1077">
        <v>4</v>
      </c>
      <c r="L1077">
        <v>5</v>
      </c>
      <c r="M1077" t="s">
        <v>30</v>
      </c>
      <c r="N1077">
        <v>2020</v>
      </c>
      <c r="O1077">
        <v>10</v>
      </c>
      <c r="P1077">
        <v>4</v>
      </c>
      <c r="Q1077" t="s">
        <v>162</v>
      </c>
      <c r="R1077" t="s">
        <v>2630</v>
      </c>
      <c r="S1077" t="s">
        <v>25</v>
      </c>
      <c r="T1077" t="s">
        <v>964</v>
      </c>
    </row>
    <row r="1078" spans="1:20" ht="16.5" x14ac:dyDescent="0.45">
      <c r="A1078">
        <v>2077</v>
      </c>
      <c r="B1078" t="s">
        <v>2631</v>
      </c>
      <c r="C1078" t="s">
        <v>51</v>
      </c>
      <c r="D1078" t="s">
        <v>42</v>
      </c>
      <c r="E1078">
        <v>369464</v>
      </c>
      <c r="F1078" s="1">
        <v>45440</v>
      </c>
      <c r="G1078" s="1"/>
      <c r="I1078">
        <v>3125</v>
      </c>
      <c r="K1078">
        <v>4</v>
      </c>
      <c r="L1078">
        <v>3</v>
      </c>
      <c r="M1078" t="s">
        <v>22</v>
      </c>
      <c r="N1078">
        <v>2007</v>
      </c>
      <c r="P1078">
        <v>4</v>
      </c>
      <c r="Q1078" t="s">
        <v>23</v>
      </c>
      <c r="R1078" t="s">
        <v>2632</v>
      </c>
      <c r="S1078" t="s">
        <v>33</v>
      </c>
      <c r="T1078" t="s">
        <v>543</v>
      </c>
    </row>
    <row r="1079" spans="1:20" ht="16.5" x14ac:dyDescent="0.45">
      <c r="A1079">
        <v>2078</v>
      </c>
      <c r="B1079" t="s">
        <v>2633</v>
      </c>
      <c r="C1079" t="s">
        <v>28</v>
      </c>
      <c r="D1079" t="s">
        <v>21</v>
      </c>
      <c r="E1079">
        <v>901851</v>
      </c>
      <c r="F1079" s="1">
        <v>45469</v>
      </c>
      <c r="G1079" s="1"/>
      <c r="I1079">
        <v>3030</v>
      </c>
      <c r="K1079">
        <v>6</v>
      </c>
      <c r="L1079">
        <v>4</v>
      </c>
      <c r="M1079" t="s">
        <v>22</v>
      </c>
      <c r="N1079">
        <v>2017</v>
      </c>
      <c r="P1079">
        <v>4</v>
      </c>
      <c r="Q1079" t="s">
        <v>162</v>
      </c>
      <c r="R1079" t="s">
        <v>2634</v>
      </c>
      <c r="S1079" t="s">
        <v>33</v>
      </c>
      <c r="T1079" t="s">
        <v>137</v>
      </c>
    </row>
    <row r="1080" spans="1:20" ht="16.5" x14ac:dyDescent="0.45">
      <c r="A1080">
        <v>2079</v>
      </c>
      <c r="B1080" t="s">
        <v>2635</v>
      </c>
      <c r="C1080" t="s">
        <v>28</v>
      </c>
      <c r="D1080" t="s">
        <v>29</v>
      </c>
      <c r="E1080">
        <v>821491</v>
      </c>
      <c r="F1080" s="1">
        <v>45574</v>
      </c>
      <c r="G1080" s="1">
        <v>45566</v>
      </c>
      <c r="H1080">
        <v>840907</v>
      </c>
      <c r="I1080">
        <v>3606</v>
      </c>
      <c r="J1080" s="5">
        <v>3032310642</v>
      </c>
      <c r="K1080">
        <v>4</v>
      </c>
      <c r="L1080">
        <v>2</v>
      </c>
      <c r="M1080" t="s">
        <v>62</v>
      </c>
      <c r="N1080">
        <v>2007</v>
      </c>
      <c r="O1080">
        <v>1</v>
      </c>
      <c r="P1080">
        <v>4</v>
      </c>
      <c r="Q1080" t="s">
        <v>38</v>
      </c>
      <c r="R1080" t="s">
        <v>2636</v>
      </c>
      <c r="S1080" t="s">
        <v>25</v>
      </c>
      <c r="T1080" t="s">
        <v>137</v>
      </c>
    </row>
    <row r="1081" spans="1:20" ht="16.5" x14ac:dyDescent="0.45">
      <c r="A1081">
        <v>2080</v>
      </c>
      <c r="B1081" t="s">
        <v>2637</v>
      </c>
      <c r="C1081" t="s">
        <v>51</v>
      </c>
      <c r="D1081" t="s">
        <v>21</v>
      </c>
      <c r="E1081">
        <v>669179</v>
      </c>
      <c r="F1081" s="1">
        <v>45349</v>
      </c>
      <c r="G1081" s="1"/>
      <c r="I1081">
        <v>1080</v>
      </c>
      <c r="K1081">
        <v>2</v>
      </c>
      <c r="L1081">
        <v>2</v>
      </c>
      <c r="M1081" t="s">
        <v>37</v>
      </c>
      <c r="N1081">
        <v>2002</v>
      </c>
      <c r="O1081">
        <v>5</v>
      </c>
      <c r="P1081">
        <v>4</v>
      </c>
      <c r="Q1081" t="s">
        <v>162</v>
      </c>
      <c r="R1081" t="s">
        <v>2638</v>
      </c>
      <c r="S1081" t="s">
        <v>33</v>
      </c>
      <c r="T1081" t="s">
        <v>2639</v>
      </c>
    </row>
    <row r="1082" spans="1:20" ht="16.5" x14ac:dyDescent="0.45">
      <c r="A1082">
        <v>2081</v>
      </c>
      <c r="B1082" t="s">
        <v>2640</v>
      </c>
      <c r="C1082" t="s">
        <v>47</v>
      </c>
      <c r="D1082" t="s">
        <v>21</v>
      </c>
      <c r="E1082">
        <v>996644</v>
      </c>
      <c r="F1082" s="1">
        <v>45496</v>
      </c>
      <c r="G1082" s="1"/>
      <c r="I1082">
        <v>2959</v>
      </c>
      <c r="K1082">
        <v>6</v>
      </c>
      <c r="L1082">
        <v>2</v>
      </c>
      <c r="M1082" t="s">
        <v>30</v>
      </c>
      <c r="N1082">
        <v>2000</v>
      </c>
      <c r="O1082">
        <v>10</v>
      </c>
      <c r="P1082">
        <v>2</v>
      </c>
      <c r="Q1082" t="s">
        <v>93</v>
      </c>
      <c r="R1082" t="s">
        <v>2641</v>
      </c>
      <c r="S1082" t="s">
        <v>33</v>
      </c>
      <c r="T1082" t="s">
        <v>2642</v>
      </c>
    </row>
    <row r="1083" spans="1:20" ht="16.5" x14ac:dyDescent="0.45">
      <c r="A1083">
        <v>2082</v>
      </c>
      <c r="B1083" t="s">
        <v>2643</v>
      </c>
      <c r="C1083" t="s">
        <v>47</v>
      </c>
      <c r="D1083" t="s">
        <v>21</v>
      </c>
      <c r="E1083">
        <v>897457</v>
      </c>
      <c r="F1083" s="1">
        <v>45520</v>
      </c>
      <c r="G1083" s="1">
        <v>45436</v>
      </c>
      <c r="H1083">
        <v>930578</v>
      </c>
      <c r="I1083">
        <v>2452</v>
      </c>
      <c r="J1083" s="5">
        <v>2281777256</v>
      </c>
      <c r="K1083">
        <v>2</v>
      </c>
      <c r="L1083">
        <v>2</v>
      </c>
      <c r="M1083" t="s">
        <v>37</v>
      </c>
      <c r="N1083">
        <v>2020</v>
      </c>
      <c r="O1083">
        <v>9</v>
      </c>
      <c r="P1083">
        <v>1</v>
      </c>
      <c r="Q1083" t="s">
        <v>43</v>
      </c>
      <c r="R1083" t="s">
        <v>2644</v>
      </c>
      <c r="S1083" t="s">
        <v>25</v>
      </c>
      <c r="T1083" t="s">
        <v>372</v>
      </c>
    </row>
    <row r="1084" spans="1:20" ht="16.5" x14ac:dyDescent="0.45">
      <c r="A1084">
        <v>2083</v>
      </c>
      <c r="B1084" t="s">
        <v>2645</v>
      </c>
      <c r="C1084" t="s">
        <v>47</v>
      </c>
      <c r="D1084" t="s">
        <v>42</v>
      </c>
      <c r="E1084">
        <v>768999</v>
      </c>
      <c r="F1084" s="1">
        <v>45545</v>
      </c>
      <c r="G1084" s="1"/>
      <c r="I1084">
        <v>2091</v>
      </c>
      <c r="K1084">
        <v>3</v>
      </c>
      <c r="L1084">
        <v>5</v>
      </c>
      <c r="M1084" t="s">
        <v>22</v>
      </c>
      <c r="N1084">
        <v>2008</v>
      </c>
      <c r="P1084">
        <v>3</v>
      </c>
      <c r="Q1084" t="s">
        <v>23</v>
      </c>
      <c r="R1084" t="s">
        <v>2646</v>
      </c>
      <c r="S1084" t="s">
        <v>33</v>
      </c>
      <c r="T1084" t="s">
        <v>2647</v>
      </c>
    </row>
    <row r="1085" spans="1:20" ht="16.5" x14ac:dyDescent="0.45">
      <c r="A1085">
        <v>2084</v>
      </c>
      <c r="B1085" t="s">
        <v>2648</v>
      </c>
      <c r="C1085" t="s">
        <v>20</v>
      </c>
      <c r="D1085" t="s">
        <v>21</v>
      </c>
      <c r="E1085">
        <v>940177</v>
      </c>
      <c r="F1085" s="1">
        <v>45411</v>
      </c>
      <c r="G1085" s="1"/>
      <c r="I1085">
        <v>2223</v>
      </c>
      <c r="K1085">
        <v>4</v>
      </c>
      <c r="L1085">
        <v>4</v>
      </c>
      <c r="M1085" t="s">
        <v>22</v>
      </c>
      <c r="N1085">
        <v>2018</v>
      </c>
      <c r="P1085">
        <v>3</v>
      </c>
      <c r="Q1085" t="s">
        <v>38</v>
      </c>
      <c r="R1085" t="s">
        <v>2649</v>
      </c>
      <c r="S1085" t="s">
        <v>33</v>
      </c>
      <c r="T1085" t="s">
        <v>137</v>
      </c>
    </row>
    <row r="1086" spans="1:20" ht="16.5" x14ac:dyDescent="0.45">
      <c r="A1086">
        <v>2085</v>
      </c>
      <c r="B1086" t="s">
        <v>2650</v>
      </c>
      <c r="C1086" t="s">
        <v>28</v>
      </c>
      <c r="D1086" t="s">
        <v>21</v>
      </c>
      <c r="E1086">
        <v>660589</v>
      </c>
      <c r="F1086" s="1">
        <v>45476</v>
      </c>
      <c r="G1086" s="1">
        <v>45316</v>
      </c>
      <c r="H1086">
        <v>700555</v>
      </c>
      <c r="I1086">
        <v>2371</v>
      </c>
      <c r="J1086" s="5">
        <v>1661015905</v>
      </c>
      <c r="K1086">
        <v>3</v>
      </c>
      <c r="L1086">
        <v>5</v>
      </c>
      <c r="M1086" t="s">
        <v>22</v>
      </c>
      <c r="N1086">
        <v>2005</v>
      </c>
      <c r="P1086">
        <v>1</v>
      </c>
      <c r="Q1086" t="s">
        <v>162</v>
      </c>
      <c r="R1086" t="s">
        <v>2651</v>
      </c>
      <c r="S1086" t="s">
        <v>25</v>
      </c>
      <c r="T1086" t="s">
        <v>70</v>
      </c>
    </row>
    <row r="1087" spans="1:20" ht="16.5" x14ac:dyDescent="0.45">
      <c r="A1087">
        <v>2086</v>
      </c>
      <c r="B1087" t="s">
        <v>2652</v>
      </c>
      <c r="C1087" t="s">
        <v>36</v>
      </c>
      <c r="D1087" t="s">
        <v>29</v>
      </c>
      <c r="E1087">
        <v>322317</v>
      </c>
      <c r="F1087" s="1">
        <v>45520</v>
      </c>
      <c r="G1087" s="1"/>
      <c r="I1087">
        <v>3972</v>
      </c>
      <c r="K1087">
        <v>2</v>
      </c>
      <c r="L1087">
        <v>2</v>
      </c>
      <c r="M1087" t="s">
        <v>37</v>
      </c>
      <c r="N1087">
        <v>2022</v>
      </c>
      <c r="O1087">
        <v>8</v>
      </c>
      <c r="P1087">
        <v>4</v>
      </c>
      <c r="Q1087" t="s">
        <v>23</v>
      </c>
      <c r="R1087" t="s">
        <v>2653</v>
      </c>
      <c r="S1087" t="s">
        <v>33</v>
      </c>
      <c r="T1087" t="s">
        <v>764</v>
      </c>
    </row>
    <row r="1088" spans="1:20" ht="16.5" x14ac:dyDescent="0.45">
      <c r="A1088">
        <v>2087</v>
      </c>
      <c r="B1088" t="s">
        <v>2654</v>
      </c>
      <c r="C1088" t="s">
        <v>47</v>
      </c>
      <c r="D1088" t="s">
        <v>21</v>
      </c>
      <c r="E1088">
        <v>542957</v>
      </c>
      <c r="F1088" s="1">
        <v>45505</v>
      </c>
      <c r="G1088" s="1"/>
      <c r="I1088">
        <v>2111</v>
      </c>
      <c r="K1088">
        <v>5</v>
      </c>
      <c r="L1088">
        <v>4</v>
      </c>
      <c r="M1088" t="s">
        <v>62</v>
      </c>
      <c r="N1088">
        <v>2006</v>
      </c>
      <c r="O1088">
        <v>7</v>
      </c>
      <c r="P1088">
        <v>1</v>
      </c>
      <c r="Q1088" t="s">
        <v>93</v>
      </c>
      <c r="R1088" t="s">
        <v>2655</v>
      </c>
      <c r="S1088" t="s">
        <v>33</v>
      </c>
      <c r="T1088" t="s">
        <v>180</v>
      </c>
    </row>
    <row r="1089" spans="1:20" ht="16.5" x14ac:dyDescent="0.45">
      <c r="A1089">
        <v>2088</v>
      </c>
      <c r="B1089" t="s">
        <v>2656</v>
      </c>
      <c r="C1089" t="s">
        <v>51</v>
      </c>
      <c r="D1089" t="s">
        <v>29</v>
      </c>
      <c r="E1089">
        <v>907644</v>
      </c>
      <c r="F1089" s="1">
        <v>45334</v>
      </c>
      <c r="G1089" s="1"/>
      <c r="I1089">
        <v>1992</v>
      </c>
      <c r="K1089">
        <v>6</v>
      </c>
      <c r="L1089">
        <v>2</v>
      </c>
      <c r="M1089" t="s">
        <v>62</v>
      </c>
      <c r="N1089">
        <v>2018</v>
      </c>
      <c r="O1089">
        <v>2</v>
      </c>
      <c r="P1089">
        <v>4</v>
      </c>
      <c r="Q1089" t="s">
        <v>31</v>
      </c>
      <c r="R1089" t="s">
        <v>2657</v>
      </c>
      <c r="S1089" t="s">
        <v>33</v>
      </c>
      <c r="T1089" t="s">
        <v>128</v>
      </c>
    </row>
    <row r="1090" spans="1:20" ht="16.5" x14ac:dyDescent="0.45">
      <c r="A1090">
        <v>2089</v>
      </c>
      <c r="B1090" t="s">
        <v>2658</v>
      </c>
      <c r="C1090" t="s">
        <v>47</v>
      </c>
      <c r="D1090" t="s">
        <v>29</v>
      </c>
      <c r="E1090">
        <v>391367</v>
      </c>
      <c r="F1090" s="1">
        <v>45637</v>
      </c>
      <c r="G1090" s="1">
        <v>45533</v>
      </c>
      <c r="H1090">
        <v>428463</v>
      </c>
      <c r="I1090">
        <v>4037</v>
      </c>
      <c r="J1090" s="5">
        <v>1729705131</v>
      </c>
      <c r="K1090">
        <v>2</v>
      </c>
      <c r="L1090">
        <v>5</v>
      </c>
      <c r="M1090" t="s">
        <v>62</v>
      </c>
      <c r="N1090">
        <v>2016</v>
      </c>
      <c r="O1090">
        <v>3</v>
      </c>
      <c r="P1090">
        <v>1</v>
      </c>
      <c r="Q1090" t="s">
        <v>86</v>
      </c>
      <c r="R1090" t="s">
        <v>2659</v>
      </c>
      <c r="S1090" t="s">
        <v>25</v>
      </c>
      <c r="T1090" t="s">
        <v>444</v>
      </c>
    </row>
    <row r="1091" spans="1:20" ht="16.5" x14ac:dyDescent="0.45">
      <c r="A1091">
        <v>2090</v>
      </c>
      <c r="B1091" t="s">
        <v>2660</v>
      </c>
      <c r="C1091" t="s">
        <v>51</v>
      </c>
      <c r="D1091" t="s">
        <v>29</v>
      </c>
      <c r="E1091">
        <v>440665</v>
      </c>
      <c r="F1091" s="1">
        <v>45623</v>
      </c>
      <c r="G1091" s="1">
        <v>45601</v>
      </c>
      <c r="H1091">
        <v>488979</v>
      </c>
      <c r="I1091">
        <v>4152</v>
      </c>
      <c r="J1091" s="5">
        <v>2030240808</v>
      </c>
      <c r="K1091">
        <v>3</v>
      </c>
      <c r="L1091">
        <v>3</v>
      </c>
      <c r="M1091" t="s">
        <v>22</v>
      </c>
      <c r="N1091">
        <v>2001</v>
      </c>
      <c r="P1091">
        <v>2</v>
      </c>
      <c r="Q1091" t="s">
        <v>58</v>
      </c>
      <c r="R1091" t="s">
        <v>2661</v>
      </c>
      <c r="S1091" t="s">
        <v>25</v>
      </c>
      <c r="T1091" t="s">
        <v>2662</v>
      </c>
    </row>
    <row r="1092" spans="1:20" ht="16.5" x14ac:dyDescent="0.45">
      <c r="A1092">
        <v>2091</v>
      </c>
      <c r="B1092" t="s">
        <v>2663</v>
      </c>
      <c r="C1092" t="s">
        <v>36</v>
      </c>
      <c r="D1092" t="s">
        <v>29</v>
      </c>
      <c r="E1092">
        <v>319964</v>
      </c>
      <c r="F1092" s="1">
        <v>45324</v>
      </c>
      <c r="G1092" s="1"/>
      <c r="I1092">
        <v>3118</v>
      </c>
      <c r="K1092">
        <v>5</v>
      </c>
      <c r="L1092">
        <v>4</v>
      </c>
      <c r="M1092" t="s">
        <v>62</v>
      </c>
      <c r="N1092">
        <v>2012</v>
      </c>
      <c r="O1092">
        <v>8</v>
      </c>
      <c r="P1092">
        <v>3</v>
      </c>
      <c r="Q1092" t="s">
        <v>75</v>
      </c>
      <c r="R1092" t="s">
        <v>2664</v>
      </c>
      <c r="S1092" t="s">
        <v>33</v>
      </c>
      <c r="T1092" t="s">
        <v>2665</v>
      </c>
    </row>
    <row r="1093" spans="1:20" ht="16.5" x14ac:dyDescent="0.45">
      <c r="A1093">
        <v>2092</v>
      </c>
      <c r="B1093" t="s">
        <v>2666</v>
      </c>
      <c r="C1093" t="s">
        <v>47</v>
      </c>
      <c r="D1093" t="s">
        <v>29</v>
      </c>
      <c r="E1093">
        <v>313383</v>
      </c>
      <c r="F1093" s="1">
        <v>45583</v>
      </c>
      <c r="G1093" s="1">
        <v>45290</v>
      </c>
      <c r="H1093">
        <v>337600</v>
      </c>
      <c r="I1093">
        <v>4593</v>
      </c>
      <c r="J1093" s="5">
        <v>1550596800</v>
      </c>
      <c r="K1093">
        <v>6</v>
      </c>
      <c r="L1093">
        <v>5</v>
      </c>
      <c r="M1093" t="s">
        <v>30</v>
      </c>
      <c r="N1093">
        <v>2002</v>
      </c>
      <c r="O1093">
        <v>9</v>
      </c>
      <c r="P1093">
        <v>1</v>
      </c>
      <c r="Q1093" t="s">
        <v>43</v>
      </c>
      <c r="R1093" t="s">
        <v>2667</v>
      </c>
      <c r="S1093" t="s">
        <v>25</v>
      </c>
      <c r="T1093" t="s">
        <v>77</v>
      </c>
    </row>
    <row r="1094" spans="1:20" ht="16.5" x14ac:dyDescent="0.45">
      <c r="A1094">
        <v>2093</v>
      </c>
      <c r="B1094" t="s">
        <v>2668</v>
      </c>
      <c r="C1094" t="s">
        <v>28</v>
      </c>
      <c r="D1094" t="s">
        <v>42</v>
      </c>
      <c r="E1094">
        <v>825926</v>
      </c>
      <c r="F1094" s="1">
        <v>45432</v>
      </c>
      <c r="G1094" s="1"/>
      <c r="I1094">
        <v>1530</v>
      </c>
      <c r="K1094">
        <v>2</v>
      </c>
      <c r="L1094">
        <v>5</v>
      </c>
      <c r="M1094" t="s">
        <v>62</v>
      </c>
      <c r="N1094">
        <v>2003</v>
      </c>
      <c r="O1094">
        <v>2</v>
      </c>
      <c r="P1094">
        <v>4</v>
      </c>
      <c r="Q1094" t="s">
        <v>38</v>
      </c>
      <c r="R1094" t="s">
        <v>2669</v>
      </c>
      <c r="S1094" t="s">
        <v>33</v>
      </c>
      <c r="T1094" t="s">
        <v>2670</v>
      </c>
    </row>
    <row r="1095" spans="1:20" ht="16.5" x14ac:dyDescent="0.45">
      <c r="A1095">
        <v>2094</v>
      </c>
      <c r="B1095" t="s">
        <v>2671</v>
      </c>
      <c r="C1095" t="s">
        <v>20</v>
      </c>
      <c r="D1095" t="s">
        <v>21</v>
      </c>
      <c r="E1095">
        <v>379230</v>
      </c>
      <c r="F1095" s="1">
        <v>45389</v>
      </c>
      <c r="G1095" s="1"/>
      <c r="I1095">
        <v>4317</v>
      </c>
      <c r="K1095">
        <v>6</v>
      </c>
      <c r="L1095">
        <v>4</v>
      </c>
      <c r="M1095" t="s">
        <v>62</v>
      </c>
      <c r="N1095">
        <v>2013</v>
      </c>
      <c r="O1095">
        <v>7</v>
      </c>
      <c r="P1095">
        <v>2</v>
      </c>
      <c r="Q1095" t="s">
        <v>93</v>
      </c>
      <c r="R1095" t="s">
        <v>2672</v>
      </c>
      <c r="S1095" t="s">
        <v>33</v>
      </c>
      <c r="T1095" t="s">
        <v>320</v>
      </c>
    </row>
    <row r="1096" spans="1:20" ht="16.5" x14ac:dyDescent="0.45">
      <c r="A1096">
        <v>2095</v>
      </c>
      <c r="B1096" t="s">
        <v>2673</v>
      </c>
      <c r="C1096" t="s">
        <v>51</v>
      </c>
      <c r="D1096" t="s">
        <v>42</v>
      </c>
      <c r="E1096">
        <v>501974</v>
      </c>
      <c r="F1096" s="1">
        <v>45613</v>
      </c>
      <c r="G1096" s="1"/>
      <c r="I1096">
        <v>1254</v>
      </c>
      <c r="K1096">
        <v>3</v>
      </c>
      <c r="L1096">
        <v>2</v>
      </c>
      <c r="M1096" t="s">
        <v>62</v>
      </c>
      <c r="N1096">
        <v>2009</v>
      </c>
      <c r="O1096">
        <v>2</v>
      </c>
      <c r="P1096">
        <v>1</v>
      </c>
      <c r="Q1096" t="s">
        <v>43</v>
      </c>
      <c r="R1096" t="s">
        <v>2674</v>
      </c>
      <c r="S1096" t="s">
        <v>33</v>
      </c>
      <c r="T1096" t="s">
        <v>2675</v>
      </c>
    </row>
    <row r="1097" spans="1:20" ht="16.5" x14ac:dyDescent="0.45">
      <c r="A1097">
        <v>2096</v>
      </c>
      <c r="B1097" t="s">
        <v>2676</v>
      </c>
      <c r="C1097" t="s">
        <v>20</v>
      </c>
      <c r="D1097" t="s">
        <v>42</v>
      </c>
      <c r="E1097">
        <v>361056</v>
      </c>
      <c r="F1097" s="1">
        <v>45291</v>
      </c>
      <c r="G1097" s="1"/>
      <c r="I1097">
        <v>2681</v>
      </c>
      <c r="K1097">
        <v>4</v>
      </c>
      <c r="L1097">
        <v>3</v>
      </c>
      <c r="M1097" t="s">
        <v>37</v>
      </c>
      <c r="N1097">
        <v>2003</v>
      </c>
      <c r="O1097">
        <v>1</v>
      </c>
      <c r="P1097">
        <v>3</v>
      </c>
      <c r="Q1097" t="s">
        <v>43</v>
      </c>
      <c r="R1097" t="s">
        <v>1228</v>
      </c>
      <c r="S1097" t="s">
        <v>33</v>
      </c>
      <c r="T1097" t="s">
        <v>107</v>
      </c>
    </row>
    <row r="1098" spans="1:20" ht="16.5" x14ac:dyDescent="0.45">
      <c r="A1098">
        <v>2097</v>
      </c>
      <c r="B1098" t="s">
        <v>2677</v>
      </c>
      <c r="C1098" t="s">
        <v>47</v>
      </c>
      <c r="D1098" t="s">
        <v>21</v>
      </c>
      <c r="E1098">
        <v>544386</v>
      </c>
      <c r="F1098" s="1">
        <v>45492</v>
      </c>
      <c r="G1098" s="1"/>
      <c r="I1098">
        <v>2930</v>
      </c>
      <c r="K1098">
        <v>6</v>
      </c>
      <c r="L1098">
        <v>3</v>
      </c>
      <c r="M1098" t="s">
        <v>30</v>
      </c>
      <c r="N1098">
        <v>2000</v>
      </c>
      <c r="O1098">
        <v>9</v>
      </c>
      <c r="P1098">
        <v>2</v>
      </c>
      <c r="Q1098" t="s">
        <v>43</v>
      </c>
      <c r="R1098" t="s">
        <v>2678</v>
      </c>
      <c r="S1098" t="s">
        <v>33</v>
      </c>
      <c r="T1098" t="s">
        <v>128</v>
      </c>
    </row>
    <row r="1099" spans="1:20" ht="16.5" x14ac:dyDescent="0.45">
      <c r="A1099">
        <v>2098</v>
      </c>
      <c r="B1099" t="s">
        <v>2679</v>
      </c>
      <c r="C1099" t="s">
        <v>51</v>
      </c>
      <c r="D1099" t="s">
        <v>29</v>
      </c>
      <c r="E1099">
        <v>754059</v>
      </c>
      <c r="F1099" s="1">
        <v>45570</v>
      </c>
      <c r="G1099" s="1"/>
      <c r="I1099">
        <v>3136</v>
      </c>
      <c r="K1099">
        <v>2</v>
      </c>
      <c r="L1099">
        <v>5</v>
      </c>
      <c r="M1099" t="s">
        <v>37</v>
      </c>
      <c r="N1099">
        <v>2013</v>
      </c>
      <c r="O1099">
        <v>8</v>
      </c>
      <c r="P1099">
        <v>2</v>
      </c>
      <c r="Q1099" t="s">
        <v>58</v>
      </c>
      <c r="R1099" t="s">
        <v>2680</v>
      </c>
      <c r="S1099" t="s">
        <v>33</v>
      </c>
      <c r="T1099" t="s">
        <v>183</v>
      </c>
    </row>
    <row r="1100" spans="1:20" ht="16.5" x14ac:dyDescent="0.45">
      <c r="A1100">
        <v>2099</v>
      </c>
      <c r="B1100" t="s">
        <v>2681</v>
      </c>
      <c r="C1100" t="s">
        <v>28</v>
      </c>
      <c r="D1100" t="s">
        <v>29</v>
      </c>
      <c r="E1100">
        <v>675000</v>
      </c>
      <c r="F1100" s="1">
        <v>45304</v>
      </c>
      <c r="G1100" s="1"/>
      <c r="I1100">
        <v>4184</v>
      </c>
      <c r="K1100">
        <v>3</v>
      </c>
      <c r="L1100">
        <v>4</v>
      </c>
      <c r="M1100" t="s">
        <v>22</v>
      </c>
      <c r="N1100">
        <v>2002</v>
      </c>
      <c r="P1100">
        <v>1</v>
      </c>
      <c r="Q1100" t="s">
        <v>43</v>
      </c>
      <c r="R1100" t="s">
        <v>2682</v>
      </c>
      <c r="S1100" t="s">
        <v>33</v>
      </c>
      <c r="T1100" t="s">
        <v>2683</v>
      </c>
    </row>
    <row r="1101" spans="1:20" ht="16.5" x14ac:dyDescent="0.45">
      <c r="A1101">
        <v>2100</v>
      </c>
      <c r="B1101" t="s">
        <v>2684</v>
      </c>
      <c r="C1101" t="s">
        <v>28</v>
      </c>
      <c r="D1101" t="s">
        <v>21</v>
      </c>
      <c r="E1101">
        <v>475119</v>
      </c>
      <c r="F1101" s="1">
        <v>45306</v>
      </c>
      <c r="G1101" s="1"/>
      <c r="I1101">
        <v>1148</v>
      </c>
      <c r="K1101">
        <v>3</v>
      </c>
      <c r="L1101">
        <v>2</v>
      </c>
      <c r="M1101" t="s">
        <v>30</v>
      </c>
      <c r="N1101">
        <v>2021</v>
      </c>
      <c r="O1101">
        <v>10</v>
      </c>
      <c r="P1101">
        <v>2</v>
      </c>
      <c r="Q1101" t="s">
        <v>58</v>
      </c>
      <c r="R1101" t="s">
        <v>2685</v>
      </c>
      <c r="S1101" t="s">
        <v>33</v>
      </c>
      <c r="T1101" t="s">
        <v>2686</v>
      </c>
    </row>
    <row r="1102" spans="1:20" ht="16.5" x14ac:dyDescent="0.45">
      <c r="A1102">
        <v>2101</v>
      </c>
      <c r="B1102" t="s">
        <v>2687</v>
      </c>
      <c r="C1102" t="s">
        <v>47</v>
      </c>
      <c r="D1102" t="s">
        <v>29</v>
      </c>
      <c r="E1102">
        <v>766116</v>
      </c>
      <c r="F1102" s="1">
        <v>45567</v>
      </c>
      <c r="G1102" s="1">
        <v>45559</v>
      </c>
      <c r="H1102">
        <v>806575</v>
      </c>
      <c r="I1102">
        <v>3390</v>
      </c>
      <c r="J1102" s="5">
        <v>2734289250</v>
      </c>
      <c r="K1102">
        <v>2</v>
      </c>
      <c r="L1102">
        <v>2</v>
      </c>
      <c r="M1102" t="s">
        <v>30</v>
      </c>
      <c r="N1102">
        <v>2003</v>
      </c>
      <c r="O1102">
        <v>1</v>
      </c>
      <c r="P1102">
        <v>1</v>
      </c>
      <c r="Q1102" t="s">
        <v>162</v>
      </c>
      <c r="R1102" t="s">
        <v>1937</v>
      </c>
      <c r="S1102" t="s">
        <v>25</v>
      </c>
      <c r="T1102" t="s">
        <v>581</v>
      </c>
    </row>
    <row r="1103" spans="1:20" ht="16.5" x14ac:dyDescent="0.45">
      <c r="A1103">
        <v>2102</v>
      </c>
      <c r="B1103" t="s">
        <v>2688</v>
      </c>
      <c r="C1103" t="s">
        <v>47</v>
      </c>
      <c r="D1103" t="s">
        <v>21</v>
      </c>
      <c r="E1103">
        <v>479188</v>
      </c>
      <c r="F1103" s="1">
        <v>45360</v>
      </c>
      <c r="G1103" s="1"/>
      <c r="I1103">
        <v>4023</v>
      </c>
      <c r="K1103">
        <v>6</v>
      </c>
      <c r="L1103">
        <v>4</v>
      </c>
      <c r="M1103" t="s">
        <v>37</v>
      </c>
      <c r="N1103">
        <v>2000</v>
      </c>
      <c r="O1103">
        <v>2</v>
      </c>
      <c r="P1103">
        <v>1</v>
      </c>
      <c r="Q1103" t="s">
        <v>93</v>
      </c>
      <c r="R1103" t="s">
        <v>2689</v>
      </c>
      <c r="S1103" t="s">
        <v>33</v>
      </c>
      <c r="T1103" t="s">
        <v>91</v>
      </c>
    </row>
    <row r="1104" spans="1:20" ht="16.5" x14ac:dyDescent="0.45">
      <c r="A1104">
        <v>2103</v>
      </c>
      <c r="B1104" t="s">
        <v>2690</v>
      </c>
      <c r="C1104" t="s">
        <v>36</v>
      </c>
      <c r="D1104" t="s">
        <v>42</v>
      </c>
      <c r="E1104">
        <v>717902</v>
      </c>
      <c r="F1104" s="1">
        <v>45471</v>
      </c>
      <c r="G1104" s="1">
        <v>45439</v>
      </c>
      <c r="H1104">
        <v>753117</v>
      </c>
      <c r="I1104">
        <v>3177</v>
      </c>
      <c r="J1104" s="5">
        <v>2392652709</v>
      </c>
      <c r="K1104">
        <v>4</v>
      </c>
      <c r="L1104">
        <v>2</v>
      </c>
      <c r="M1104" t="s">
        <v>22</v>
      </c>
      <c r="N1104">
        <v>2012</v>
      </c>
      <c r="P1104">
        <v>2</v>
      </c>
      <c r="Q1104" t="s">
        <v>23</v>
      </c>
      <c r="R1104" t="s">
        <v>1168</v>
      </c>
      <c r="S1104" t="s">
        <v>25</v>
      </c>
      <c r="T1104" t="s">
        <v>1527</v>
      </c>
    </row>
    <row r="1105" spans="1:20" ht="16.5" x14ac:dyDescent="0.45">
      <c r="A1105">
        <v>2104</v>
      </c>
      <c r="B1105" t="s">
        <v>2691</v>
      </c>
      <c r="C1105" t="s">
        <v>47</v>
      </c>
      <c r="D1105" t="s">
        <v>21</v>
      </c>
      <c r="E1105">
        <v>442164</v>
      </c>
      <c r="F1105" s="1">
        <v>45552</v>
      </c>
      <c r="G1105" s="1"/>
      <c r="I1105">
        <v>1728</v>
      </c>
      <c r="K1105">
        <v>3</v>
      </c>
      <c r="L1105">
        <v>2</v>
      </c>
      <c r="M1105" t="s">
        <v>30</v>
      </c>
      <c r="N1105">
        <v>2008</v>
      </c>
      <c r="O1105">
        <v>2</v>
      </c>
      <c r="P1105">
        <v>3</v>
      </c>
      <c r="Q1105" t="s">
        <v>132</v>
      </c>
      <c r="R1105" t="s">
        <v>2692</v>
      </c>
      <c r="S1105" t="s">
        <v>33</v>
      </c>
      <c r="T1105" t="s">
        <v>1273</v>
      </c>
    </row>
    <row r="1106" spans="1:20" ht="16.5" x14ac:dyDescent="0.45">
      <c r="A1106">
        <v>2105</v>
      </c>
      <c r="B1106" t="s">
        <v>2693</v>
      </c>
      <c r="C1106" t="s">
        <v>47</v>
      </c>
      <c r="D1106" t="s">
        <v>21</v>
      </c>
      <c r="E1106">
        <v>619311</v>
      </c>
      <c r="F1106" s="1">
        <v>45457</v>
      </c>
      <c r="G1106" s="1"/>
      <c r="I1106">
        <v>1227</v>
      </c>
      <c r="K1106">
        <v>2</v>
      </c>
      <c r="L1106">
        <v>3</v>
      </c>
      <c r="M1106" t="s">
        <v>37</v>
      </c>
      <c r="N1106">
        <v>2015</v>
      </c>
      <c r="O1106">
        <v>10</v>
      </c>
      <c r="P1106">
        <v>1</v>
      </c>
      <c r="Q1106" t="s">
        <v>86</v>
      </c>
      <c r="R1106" t="s">
        <v>2694</v>
      </c>
      <c r="S1106" t="s">
        <v>33</v>
      </c>
      <c r="T1106" t="s">
        <v>460</v>
      </c>
    </row>
    <row r="1107" spans="1:20" ht="16.5" x14ac:dyDescent="0.45">
      <c r="A1107">
        <v>2106</v>
      </c>
      <c r="B1107" t="s">
        <v>2695</v>
      </c>
      <c r="C1107" t="s">
        <v>28</v>
      </c>
      <c r="D1107" t="s">
        <v>21</v>
      </c>
      <c r="E1107">
        <v>687219</v>
      </c>
      <c r="F1107" s="1">
        <v>45384</v>
      </c>
      <c r="G1107" s="1">
        <v>45329</v>
      </c>
      <c r="H1107">
        <v>699683</v>
      </c>
      <c r="I1107">
        <v>3473</v>
      </c>
      <c r="J1107" s="5">
        <v>2429999059</v>
      </c>
      <c r="K1107">
        <v>5</v>
      </c>
      <c r="L1107">
        <v>3</v>
      </c>
      <c r="M1107" t="s">
        <v>62</v>
      </c>
      <c r="N1107">
        <v>2007</v>
      </c>
      <c r="O1107">
        <v>8</v>
      </c>
      <c r="P1107">
        <v>3</v>
      </c>
      <c r="Q1107" t="s">
        <v>132</v>
      </c>
      <c r="R1107" t="s">
        <v>2696</v>
      </c>
      <c r="S1107" t="s">
        <v>25</v>
      </c>
      <c r="T1107" t="s">
        <v>2697</v>
      </c>
    </row>
    <row r="1108" spans="1:20" ht="16.5" x14ac:dyDescent="0.45">
      <c r="A1108">
        <v>2107</v>
      </c>
      <c r="B1108" t="s">
        <v>2698</v>
      </c>
      <c r="C1108" t="s">
        <v>20</v>
      </c>
      <c r="D1108" t="s">
        <v>29</v>
      </c>
      <c r="E1108">
        <v>390657</v>
      </c>
      <c r="F1108" s="1">
        <v>45289</v>
      </c>
      <c r="G1108" s="1"/>
      <c r="I1108">
        <v>3128</v>
      </c>
      <c r="K1108">
        <v>2</v>
      </c>
      <c r="L1108">
        <v>3</v>
      </c>
      <c r="M1108" t="s">
        <v>62</v>
      </c>
      <c r="N1108">
        <v>2020</v>
      </c>
      <c r="O1108">
        <v>5</v>
      </c>
      <c r="P1108">
        <v>3</v>
      </c>
      <c r="Q1108" t="s">
        <v>23</v>
      </c>
      <c r="R1108" t="s">
        <v>2699</v>
      </c>
      <c r="S1108" t="s">
        <v>33</v>
      </c>
      <c r="T1108" t="s">
        <v>2700</v>
      </c>
    </row>
    <row r="1109" spans="1:20" ht="16.5" x14ac:dyDescent="0.45">
      <c r="A1109">
        <v>2108</v>
      </c>
      <c r="B1109" t="s">
        <v>2701</v>
      </c>
      <c r="C1109" t="s">
        <v>36</v>
      </c>
      <c r="D1109" t="s">
        <v>21</v>
      </c>
      <c r="E1109">
        <v>873226</v>
      </c>
      <c r="F1109" s="1">
        <v>45569</v>
      </c>
      <c r="G1109" s="1"/>
      <c r="I1109">
        <v>1941</v>
      </c>
      <c r="K1109">
        <v>3</v>
      </c>
      <c r="L1109">
        <v>2</v>
      </c>
      <c r="M1109" t="s">
        <v>30</v>
      </c>
      <c r="N1109">
        <v>2013</v>
      </c>
      <c r="O1109">
        <v>7</v>
      </c>
      <c r="P1109">
        <v>2</v>
      </c>
      <c r="Q1109" t="s">
        <v>93</v>
      </c>
      <c r="R1109" t="s">
        <v>2702</v>
      </c>
      <c r="S1109" t="s">
        <v>33</v>
      </c>
      <c r="T1109" t="s">
        <v>2703</v>
      </c>
    </row>
    <row r="1110" spans="1:20" ht="16.5" x14ac:dyDescent="0.45">
      <c r="A1110">
        <v>2109</v>
      </c>
      <c r="B1110" t="s">
        <v>2704</v>
      </c>
      <c r="C1110" t="s">
        <v>36</v>
      </c>
      <c r="D1110" t="s">
        <v>21</v>
      </c>
      <c r="E1110">
        <v>308144</v>
      </c>
      <c r="F1110" s="1">
        <v>45539</v>
      </c>
      <c r="G1110" s="1">
        <v>45551</v>
      </c>
      <c r="H1110">
        <v>335758</v>
      </c>
      <c r="I1110">
        <v>2842</v>
      </c>
      <c r="J1110" s="5">
        <v>954224236</v>
      </c>
      <c r="K1110">
        <v>5</v>
      </c>
      <c r="L1110">
        <v>5</v>
      </c>
      <c r="M1110" t="s">
        <v>22</v>
      </c>
      <c r="N1110">
        <v>2003</v>
      </c>
      <c r="P1110">
        <v>1</v>
      </c>
      <c r="Q1110" t="s">
        <v>23</v>
      </c>
      <c r="R1110" t="s">
        <v>2705</v>
      </c>
      <c r="S1110" t="s">
        <v>25</v>
      </c>
      <c r="T1110" t="s">
        <v>2706</v>
      </c>
    </row>
    <row r="1111" spans="1:20" ht="16.5" x14ac:dyDescent="0.45">
      <c r="A1111">
        <v>2110</v>
      </c>
      <c r="B1111" t="s">
        <v>2707</v>
      </c>
      <c r="C1111" t="s">
        <v>47</v>
      </c>
      <c r="D1111" t="s">
        <v>29</v>
      </c>
      <c r="E1111">
        <v>883385</v>
      </c>
      <c r="F1111" s="1">
        <v>45431</v>
      </c>
      <c r="G1111" s="1"/>
      <c r="I1111">
        <v>1488</v>
      </c>
      <c r="K1111">
        <v>6</v>
      </c>
      <c r="L1111">
        <v>2</v>
      </c>
      <c r="M1111" t="s">
        <v>62</v>
      </c>
      <c r="N1111">
        <v>2019</v>
      </c>
      <c r="O1111">
        <v>3</v>
      </c>
      <c r="P1111">
        <v>2</v>
      </c>
      <c r="Q1111" t="s">
        <v>23</v>
      </c>
      <c r="R1111" t="s">
        <v>2708</v>
      </c>
      <c r="S1111" t="s">
        <v>33</v>
      </c>
      <c r="T1111" t="s">
        <v>2513</v>
      </c>
    </row>
    <row r="1112" spans="1:20" ht="16.5" x14ac:dyDescent="0.45">
      <c r="A1112">
        <v>2111</v>
      </c>
      <c r="B1112" t="s">
        <v>2709</v>
      </c>
      <c r="C1112" t="s">
        <v>28</v>
      </c>
      <c r="D1112" t="s">
        <v>21</v>
      </c>
      <c r="E1112">
        <v>437625</v>
      </c>
      <c r="F1112" s="1">
        <v>45305</v>
      </c>
      <c r="G1112" s="1">
        <v>45528</v>
      </c>
      <c r="H1112">
        <v>479493</v>
      </c>
      <c r="I1112">
        <v>4138</v>
      </c>
      <c r="J1112" s="5">
        <v>1984142034</v>
      </c>
      <c r="K1112">
        <v>2</v>
      </c>
      <c r="L1112">
        <v>4</v>
      </c>
      <c r="M1112" t="s">
        <v>37</v>
      </c>
      <c r="N1112">
        <v>2013</v>
      </c>
      <c r="O1112">
        <v>6</v>
      </c>
      <c r="P1112">
        <v>3</v>
      </c>
      <c r="Q1112" t="s">
        <v>162</v>
      </c>
      <c r="R1112" t="s">
        <v>2710</v>
      </c>
      <c r="S1112" t="s">
        <v>25</v>
      </c>
      <c r="T1112" t="s">
        <v>1544</v>
      </c>
    </row>
    <row r="1113" spans="1:20" ht="16.5" x14ac:dyDescent="0.45">
      <c r="A1113">
        <v>2112</v>
      </c>
      <c r="B1113" t="s">
        <v>2711</v>
      </c>
      <c r="C1113" t="s">
        <v>36</v>
      </c>
      <c r="D1113" t="s">
        <v>29</v>
      </c>
      <c r="E1113">
        <v>774036</v>
      </c>
      <c r="F1113" s="1">
        <v>45457</v>
      </c>
      <c r="G1113" s="1">
        <v>45543</v>
      </c>
      <c r="H1113">
        <v>797680</v>
      </c>
      <c r="I1113">
        <v>4091</v>
      </c>
      <c r="J1113" s="5">
        <v>3263308880</v>
      </c>
      <c r="K1113">
        <v>4</v>
      </c>
      <c r="L1113">
        <v>4</v>
      </c>
      <c r="M1113" t="s">
        <v>37</v>
      </c>
      <c r="N1113">
        <v>2009</v>
      </c>
      <c r="O1113">
        <v>2</v>
      </c>
      <c r="P1113">
        <v>3</v>
      </c>
      <c r="Q1113" t="s">
        <v>86</v>
      </c>
      <c r="R1113" t="s">
        <v>2712</v>
      </c>
      <c r="S1113" t="s">
        <v>25</v>
      </c>
      <c r="T1113" t="s">
        <v>40</v>
      </c>
    </row>
    <row r="1114" spans="1:20" ht="16.5" x14ac:dyDescent="0.45">
      <c r="A1114">
        <v>2113</v>
      </c>
      <c r="B1114" t="s">
        <v>2713</v>
      </c>
      <c r="C1114" t="s">
        <v>36</v>
      </c>
      <c r="D1114" t="s">
        <v>42</v>
      </c>
      <c r="E1114">
        <v>558252</v>
      </c>
      <c r="F1114" s="1">
        <v>45351</v>
      </c>
      <c r="G1114" s="1"/>
      <c r="I1114">
        <v>4935</v>
      </c>
      <c r="K1114">
        <v>3</v>
      </c>
      <c r="L1114">
        <v>3</v>
      </c>
      <c r="M1114" t="s">
        <v>22</v>
      </c>
      <c r="N1114">
        <v>2011</v>
      </c>
      <c r="P1114">
        <v>1</v>
      </c>
      <c r="Q1114" t="s">
        <v>43</v>
      </c>
      <c r="R1114" t="s">
        <v>1410</v>
      </c>
      <c r="S1114" t="s">
        <v>33</v>
      </c>
      <c r="T1114" t="s">
        <v>2714</v>
      </c>
    </row>
    <row r="1115" spans="1:20" ht="16.5" x14ac:dyDescent="0.45">
      <c r="A1115">
        <v>2114</v>
      </c>
      <c r="B1115" t="s">
        <v>2715</v>
      </c>
      <c r="C1115" t="s">
        <v>20</v>
      </c>
      <c r="D1115" t="s">
        <v>21</v>
      </c>
      <c r="E1115">
        <v>398907</v>
      </c>
      <c r="F1115" s="1">
        <v>45584</v>
      </c>
      <c r="G1115" s="1">
        <v>45539</v>
      </c>
      <c r="H1115">
        <v>420663</v>
      </c>
      <c r="I1115">
        <v>2728</v>
      </c>
      <c r="J1115" s="5">
        <v>1147568664</v>
      </c>
      <c r="K1115">
        <v>3</v>
      </c>
      <c r="L1115">
        <v>5</v>
      </c>
      <c r="M1115" t="s">
        <v>37</v>
      </c>
      <c r="N1115">
        <v>2018</v>
      </c>
      <c r="O1115">
        <v>2</v>
      </c>
      <c r="P1115">
        <v>1</v>
      </c>
      <c r="Q1115" t="s">
        <v>86</v>
      </c>
      <c r="R1115" t="s">
        <v>2716</v>
      </c>
      <c r="S1115" t="s">
        <v>25</v>
      </c>
      <c r="T1115" t="s">
        <v>40</v>
      </c>
    </row>
    <row r="1116" spans="1:20" ht="16.5" x14ac:dyDescent="0.45">
      <c r="A1116">
        <v>2115</v>
      </c>
      <c r="B1116" t="s">
        <v>2717</v>
      </c>
      <c r="C1116" t="s">
        <v>28</v>
      </c>
      <c r="D1116" t="s">
        <v>42</v>
      </c>
      <c r="E1116">
        <v>406409</v>
      </c>
      <c r="F1116" s="1">
        <v>45363</v>
      </c>
      <c r="G1116" s="1"/>
      <c r="I1116">
        <v>2081</v>
      </c>
      <c r="K1116">
        <v>6</v>
      </c>
      <c r="L1116">
        <v>4</v>
      </c>
      <c r="M1116" t="s">
        <v>62</v>
      </c>
      <c r="N1116">
        <v>2009</v>
      </c>
      <c r="O1116">
        <v>8</v>
      </c>
      <c r="P1116">
        <v>4</v>
      </c>
      <c r="Q1116" t="s">
        <v>43</v>
      </c>
      <c r="R1116" t="s">
        <v>2718</v>
      </c>
      <c r="S1116" t="s">
        <v>33</v>
      </c>
      <c r="T1116" t="s">
        <v>500</v>
      </c>
    </row>
    <row r="1117" spans="1:20" ht="16.5" x14ac:dyDescent="0.45">
      <c r="A1117">
        <v>2116</v>
      </c>
      <c r="B1117" t="s">
        <v>2719</v>
      </c>
      <c r="C1117" t="s">
        <v>51</v>
      </c>
      <c r="D1117" t="s">
        <v>29</v>
      </c>
      <c r="E1117">
        <v>524241</v>
      </c>
      <c r="F1117" s="1">
        <v>45478</v>
      </c>
      <c r="G1117" s="1"/>
      <c r="I1117">
        <v>4702</v>
      </c>
      <c r="K1117">
        <v>3</v>
      </c>
      <c r="L1117">
        <v>5</v>
      </c>
      <c r="M1117" t="s">
        <v>22</v>
      </c>
      <c r="N1117">
        <v>2000</v>
      </c>
      <c r="P1117">
        <v>3</v>
      </c>
      <c r="Q1117" t="s">
        <v>43</v>
      </c>
      <c r="R1117" t="s">
        <v>2720</v>
      </c>
      <c r="S1117" t="s">
        <v>33</v>
      </c>
      <c r="T1117" t="s">
        <v>2721</v>
      </c>
    </row>
    <row r="1118" spans="1:20" ht="16.5" x14ac:dyDescent="0.45">
      <c r="A1118">
        <v>2117</v>
      </c>
      <c r="B1118" t="s">
        <v>2722</v>
      </c>
      <c r="C1118" t="s">
        <v>47</v>
      </c>
      <c r="D1118" t="s">
        <v>29</v>
      </c>
      <c r="E1118">
        <v>552674</v>
      </c>
      <c r="F1118" s="1">
        <v>45360</v>
      </c>
      <c r="G1118" s="1">
        <v>45334</v>
      </c>
      <c r="H1118">
        <v>568065</v>
      </c>
      <c r="I1118">
        <v>4419</v>
      </c>
      <c r="J1118" s="5">
        <v>2510279235</v>
      </c>
      <c r="K1118">
        <v>6</v>
      </c>
      <c r="L1118">
        <v>2</v>
      </c>
      <c r="M1118" t="s">
        <v>30</v>
      </c>
      <c r="N1118">
        <v>2014</v>
      </c>
      <c r="O1118">
        <v>9</v>
      </c>
      <c r="P1118">
        <v>1</v>
      </c>
      <c r="Q1118" t="s">
        <v>58</v>
      </c>
      <c r="R1118" t="s">
        <v>1228</v>
      </c>
      <c r="S1118" t="s">
        <v>25</v>
      </c>
      <c r="T1118" t="s">
        <v>253</v>
      </c>
    </row>
    <row r="1119" spans="1:20" ht="16.5" x14ac:dyDescent="0.45">
      <c r="A1119">
        <v>2118</v>
      </c>
      <c r="B1119" t="s">
        <v>2723</v>
      </c>
      <c r="C1119" t="s">
        <v>47</v>
      </c>
      <c r="D1119" t="s">
        <v>29</v>
      </c>
      <c r="E1119">
        <v>328211</v>
      </c>
      <c r="F1119" s="1">
        <v>45292</v>
      </c>
      <c r="G1119" s="1">
        <v>45633</v>
      </c>
      <c r="H1119">
        <v>376671</v>
      </c>
      <c r="I1119">
        <v>1952</v>
      </c>
      <c r="J1119" s="5">
        <v>735261792</v>
      </c>
      <c r="K1119">
        <v>4</v>
      </c>
      <c r="L1119">
        <v>2</v>
      </c>
      <c r="M1119" t="s">
        <v>37</v>
      </c>
      <c r="N1119">
        <v>2003</v>
      </c>
      <c r="O1119">
        <v>3</v>
      </c>
      <c r="P1119">
        <v>4</v>
      </c>
      <c r="Q1119" t="s">
        <v>23</v>
      </c>
      <c r="R1119" t="s">
        <v>2724</v>
      </c>
      <c r="S1119" t="s">
        <v>25</v>
      </c>
      <c r="T1119" t="s">
        <v>2725</v>
      </c>
    </row>
    <row r="1120" spans="1:20" ht="16.5" x14ac:dyDescent="0.45">
      <c r="A1120">
        <v>2119</v>
      </c>
      <c r="B1120" t="s">
        <v>2726</v>
      </c>
      <c r="C1120" t="s">
        <v>20</v>
      </c>
      <c r="D1120" t="s">
        <v>29</v>
      </c>
      <c r="E1120">
        <v>397577</v>
      </c>
      <c r="F1120" s="1">
        <v>45436</v>
      </c>
      <c r="G1120" s="1">
        <v>45335</v>
      </c>
      <c r="H1120">
        <v>443595</v>
      </c>
      <c r="I1120">
        <v>2995</v>
      </c>
      <c r="J1120" s="5">
        <v>1328567025</v>
      </c>
      <c r="K1120">
        <v>3</v>
      </c>
      <c r="L1120">
        <v>2</v>
      </c>
      <c r="M1120" t="s">
        <v>30</v>
      </c>
      <c r="N1120">
        <v>2008</v>
      </c>
      <c r="O1120">
        <v>1</v>
      </c>
      <c r="P1120">
        <v>3</v>
      </c>
      <c r="Q1120" t="s">
        <v>132</v>
      </c>
      <c r="R1120" t="s">
        <v>2727</v>
      </c>
      <c r="S1120" t="s">
        <v>25</v>
      </c>
      <c r="T1120" t="s">
        <v>77</v>
      </c>
    </row>
    <row r="1121" spans="1:20" ht="16.5" x14ac:dyDescent="0.45">
      <c r="A1121">
        <v>2120</v>
      </c>
      <c r="B1121" t="s">
        <v>2728</v>
      </c>
      <c r="C1121" t="s">
        <v>28</v>
      </c>
      <c r="D1121" t="s">
        <v>29</v>
      </c>
      <c r="E1121">
        <v>739680</v>
      </c>
      <c r="F1121" s="1">
        <v>45308</v>
      </c>
      <c r="G1121" s="1">
        <v>45314</v>
      </c>
      <c r="H1121">
        <v>755726</v>
      </c>
      <c r="I1121">
        <v>4914</v>
      </c>
      <c r="J1121" s="5">
        <v>3713637564</v>
      </c>
      <c r="K1121">
        <v>4</v>
      </c>
      <c r="L1121">
        <v>3</v>
      </c>
      <c r="M1121" t="s">
        <v>62</v>
      </c>
      <c r="N1121">
        <v>2005</v>
      </c>
      <c r="O1121">
        <v>2</v>
      </c>
      <c r="P1121">
        <v>4</v>
      </c>
      <c r="Q1121" t="s">
        <v>43</v>
      </c>
      <c r="R1121" t="s">
        <v>2258</v>
      </c>
      <c r="S1121" t="s">
        <v>25</v>
      </c>
      <c r="T1121" t="s">
        <v>2729</v>
      </c>
    </row>
    <row r="1122" spans="1:20" ht="16.5" x14ac:dyDescent="0.45">
      <c r="A1122">
        <v>2121</v>
      </c>
      <c r="B1122" t="s">
        <v>2730</v>
      </c>
      <c r="C1122" t="s">
        <v>28</v>
      </c>
      <c r="D1122" t="s">
        <v>42</v>
      </c>
      <c r="E1122">
        <v>615244</v>
      </c>
      <c r="F1122" s="1">
        <v>45438</v>
      </c>
      <c r="G1122" s="1">
        <v>45531</v>
      </c>
      <c r="H1122">
        <v>640743</v>
      </c>
      <c r="I1122">
        <v>2930</v>
      </c>
      <c r="J1122" s="5">
        <v>1877376990</v>
      </c>
      <c r="K1122">
        <v>3</v>
      </c>
      <c r="L1122">
        <v>4</v>
      </c>
      <c r="M1122" t="s">
        <v>30</v>
      </c>
      <c r="N1122">
        <v>2023</v>
      </c>
      <c r="O1122">
        <v>9</v>
      </c>
      <c r="P1122">
        <v>2</v>
      </c>
      <c r="Q1122" t="s">
        <v>93</v>
      </c>
      <c r="R1122" t="s">
        <v>754</v>
      </c>
      <c r="S1122" t="s">
        <v>25</v>
      </c>
      <c r="T1122" t="s">
        <v>2731</v>
      </c>
    </row>
    <row r="1123" spans="1:20" ht="16.5" x14ac:dyDescent="0.45">
      <c r="A1123">
        <v>2122</v>
      </c>
      <c r="B1123" t="s">
        <v>2732</v>
      </c>
      <c r="C1123" t="s">
        <v>36</v>
      </c>
      <c r="D1123" t="s">
        <v>29</v>
      </c>
      <c r="E1123">
        <v>603062</v>
      </c>
      <c r="F1123" s="1">
        <v>45392</v>
      </c>
      <c r="G1123" s="1"/>
      <c r="I1123">
        <v>3812</v>
      </c>
      <c r="K1123">
        <v>3</v>
      </c>
      <c r="L1123">
        <v>2</v>
      </c>
      <c r="M1123" t="s">
        <v>37</v>
      </c>
      <c r="N1123">
        <v>2001</v>
      </c>
      <c r="O1123">
        <v>7</v>
      </c>
      <c r="P1123">
        <v>4</v>
      </c>
      <c r="Q1123" t="s">
        <v>75</v>
      </c>
      <c r="R1123" t="s">
        <v>2733</v>
      </c>
      <c r="S1123" t="s">
        <v>33</v>
      </c>
      <c r="T1123" t="s">
        <v>128</v>
      </c>
    </row>
    <row r="1124" spans="1:20" ht="16.5" x14ac:dyDescent="0.45">
      <c r="A1124">
        <v>2123</v>
      </c>
      <c r="B1124" t="s">
        <v>2734</v>
      </c>
      <c r="C1124" t="s">
        <v>20</v>
      </c>
      <c r="D1124" t="s">
        <v>29</v>
      </c>
      <c r="E1124">
        <v>888332</v>
      </c>
      <c r="F1124" s="1">
        <v>45467</v>
      </c>
      <c r="G1124" s="1"/>
      <c r="I1124">
        <v>3809</v>
      </c>
      <c r="K1124">
        <v>6</v>
      </c>
      <c r="L1124">
        <v>5</v>
      </c>
      <c r="M1124" t="s">
        <v>30</v>
      </c>
      <c r="N1124">
        <v>2003</v>
      </c>
      <c r="O1124">
        <v>7</v>
      </c>
      <c r="P1124">
        <v>4</v>
      </c>
      <c r="Q1124" t="s">
        <v>132</v>
      </c>
      <c r="R1124" t="s">
        <v>2735</v>
      </c>
      <c r="S1124" t="s">
        <v>33</v>
      </c>
      <c r="T1124" t="s">
        <v>183</v>
      </c>
    </row>
    <row r="1125" spans="1:20" ht="16.5" x14ac:dyDescent="0.45">
      <c r="A1125">
        <v>2124</v>
      </c>
      <c r="B1125" t="s">
        <v>2736</v>
      </c>
      <c r="C1125" t="s">
        <v>28</v>
      </c>
      <c r="D1125" t="s">
        <v>29</v>
      </c>
      <c r="E1125">
        <v>971646</v>
      </c>
      <c r="F1125" s="1">
        <v>45411</v>
      </c>
      <c r="G1125" s="1">
        <v>45633</v>
      </c>
      <c r="H1125">
        <v>987073</v>
      </c>
      <c r="I1125">
        <v>2892</v>
      </c>
      <c r="J1125" s="5">
        <v>2854615116</v>
      </c>
      <c r="K1125">
        <v>3</v>
      </c>
      <c r="L1125">
        <v>3</v>
      </c>
      <c r="M1125" t="s">
        <v>37</v>
      </c>
      <c r="N1125">
        <v>2004</v>
      </c>
      <c r="O1125">
        <v>1</v>
      </c>
      <c r="P1125">
        <v>1</v>
      </c>
      <c r="Q1125" t="s">
        <v>58</v>
      </c>
      <c r="R1125" t="s">
        <v>2737</v>
      </c>
      <c r="S1125" t="s">
        <v>25</v>
      </c>
      <c r="T1125" t="s">
        <v>757</v>
      </c>
    </row>
    <row r="1126" spans="1:20" ht="16.5" x14ac:dyDescent="0.45">
      <c r="A1126">
        <v>2125</v>
      </c>
      <c r="B1126" t="s">
        <v>2738</v>
      </c>
      <c r="C1126" t="s">
        <v>36</v>
      </c>
      <c r="D1126" t="s">
        <v>42</v>
      </c>
      <c r="E1126">
        <v>704126</v>
      </c>
      <c r="F1126" s="1">
        <v>45564</v>
      </c>
      <c r="G1126" s="1">
        <v>45521</v>
      </c>
      <c r="H1126">
        <v>735807</v>
      </c>
      <c r="I1126">
        <v>3880</v>
      </c>
      <c r="J1126" s="5">
        <v>2854931160</v>
      </c>
      <c r="K1126">
        <v>2</v>
      </c>
      <c r="L1126">
        <v>3</v>
      </c>
      <c r="M1126" t="s">
        <v>37</v>
      </c>
      <c r="N1126">
        <v>2000</v>
      </c>
      <c r="O1126">
        <v>3</v>
      </c>
      <c r="P1126">
        <v>4</v>
      </c>
      <c r="Q1126" t="s">
        <v>132</v>
      </c>
      <c r="R1126" t="s">
        <v>2739</v>
      </c>
      <c r="S1126" t="s">
        <v>25</v>
      </c>
      <c r="T1126" t="s">
        <v>2740</v>
      </c>
    </row>
    <row r="1127" spans="1:20" ht="16.5" x14ac:dyDescent="0.45">
      <c r="A1127">
        <v>2126</v>
      </c>
      <c r="B1127" t="s">
        <v>2741</v>
      </c>
      <c r="C1127" t="s">
        <v>28</v>
      </c>
      <c r="D1127" t="s">
        <v>42</v>
      </c>
      <c r="E1127">
        <v>963866</v>
      </c>
      <c r="F1127" s="1">
        <v>45422</v>
      </c>
      <c r="G1127" s="1">
        <v>45529</v>
      </c>
      <c r="H1127">
        <v>978122</v>
      </c>
      <c r="I1127">
        <v>1541</v>
      </c>
      <c r="J1127" s="5">
        <v>1507286002</v>
      </c>
      <c r="K1127">
        <v>6</v>
      </c>
      <c r="L1127">
        <v>3</v>
      </c>
      <c r="M1127" t="s">
        <v>22</v>
      </c>
      <c r="N1127">
        <v>2005</v>
      </c>
      <c r="P1127">
        <v>1</v>
      </c>
      <c r="Q1127" t="s">
        <v>58</v>
      </c>
      <c r="R1127" t="s">
        <v>2742</v>
      </c>
      <c r="S1127" t="s">
        <v>25</v>
      </c>
      <c r="T1127" t="s">
        <v>2743</v>
      </c>
    </row>
    <row r="1128" spans="1:20" ht="16.5" x14ac:dyDescent="0.45">
      <c r="A1128">
        <v>2127</v>
      </c>
      <c r="B1128" t="s">
        <v>2744</v>
      </c>
      <c r="C1128" t="s">
        <v>47</v>
      </c>
      <c r="D1128" t="s">
        <v>29</v>
      </c>
      <c r="E1128">
        <v>946060</v>
      </c>
      <c r="F1128" s="1">
        <v>45409</v>
      </c>
      <c r="G1128" s="1">
        <v>45399</v>
      </c>
      <c r="H1128">
        <v>969901</v>
      </c>
      <c r="I1128">
        <v>1725</v>
      </c>
      <c r="J1128" s="5">
        <v>1673079225</v>
      </c>
      <c r="K1128">
        <v>6</v>
      </c>
      <c r="L1128">
        <v>5</v>
      </c>
      <c r="M1128" t="s">
        <v>30</v>
      </c>
      <c r="N1128">
        <v>2009</v>
      </c>
      <c r="O1128">
        <v>3</v>
      </c>
      <c r="P1128">
        <v>3</v>
      </c>
      <c r="Q1128" t="s">
        <v>23</v>
      </c>
      <c r="R1128" t="s">
        <v>2745</v>
      </c>
      <c r="S1128" t="s">
        <v>25</v>
      </c>
      <c r="T1128" t="s">
        <v>2746</v>
      </c>
    </row>
    <row r="1129" spans="1:20" ht="16.5" x14ac:dyDescent="0.45">
      <c r="A1129">
        <v>2128</v>
      </c>
      <c r="B1129" t="s">
        <v>2747</v>
      </c>
      <c r="C1129" t="s">
        <v>47</v>
      </c>
      <c r="D1129" t="s">
        <v>42</v>
      </c>
      <c r="E1129">
        <v>422434</v>
      </c>
      <c r="F1129" s="1">
        <v>45480</v>
      </c>
      <c r="G1129" s="1">
        <v>45516</v>
      </c>
      <c r="H1129">
        <v>468959</v>
      </c>
      <c r="I1129">
        <v>1003</v>
      </c>
      <c r="J1129" s="5">
        <v>470365877</v>
      </c>
      <c r="K1129">
        <v>6</v>
      </c>
      <c r="L1129">
        <v>2</v>
      </c>
      <c r="M1129" t="s">
        <v>62</v>
      </c>
      <c r="N1129">
        <v>2020</v>
      </c>
      <c r="O1129">
        <v>3</v>
      </c>
      <c r="P1129">
        <v>1</v>
      </c>
      <c r="Q1129" t="s">
        <v>43</v>
      </c>
      <c r="R1129" t="s">
        <v>2748</v>
      </c>
      <c r="S1129" t="s">
        <v>25</v>
      </c>
      <c r="T1129" t="s">
        <v>2749</v>
      </c>
    </row>
    <row r="1130" spans="1:20" ht="16.5" x14ac:dyDescent="0.45">
      <c r="A1130">
        <v>2129</v>
      </c>
      <c r="B1130" t="s">
        <v>2750</v>
      </c>
      <c r="C1130" t="s">
        <v>47</v>
      </c>
      <c r="D1130" t="s">
        <v>42</v>
      </c>
      <c r="E1130">
        <v>600898</v>
      </c>
      <c r="F1130" s="1">
        <v>45435</v>
      </c>
      <c r="G1130" s="1"/>
      <c r="I1130">
        <v>1702</v>
      </c>
      <c r="K1130">
        <v>5</v>
      </c>
      <c r="L1130">
        <v>2</v>
      </c>
      <c r="M1130" t="s">
        <v>37</v>
      </c>
      <c r="N1130">
        <v>2016</v>
      </c>
      <c r="O1130">
        <v>6</v>
      </c>
      <c r="P1130">
        <v>2</v>
      </c>
      <c r="Q1130" t="s">
        <v>31</v>
      </c>
      <c r="R1130" t="s">
        <v>2751</v>
      </c>
      <c r="S1130" t="s">
        <v>33</v>
      </c>
      <c r="T1130" t="s">
        <v>91</v>
      </c>
    </row>
    <row r="1131" spans="1:20" ht="16.5" x14ac:dyDescent="0.45">
      <c r="A1131">
        <v>2130</v>
      </c>
      <c r="B1131" t="s">
        <v>2752</v>
      </c>
      <c r="C1131" t="s">
        <v>47</v>
      </c>
      <c r="D1131" t="s">
        <v>29</v>
      </c>
      <c r="E1131">
        <v>905203</v>
      </c>
      <c r="F1131" s="1">
        <v>45350</v>
      </c>
      <c r="G1131" s="1"/>
      <c r="I1131">
        <v>3281</v>
      </c>
      <c r="K1131">
        <v>2</v>
      </c>
      <c r="L1131">
        <v>5</v>
      </c>
      <c r="M1131" t="s">
        <v>62</v>
      </c>
      <c r="N1131">
        <v>2014</v>
      </c>
      <c r="O1131">
        <v>7</v>
      </c>
      <c r="P1131">
        <v>4</v>
      </c>
      <c r="Q1131" t="s">
        <v>86</v>
      </c>
      <c r="R1131" t="s">
        <v>2753</v>
      </c>
      <c r="S1131" t="s">
        <v>33</v>
      </c>
      <c r="T1131" t="s">
        <v>695</v>
      </c>
    </row>
    <row r="1132" spans="1:20" ht="16.5" x14ac:dyDescent="0.45">
      <c r="A1132">
        <v>2131</v>
      </c>
      <c r="B1132" t="s">
        <v>2754</v>
      </c>
      <c r="C1132" t="s">
        <v>36</v>
      </c>
      <c r="D1132" t="s">
        <v>21</v>
      </c>
      <c r="E1132">
        <v>750044</v>
      </c>
      <c r="F1132" s="1">
        <v>45499</v>
      </c>
      <c r="G1132" s="1">
        <v>45497</v>
      </c>
      <c r="H1132">
        <v>780315</v>
      </c>
      <c r="I1132">
        <v>2592</v>
      </c>
      <c r="J1132" s="5">
        <v>2022576480</v>
      </c>
      <c r="K1132">
        <v>3</v>
      </c>
      <c r="L1132">
        <v>5</v>
      </c>
      <c r="M1132" t="s">
        <v>22</v>
      </c>
      <c r="N1132">
        <v>2000</v>
      </c>
      <c r="P1132">
        <v>1</v>
      </c>
      <c r="Q1132" t="s">
        <v>23</v>
      </c>
      <c r="R1132" t="s">
        <v>2755</v>
      </c>
      <c r="S1132" t="s">
        <v>25</v>
      </c>
      <c r="T1132" t="s">
        <v>2756</v>
      </c>
    </row>
    <row r="1133" spans="1:20" ht="16.5" x14ac:dyDescent="0.45">
      <c r="A1133">
        <v>2132</v>
      </c>
      <c r="B1133" t="s">
        <v>2757</v>
      </c>
      <c r="C1133" t="s">
        <v>47</v>
      </c>
      <c r="D1133" t="s">
        <v>42</v>
      </c>
      <c r="E1133">
        <v>440997</v>
      </c>
      <c r="F1133" s="1">
        <v>45564</v>
      </c>
      <c r="G1133" s="1">
        <v>45337</v>
      </c>
      <c r="H1133">
        <v>488699</v>
      </c>
      <c r="I1133">
        <v>4340</v>
      </c>
      <c r="J1133" s="5">
        <v>2120953660</v>
      </c>
      <c r="K1133">
        <v>3</v>
      </c>
      <c r="L1133">
        <v>3</v>
      </c>
      <c r="M1133" t="s">
        <v>37</v>
      </c>
      <c r="N1133">
        <v>2013</v>
      </c>
      <c r="O1133">
        <v>5</v>
      </c>
      <c r="P1133">
        <v>4</v>
      </c>
      <c r="Q1133" t="s">
        <v>132</v>
      </c>
      <c r="R1133" t="s">
        <v>2758</v>
      </c>
      <c r="S1133" t="s">
        <v>25</v>
      </c>
      <c r="T1133" t="s">
        <v>581</v>
      </c>
    </row>
    <row r="1134" spans="1:20" ht="16.5" x14ac:dyDescent="0.45">
      <c r="A1134">
        <v>2133</v>
      </c>
      <c r="B1134" t="s">
        <v>2759</v>
      </c>
      <c r="C1134" t="s">
        <v>47</v>
      </c>
      <c r="D1134" t="s">
        <v>42</v>
      </c>
      <c r="E1134">
        <v>953029</v>
      </c>
      <c r="F1134" s="1">
        <v>45416</v>
      </c>
      <c r="G1134" s="1">
        <v>45639</v>
      </c>
      <c r="H1134">
        <v>1002987</v>
      </c>
      <c r="I1134">
        <v>3690</v>
      </c>
      <c r="J1134" s="5">
        <v>3701022030</v>
      </c>
      <c r="K1134">
        <v>5</v>
      </c>
      <c r="L1134">
        <v>2</v>
      </c>
      <c r="M1134" t="s">
        <v>30</v>
      </c>
      <c r="N1134">
        <v>2007</v>
      </c>
      <c r="O1134">
        <v>7</v>
      </c>
      <c r="P1134">
        <v>2</v>
      </c>
      <c r="Q1134" t="s">
        <v>162</v>
      </c>
      <c r="R1134" t="s">
        <v>2760</v>
      </c>
      <c r="S1134" t="s">
        <v>25</v>
      </c>
      <c r="T1134" t="s">
        <v>896</v>
      </c>
    </row>
    <row r="1135" spans="1:20" ht="16.5" x14ac:dyDescent="0.45">
      <c r="A1135">
        <v>2134</v>
      </c>
      <c r="B1135" t="s">
        <v>2761</v>
      </c>
      <c r="C1135" t="s">
        <v>47</v>
      </c>
      <c r="D1135" t="s">
        <v>21</v>
      </c>
      <c r="E1135">
        <v>840168</v>
      </c>
      <c r="F1135" s="1">
        <v>45633</v>
      </c>
      <c r="G1135" s="1">
        <v>45485</v>
      </c>
      <c r="H1135">
        <v>881317</v>
      </c>
      <c r="I1135">
        <v>4883</v>
      </c>
      <c r="J1135" s="5">
        <v>4303470911</v>
      </c>
      <c r="K1135">
        <v>6</v>
      </c>
      <c r="L1135">
        <v>5</v>
      </c>
      <c r="M1135" t="s">
        <v>37</v>
      </c>
      <c r="N1135">
        <v>2020</v>
      </c>
      <c r="O1135">
        <v>3</v>
      </c>
      <c r="P1135">
        <v>4</v>
      </c>
      <c r="Q1135" t="s">
        <v>86</v>
      </c>
      <c r="R1135" t="s">
        <v>2762</v>
      </c>
      <c r="S1135" t="s">
        <v>25</v>
      </c>
      <c r="T1135" t="s">
        <v>1242</v>
      </c>
    </row>
    <row r="1136" spans="1:20" ht="16.5" x14ac:dyDescent="0.45">
      <c r="A1136">
        <v>2135</v>
      </c>
      <c r="B1136" t="s">
        <v>2763</v>
      </c>
      <c r="C1136" t="s">
        <v>51</v>
      </c>
      <c r="D1136" t="s">
        <v>29</v>
      </c>
      <c r="E1136">
        <v>803486</v>
      </c>
      <c r="F1136" s="1">
        <v>45546</v>
      </c>
      <c r="G1136" s="1">
        <v>45398</v>
      </c>
      <c r="H1136">
        <v>817735</v>
      </c>
      <c r="I1136">
        <v>1617</v>
      </c>
      <c r="J1136" s="5">
        <v>1322277495</v>
      </c>
      <c r="K1136">
        <v>4</v>
      </c>
      <c r="L1136">
        <v>4</v>
      </c>
      <c r="M1136" t="s">
        <v>62</v>
      </c>
      <c r="N1136">
        <v>2007</v>
      </c>
      <c r="O1136">
        <v>5</v>
      </c>
      <c r="P1136">
        <v>1</v>
      </c>
      <c r="Q1136" t="s">
        <v>132</v>
      </c>
      <c r="R1136" t="s">
        <v>2764</v>
      </c>
      <c r="S1136" t="s">
        <v>25</v>
      </c>
      <c r="T1136" t="s">
        <v>2765</v>
      </c>
    </row>
    <row r="1137" spans="1:20" ht="16.5" x14ac:dyDescent="0.45">
      <c r="A1137">
        <v>2136</v>
      </c>
      <c r="B1137" t="s">
        <v>2766</v>
      </c>
      <c r="C1137" t="s">
        <v>28</v>
      </c>
      <c r="D1137" t="s">
        <v>29</v>
      </c>
      <c r="E1137">
        <v>851700</v>
      </c>
      <c r="F1137" s="1">
        <v>45322</v>
      </c>
      <c r="G1137" s="1">
        <v>45602</v>
      </c>
      <c r="H1137">
        <v>865394</v>
      </c>
      <c r="I1137">
        <v>3973</v>
      </c>
      <c r="J1137" s="5">
        <v>3438210362</v>
      </c>
      <c r="K1137">
        <v>2</v>
      </c>
      <c r="L1137">
        <v>2</v>
      </c>
      <c r="M1137" t="s">
        <v>37</v>
      </c>
      <c r="N1137">
        <v>2001</v>
      </c>
      <c r="O1137">
        <v>9</v>
      </c>
      <c r="P1137">
        <v>4</v>
      </c>
      <c r="Q1137" t="s">
        <v>93</v>
      </c>
      <c r="R1137" t="s">
        <v>2767</v>
      </c>
      <c r="S1137" t="s">
        <v>25</v>
      </c>
      <c r="T1137" t="s">
        <v>2768</v>
      </c>
    </row>
    <row r="1138" spans="1:20" ht="16.5" x14ac:dyDescent="0.45">
      <c r="A1138">
        <v>2137</v>
      </c>
      <c r="B1138" t="s">
        <v>2769</v>
      </c>
      <c r="C1138" t="s">
        <v>36</v>
      </c>
      <c r="D1138" t="s">
        <v>21</v>
      </c>
      <c r="E1138">
        <v>988204</v>
      </c>
      <c r="F1138" s="1">
        <v>45329</v>
      </c>
      <c r="G1138" s="1"/>
      <c r="I1138">
        <v>1361</v>
      </c>
      <c r="K1138">
        <v>2</v>
      </c>
      <c r="L1138">
        <v>4</v>
      </c>
      <c r="M1138" t="s">
        <v>22</v>
      </c>
      <c r="N1138">
        <v>2008</v>
      </c>
      <c r="P1138">
        <v>2</v>
      </c>
      <c r="Q1138" t="s">
        <v>93</v>
      </c>
      <c r="R1138" t="s">
        <v>2770</v>
      </c>
      <c r="S1138" t="s">
        <v>33</v>
      </c>
      <c r="T1138" t="s">
        <v>1343</v>
      </c>
    </row>
    <row r="1139" spans="1:20" ht="16.5" x14ac:dyDescent="0.45">
      <c r="A1139">
        <v>2138</v>
      </c>
      <c r="B1139" t="s">
        <v>2771</v>
      </c>
      <c r="C1139" t="s">
        <v>36</v>
      </c>
      <c r="D1139" t="s">
        <v>21</v>
      </c>
      <c r="E1139">
        <v>538373</v>
      </c>
      <c r="F1139" s="1">
        <v>45611</v>
      </c>
      <c r="G1139" s="1"/>
      <c r="I1139">
        <v>3052</v>
      </c>
      <c r="K1139">
        <v>4</v>
      </c>
      <c r="L1139">
        <v>3</v>
      </c>
      <c r="M1139" t="s">
        <v>62</v>
      </c>
      <c r="N1139">
        <v>2022</v>
      </c>
      <c r="O1139">
        <v>4</v>
      </c>
      <c r="P1139">
        <v>3</v>
      </c>
      <c r="Q1139" t="s">
        <v>43</v>
      </c>
      <c r="R1139" t="s">
        <v>2772</v>
      </c>
      <c r="S1139" t="s">
        <v>33</v>
      </c>
      <c r="T1139" t="s">
        <v>632</v>
      </c>
    </row>
    <row r="1140" spans="1:20" ht="16.5" x14ac:dyDescent="0.45">
      <c r="A1140">
        <v>2139</v>
      </c>
      <c r="B1140" t="s">
        <v>2773</v>
      </c>
      <c r="C1140" t="s">
        <v>28</v>
      </c>
      <c r="D1140" t="s">
        <v>21</v>
      </c>
      <c r="E1140">
        <v>876865</v>
      </c>
      <c r="F1140" s="1">
        <v>45368</v>
      </c>
      <c r="G1140" s="1">
        <v>45471</v>
      </c>
      <c r="H1140">
        <v>922628</v>
      </c>
      <c r="I1140">
        <v>1195</v>
      </c>
      <c r="J1140" s="5">
        <v>1102540460</v>
      </c>
      <c r="K1140">
        <v>5</v>
      </c>
      <c r="L1140">
        <v>5</v>
      </c>
      <c r="M1140" t="s">
        <v>37</v>
      </c>
      <c r="N1140">
        <v>2016</v>
      </c>
      <c r="O1140">
        <v>8</v>
      </c>
      <c r="P1140">
        <v>1</v>
      </c>
      <c r="Q1140" t="s">
        <v>58</v>
      </c>
      <c r="R1140" t="s">
        <v>2774</v>
      </c>
      <c r="S1140" t="s">
        <v>25</v>
      </c>
      <c r="T1140" t="s">
        <v>77</v>
      </c>
    </row>
    <row r="1141" spans="1:20" ht="16.5" x14ac:dyDescent="0.45">
      <c r="A1141">
        <v>2140</v>
      </c>
      <c r="B1141" t="s">
        <v>2775</v>
      </c>
      <c r="C1141" t="s">
        <v>20</v>
      </c>
      <c r="D1141" t="s">
        <v>21</v>
      </c>
      <c r="E1141">
        <v>608476</v>
      </c>
      <c r="F1141" s="1">
        <v>45349</v>
      </c>
      <c r="G1141" s="1">
        <v>45547</v>
      </c>
      <c r="H1141">
        <v>635721</v>
      </c>
      <c r="I1141">
        <v>2816</v>
      </c>
      <c r="J1141" s="5">
        <v>1790190336</v>
      </c>
      <c r="K1141">
        <v>2</v>
      </c>
      <c r="L1141">
        <v>3</v>
      </c>
      <c r="M1141" t="s">
        <v>30</v>
      </c>
      <c r="N1141">
        <v>2002</v>
      </c>
      <c r="O1141">
        <v>7</v>
      </c>
      <c r="P1141">
        <v>4</v>
      </c>
      <c r="Q1141" t="s">
        <v>93</v>
      </c>
      <c r="R1141" t="s">
        <v>2776</v>
      </c>
      <c r="S1141" t="s">
        <v>25</v>
      </c>
      <c r="T1141" t="s">
        <v>2777</v>
      </c>
    </row>
    <row r="1142" spans="1:20" ht="16.5" x14ac:dyDescent="0.45">
      <c r="A1142">
        <v>2141</v>
      </c>
      <c r="B1142" t="s">
        <v>2778</v>
      </c>
      <c r="C1142" t="s">
        <v>36</v>
      </c>
      <c r="D1142" t="s">
        <v>42</v>
      </c>
      <c r="E1142">
        <v>632294</v>
      </c>
      <c r="F1142" s="1">
        <v>45434</v>
      </c>
      <c r="G1142" s="1"/>
      <c r="I1142">
        <v>3101</v>
      </c>
      <c r="K1142">
        <v>2</v>
      </c>
      <c r="L1142">
        <v>3</v>
      </c>
      <c r="M1142" t="s">
        <v>37</v>
      </c>
      <c r="N1142">
        <v>2017</v>
      </c>
      <c r="O1142">
        <v>10</v>
      </c>
      <c r="P1142">
        <v>4</v>
      </c>
      <c r="Q1142" t="s">
        <v>31</v>
      </c>
      <c r="R1142" t="s">
        <v>2779</v>
      </c>
      <c r="S1142" t="s">
        <v>33</v>
      </c>
      <c r="T1142" t="s">
        <v>77</v>
      </c>
    </row>
    <row r="1143" spans="1:20" ht="16.5" x14ac:dyDescent="0.45">
      <c r="A1143">
        <v>2142</v>
      </c>
      <c r="B1143" t="s">
        <v>2780</v>
      </c>
      <c r="C1143" t="s">
        <v>51</v>
      </c>
      <c r="D1143" t="s">
        <v>29</v>
      </c>
      <c r="E1143">
        <v>558332</v>
      </c>
      <c r="F1143" s="1">
        <v>45458</v>
      </c>
      <c r="G1143" s="1"/>
      <c r="I1143">
        <v>2894</v>
      </c>
      <c r="K1143">
        <v>2</v>
      </c>
      <c r="L1143">
        <v>3</v>
      </c>
      <c r="M1143" t="s">
        <v>62</v>
      </c>
      <c r="N1143">
        <v>2000</v>
      </c>
      <c r="O1143">
        <v>8</v>
      </c>
      <c r="P1143">
        <v>1</v>
      </c>
      <c r="Q1143" t="s">
        <v>31</v>
      </c>
      <c r="R1143" t="s">
        <v>2781</v>
      </c>
      <c r="S1143" t="s">
        <v>33</v>
      </c>
      <c r="T1143" t="s">
        <v>1412</v>
      </c>
    </row>
    <row r="1144" spans="1:20" ht="16.5" x14ac:dyDescent="0.45">
      <c r="A1144">
        <v>2143</v>
      </c>
      <c r="B1144" t="s">
        <v>2782</v>
      </c>
      <c r="C1144" t="s">
        <v>51</v>
      </c>
      <c r="D1144" t="s">
        <v>29</v>
      </c>
      <c r="E1144">
        <v>985267</v>
      </c>
      <c r="F1144" s="1">
        <v>45642</v>
      </c>
      <c r="G1144" s="1">
        <v>45390</v>
      </c>
      <c r="H1144">
        <v>1020459</v>
      </c>
      <c r="I1144">
        <v>2068</v>
      </c>
      <c r="J1144" s="5">
        <v>2110309212</v>
      </c>
      <c r="K1144">
        <v>6</v>
      </c>
      <c r="L1144">
        <v>5</v>
      </c>
      <c r="M1144" t="s">
        <v>37</v>
      </c>
      <c r="N1144">
        <v>2001</v>
      </c>
      <c r="O1144">
        <v>4</v>
      </c>
      <c r="P1144">
        <v>4</v>
      </c>
      <c r="Q1144" t="s">
        <v>38</v>
      </c>
      <c r="R1144" t="s">
        <v>2783</v>
      </c>
      <c r="S1144" t="s">
        <v>25</v>
      </c>
      <c r="T1144" t="s">
        <v>137</v>
      </c>
    </row>
    <row r="1145" spans="1:20" ht="16.5" x14ac:dyDescent="0.45">
      <c r="A1145">
        <v>2144</v>
      </c>
      <c r="B1145" t="s">
        <v>2784</v>
      </c>
      <c r="C1145" t="s">
        <v>28</v>
      </c>
      <c r="D1145" t="s">
        <v>21</v>
      </c>
      <c r="E1145">
        <v>757785</v>
      </c>
      <c r="F1145" s="1">
        <v>45613</v>
      </c>
      <c r="G1145" s="1"/>
      <c r="I1145">
        <v>3489</v>
      </c>
      <c r="K1145">
        <v>2</v>
      </c>
      <c r="L1145">
        <v>3</v>
      </c>
      <c r="M1145" t="s">
        <v>62</v>
      </c>
      <c r="N1145">
        <v>2007</v>
      </c>
      <c r="O1145">
        <v>7</v>
      </c>
      <c r="P1145">
        <v>4</v>
      </c>
      <c r="Q1145" t="s">
        <v>43</v>
      </c>
      <c r="R1145" t="s">
        <v>2785</v>
      </c>
      <c r="S1145" t="s">
        <v>33</v>
      </c>
      <c r="T1145" t="s">
        <v>515</v>
      </c>
    </row>
    <row r="1146" spans="1:20" ht="16.5" x14ac:dyDescent="0.45">
      <c r="A1146">
        <v>2145</v>
      </c>
      <c r="B1146" t="s">
        <v>2786</v>
      </c>
      <c r="C1146" t="s">
        <v>51</v>
      </c>
      <c r="D1146" t="s">
        <v>21</v>
      </c>
      <c r="E1146">
        <v>413712</v>
      </c>
      <c r="F1146" s="1">
        <v>45537</v>
      </c>
      <c r="G1146" s="1">
        <v>45324</v>
      </c>
      <c r="H1146">
        <v>454046</v>
      </c>
      <c r="I1146">
        <v>1776</v>
      </c>
      <c r="J1146" s="5">
        <v>806385696</v>
      </c>
      <c r="K1146">
        <v>5</v>
      </c>
      <c r="L1146">
        <v>2</v>
      </c>
      <c r="M1146" t="s">
        <v>30</v>
      </c>
      <c r="N1146">
        <v>2000</v>
      </c>
      <c r="O1146">
        <v>9</v>
      </c>
      <c r="P1146">
        <v>2</v>
      </c>
      <c r="Q1146" t="s">
        <v>75</v>
      </c>
      <c r="R1146" t="s">
        <v>2787</v>
      </c>
      <c r="S1146" t="s">
        <v>25</v>
      </c>
      <c r="T1146" t="s">
        <v>1634</v>
      </c>
    </row>
    <row r="1147" spans="1:20" ht="16.5" x14ac:dyDescent="0.45">
      <c r="A1147">
        <v>2146</v>
      </c>
      <c r="B1147" t="s">
        <v>2788</v>
      </c>
      <c r="C1147" t="s">
        <v>20</v>
      </c>
      <c r="D1147" t="s">
        <v>42</v>
      </c>
      <c r="E1147">
        <v>822339</v>
      </c>
      <c r="F1147" s="1">
        <v>45369</v>
      </c>
      <c r="G1147" s="1">
        <v>45327</v>
      </c>
      <c r="H1147">
        <v>835571</v>
      </c>
      <c r="I1147">
        <v>4162</v>
      </c>
      <c r="J1147" s="5">
        <v>3477646502</v>
      </c>
      <c r="K1147">
        <v>2</v>
      </c>
      <c r="L1147">
        <v>5</v>
      </c>
      <c r="M1147" t="s">
        <v>22</v>
      </c>
      <c r="N1147">
        <v>2002</v>
      </c>
      <c r="P1147">
        <v>2</v>
      </c>
      <c r="Q1147" t="s">
        <v>132</v>
      </c>
      <c r="R1147" t="s">
        <v>2789</v>
      </c>
      <c r="S1147" t="s">
        <v>25</v>
      </c>
      <c r="T1147" t="s">
        <v>388</v>
      </c>
    </row>
    <row r="1148" spans="1:20" ht="16.5" x14ac:dyDescent="0.45">
      <c r="A1148">
        <v>2147</v>
      </c>
      <c r="B1148" t="s">
        <v>2790</v>
      </c>
      <c r="C1148" t="s">
        <v>47</v>
      </c>
      <c r="D1148" t="s">
        <v>42</v>
      </c>
      <c r="E1148">
        <v>307834</v>
      </c>
      <c r="F1148" s="1">
        <v>45583</v>
      </c>
      <c r="G1148" s="1"/>
      <c r="I1148">
        <v>2222</v>
      </c>
      <c r="K1148">
        <v>2</v>
      </c>
      <c r="L1148">
        <v>5</v>
      </c>
      <c r="M1148" t="s">
        <v>30</v>
      </c>
      <c r="N1148">
        <v>2007</v>
      </c>
      <c r="O1148">
        <v>9</v>
      </c>
      <c r="P1148">
        <v>1</v>
      </c>
      <c r="Q1148" t="s">
        <v>86</v>
      </c>
      <c r="R1148" t="s">
        <v>634</v>
      </c>
      <c r="S1148" t="s">
        <v>33</v>
      </c>
      <c r="T1148" t="s">
        <v>357</v>
      </c>
    </row>
    <row r="1149" spans="1:20" ht="16.5" x14ac:dyDescent="0.45">
      <c r="A1149">
        <v>2148</v>
      </c>
      <c r="B1149" t="s">
        <v>2791</v>
      </c>
      <c r="C1149" t="s">
        <v>47</v>
      </c>
      <c r="D1149" t="s">
        <v>42</v>
      </c>
      <c r="E1149">
        <v>309434</v>
      </c>
      <c r="F1149" s="1">
        <v>45582</v>
      </c>
      <c r="G1149" s="1">
        <v>45488</v>
      </c>
      <c r="H1149">
        <v>345766</v>
      </c>
      <c r="I1149">
        <v>3517</v>
      </c>
      <c r="J1149" s="5">
        <v>1216059022</v>
      </c>
      <c r="K1149">
        <v>5</v>
      </c>
      <c r="L1149">
        <v>4</v>
      </c>
      <c r="M1149" t="s">
        <v>22</v>
      </c>
      <c r="N1149">
        <v>2023</v>
      </c>
      <c r="P1149">
        <v>1</v>
      </c>
      <c r="Q1149" t="s">
        <v>38</v>
      </c>
      <c r="R1149" t="s">
        <v>2792</v>
      </c>
      <c r="S1149" t="s">
        <v>25</v>
      </c>
      <c r="T1149" t="s">
        <v>107</v>
      </c>
    </row>
    <row r="1150" spans="1:20" ht="16.5" x14ac:dyDescent="0.45">
      <c r="A1150">
        <v>2149</v>
      </c>
      <c r="B1150" t="s">
        <v>2793</v>
      </c>
      <c r="C1150" t="s">
        <v>28</v>
      </c>
      <c r="D1150" t="s">
        <v>21</v>
      </c>
      <c r="E1150">
        <v>994237</v>
      </c>
      <c r="F1150" s="1">
        <v>45504</v>
      </c>
      <c r="G1150" s="1">
        <v>45433</v>
      </c>
      <c r="H1150">
        <v>1032748</v>
      </c>
      <c r="I1150">
        <v>2278</v>
      </c>
      <c r="J1150" s="5">
        <v>2352599944</v>
      </c>
      <c r="K1150">
        <v>2</v>
      </c>
      <c r="L1150">
        <v>4</v>
      </c>
      <c r="M1150" t="s">
        <v>62</v>
      </c>
      <c r="N1150">
        <v>2003</v>
      </c>
      <c r="O1150">
        <v>4</v>
      </c>
      <c r="P1150">
        <v>1</v>
      </c>
      <c r="Q1150" t="s">
        <v>23</v>
      </c>
      <c r="R1150" t="s">
        <v>2794</v>
      </c>
      <c r="S1150" t="s">
        <v>25</v>
      </c>
      <c r="T1150" t="s">
        <v>180</v>
      </c>
    </row>
    <row r="1151" spans="1:20" ht="16.5" x14ac:dyDescent="0.45">
      <c r="A1151">
        <v>2150</v>
      </c>
      <c r="B1151" t="s">
        <v>2795</v>
      </c>
      <c r="C1151" t="s">
        <v>20</v>
      </c>
      <c r="D1151" t="s">
        <v>42</v>
      </c>
      <c r="E1151">
        <v>367153</v>
      </c>
      <c r="F1151" s="1">
        <v>45521</v>
      </c>
      <c r="G1151" s="1"/>
      <c r="I1151">
        <v>2969</v>
      </c>
      <c r="K1151">
        <v>4</v>
      </c>
      <c r="L1151">
        <v>5</v>
      </c>
      <c r="M1151" t="s">
        <v>30</v>
      </c>
      <c r="N1151">
        <v>2000</v>
      </c>
      <c r="O1151">
        <v>10</v>
      </c>
      <c r="P1151">
        <v>3</v>
      </c>
      <c r="Q1151" t="s">
        <v>31</v>
      </c>
      <c r="R1151" t="s">
        <v>2796</v>
      </c>
      <c r="S1151" t="s">
        <v>33</v>
      </c>
      <c r="T1151" t="s">
        <v>40</v>
      </c>
    </row>
    <row r="1152" spans="1:20" ht="16.5" x14ac:dyDescent="0.45">
      <c r="A1152">
        <v>2151</v>
      </c>
      <c r="B1152" t="s">
        <v>2797</v>
      </c>
      <c r="C1152" t="s">
        <v>47</v>
      </c>
      <c r="D1152" t="s">
        <v>21</v>
      </c>
      <c r="E1152">
        <v>509730</v>
      </c>
      <c r="F1152" s="1">
        <v>45333</v>
      </c>
      <c r="G1152" s="1"/>
      <c r="I1152">
        <v>3713</v>
      </c>
      <c r="K1152">
        <v>6</v>
      </c>
      <c r="L1152">
        <v>3</v>
      </c>
      <c r="M1152" t="s">
        <v>22</v>
      </c>
      <c r="N1152">
        <v>2021</v>
      </c>
      <c r="P1152">
        <v>3</v>
      </c>
      <c r="Q1152" t="s">
        <v>162</v>
      </c>
      <c r="R1152" t="s">
        <v>2798</v>
      </c>
      <c r="S1152" t="s">
        <v>33</v>
      </c>
      <c r="T1152" t="s">
        <v>2432</v>
      </c>
    </row>
    <row r="1153" spans="1:20" ht="16.5" x14ac:dyDescent="0.45">
      <c r="A1153">
        <v>2152</v>
      </c>
      <c r="B1153" t="s">
        <v>2799</v>
      </c>
      <c r="C1153" t="s">
        <v>36</v>
      </c>
      <c r="D1153" t="s">
        <v>42</v>
      </c>
      <c r="E1153">
        <v>453956</v>
      </c>
      <c r="F1153" s="1">
        <v>45431</v>
      </c>
      <c r="G1153" s="1"/>
      <c r="I1153">
        <v>1104</v>
      </c>
      <c r="K1153">
        <v>5</v>
      </c>
      <c r="L1153">
        <v>5</v>
      </c>
      <c r="M1153" t="s">
        <v>62</v>
      </c>
      <c r="N1153">
        <v>2019</v>
      </c>
      <c r="O1153">
        <v>6</v>
      </c>
      <c r="P1153">
        <v>4</v>
      </c>
      <c r="Q1153" t="s">
        <v>31</v>
      </c>
      <c r="R1153" t="s">
        <v>2800</v>
      </c>
      <c r="S1153" t="s">
        <v>33</v>
      </c>
      <c r="T1153" t="s">
        <v>2801</v>
      </c>
    </row>
    <row r="1154" spans="1:20" ht="16.5" x14ac:dyDescent="0.45">
      <c r="A1154">
        <v>2153</v>
      </c>
      <c r="B1154" t="s">
        <v>2802</v>
      </c>
      <c r="C1154" t="s">
        <v>51</v>
      </c>
      <c r="D1154" t="s">
        <v>29</v>
      </c>
      <c r="E1154">
        <v>338768</v>
      </c>
      <c r="F1154" s="1">
        <v>45462</v>
      </c>
      <c r="G1154" s="1"/>
      <c r="I1154">
        <v>2612</v>
      </c>
      <c r="K1154">
        <v>4</v>
      </c>
      <c r="L1154">
        <v>2</v>
      </c>
      <c r="M1154" t="s">
        <v>30</v>
      </c>
      <c r="N1154">
        <v>2016</v>
      </c>
      <c r="O1154">
        <v>2</v>
      </c>
      <c r="P1154">
        <v>3</v>
      </c>
      <c r="Q1154" t="s">
        <v>93</v>
      </c>
      <c r="R1154" t="s">
        <v>2000</v>
      </c>
      <c r="S1154" t="s">
        <v>33</v>
      </c>
      <c r="T1154" t="s">
        <v>372</v>
      </c>
    </row>
    <row r="1155" spans="1:20" ht="16.5" x14ac:dyDescent="0.45">
      <c r="A1155">
        <v>2154</v>
      </c>
      <c r="B1155" t="s">
        <v>2803</v>
      </c>
      <c r="C1155" t="s">
        <v>28</v>
      </c>
      <c r="D1155" t="s">
        <v>42</v>
      </c>
      <c r="E1155">
        <v>912824</v>
      </c>
      <c r="F1155" s="1">
        <v>45380</v>
      </c>
      <c r="G1155" s="1">
        <v>45461</v>
      </c>
      <c r="H1155">
        <v>953201</v>
      </c>
      <c r="I1155">
        <v>2216</v>
      </c>
      <c r="J1155" s="5">
        <v>2112293416</v>
      </c>
      <c r="K1155">
        <v>2</v>
      </c>
      <c r="L1155">
        <v>5</v>
      </c>
      <c r="M1155" t="s">
        <v>22</v>
      </c>
      <c r="N1155">
        <v>2021</v>
      </c>
      <c r="P1155">
        <v>4</v>
      </c>
      <c r="Q1155" t="s">
        <v>162</v>
      </c>
      <c r="R1155" t="s">
        <v>2804</v>
      </c>
      <c r="S1155" t="s">
        <v>25</v>
      </c>
      <c r="T1155" t="s">
        <v>2805</v>
      </c>
    </row>
    <row r="1156" spans="1:20" ht="16.5" x14ac:dyDescent="0.45">
      <c r="A1156">
        <v>2155</v>
      </c>
      <c r="B1156" t="s">
        <v>2806</v>
      </c>
      <c r="C1156" t="s">
        <v>20</v>
      </c>
      <c r="D1156" t="s">
        <v>21</v>
      </c>
      <c r="E1156">
        <v>927819</v>
      </c>
      <c r="F1156" s="1">
        <v>45451</v>
      </c>
      <c r="G1156" s="1">
        <v>45593</v>
      </c>
      <c r="H1156">
        <v>949371</v>
      </c>
      <c r="I1156">
        <v>4768</v>
      </c>
      <c r="J1156" s="5">
        <v>4526600928</v>
      </c>
      <c r="K1156">
        <v>4</v>
      </c>
      <c r="L1156">
        <v>4</v>
      </c>
      <c r="M1156" t="s">
        <v>22</v>
      </c>
      <c r="N1156">
        <v>2015</v>
      </c>
      <c r="P1156">
        <v>3</v>
      </c>
      <c r="Q1156" t="s">
        <v>132</v>
      </c>
      <c r="R1156" t="s">
        <v>2807</v>
      </c>
      <c r="S1156" t="s">
        <v>25</v>
      </c>
      <c r="T1156" t="s">
        <v>253</v>
      </c>
    </row>
    <row r="1157" spans="1:20" ht="16.5" x14ac:dyDescent="0.45">
      <c r="A1157">
        <v>2156</v>
      </c>
      <c r="B1157" t="s">
        <v>2808</v>
      </c>
      <c r="C1157" t="s">
        <v>28</v>
      </c>
      <c r="D1157" t="s">
        <v>29</v>
      </c>
      <c r="E1157">
        <v>801178</v>
      </c>
      <c r="F1157" s="1">
        <v>45477</v>
      </c>
      <c r="G1157" s="1"/>
      <c r="I1157">
        <v>4973</v>
      </c>
      <c r="K1157">
        <v>5</v>
      </c>
      <c r="L1157">
        <v>4</v>
      </c>
      <c r="M1157" t="s">
        <v>37</v>
      </c>
      <c r="N1157">
        <v>2002</v>
      </c>
      <c r="O1157">
        <v>10</v>
      </c>
      <c r="P1157">
        <v>2</v>
      </c>
      <c r="Q1157" t="s">
        <v>23</v>
      </c>
      <c r="R1157" t="s">
        <v>2809</v>
      </c>
      <c r="S1157" t="s">
        <v>33</v>
      </c>
      <c r="T1157" t="s">
        <v>128</v>
      </c>
    </row>
    <row r="1158" spans="1:20" ht="16.5" x14ac:dyDescent="0.45">
      <c r="A1158">
        <v>2157</v>
      </c>
      <c r="B1158" t="s">
        <v>2810</v>
      </c>
      <c r="C1158" t="s">
        <v>47</v>
      </c>
      <c r="D1158" t="s">
        <v>29</v>
      </c>
      <c r="E1158">
        <v>726792</v>
      </c>
      <c r="F1158" s="1">
        <v>45368</v>
      </c>
      <c r="G1158" s="1"/>
      <c r="I1158">
        <v>3637</v>
      </c>
      <c r="K1158">
        <v>4</v>
      </c>
      <c r="L1158">
        <v>3</v>
      </c>
      <c r="M1158" t="s">
        <v>22</v>
      </c>
      <c r="N1158">
        <v>2003</v>
      </c>
      <c r="P1158">
        <v>3</v>
      </c>
      <c r="Q1158" t="s">
        <v>23</v>
      </c>
      <c r="R1158" t="s">
        <v>2811</v>
      </c>
      <c r="S1158" t="s">
        <v>33</v>
      </c>
      <c r="T1158" t="s">
        <v>128</v>
      </c>
    </row>
    <row r="1159" spans="1:20" ht="16.5" x14ac:dyDescent="0.45">
      <c r="A1159">
        <v>2158</v>
      </c>
      <c r="B1159" t="s">
        <v>2812</v>
      </c>
      <c r="C1159" t="s">
        <v>20</v>
      </c>
      <c r="D1159" t="s">
        <v>29</v>
      </c>
      <c r="E1159">
        <v>527026</v>
      </c>
      <c r="F1159" s="1">
        <v>45339</v>
      </c>
      <c r="G1159" s="1">
        <v>45606</v>
      </c>
      <c r="H1159">
        <v>538922</v>
      </c>
      <c r="I1159">
        <v>3721</v>
      </c>
      <c r="J1159" s="5">
        <v>2005328762</v>
      </c>
      <c r="K1159">
        <v>5</v>
      </c>
      <c r="L1159">
        <v>5</v>
      </c>
      <c r="M1159" t="s">
        <v>22</v>
      </c>
      <c r="N1159">
        <v>2022</v>
      </c>
      <c r="P1159">
        <v>1</v>
      </c>
      <c r="Q1159" t="s">
        <v>86</v>
      </c>
      <c r="R1159" t="s">
        <v>2813</v>
      </c>
      <c r="S1159" t="s">
        <v>25</v>
      </c>
      <c r="T1159" t="s">
        <v>475</v>
      </c>
    </row>
    <row r="1160" spans="1:20" ht="16.5" x14ac:dyDescent="0.45">
      <c r="A1160">
        <v>2159</v>
      </c>
      <c r="B1160" t="s">
        <v>2814</v>
      </c>
      <c r="C1160" t="s">
        <v>20</v>
      </c>
      <c r="D1160" t="s">
        <v>42</v>
      </c>
      <c r="E1160">
        <v>383398</v>
      </c>
      <c r="F1160" s="1">
        <v>45498</v>
      </c>
      <c r="G1160" s="1"/>
      <c r="I1160">
        <v>1240</v>
      </c>
      <c r="K1160">
        <v>2</v>
      </c>
      <c r="L1160">
        <v>2</v>
      </c>
      <c r="M1160" t="s">
        <v>62</v>
      </c>
      <c r="N1160">
        <v>2005</v>
      </c>
      <c r="O1160">
        <v>7</v>
      </c>
      <c r="P1160">
        <v>2</v>
      </c>
      <c r="Q1160" t="s">
        <v>38</v>
      </c>
      <c r="R1160" t="s">
        <v>2815</v>
      </c>
      <c r="S1160" t="s">
        <v>33</v>
      </c>
      <c r="T1160" t="s">
        <v>512</v>
      </c>
    </row>
    <row r="1161" spans="1:20" ht="16.5" x14ac:dyDescent="0.45">
      <c r="A1161">
        <v>2160</v>
      </c>
      <c r="B1161" t="s">
        <v>2816</v>
      </c>
      <c r="C1161" t="s">
        <v>20</v>
      </c>
      <c r="D1161" t="s">
        <v>21</v>
      </c>
      <c r="E1161">
        <v>524536</v>
      </c>
      <c r="F1161" s="1">
        <v>45447</v>
      </c>
      <c r="G1161" s="1"/>
      <c r="I1161">
        <v>2263</v>
      </c>
      <c r="K1161">
        <v>2</v>
      </c>
      <c r="L1161">
        <v>4</v>
      </c>
      <c r="M1161" t="s">
        <v>30</v>
      </c>
      <c r="N1161">
        <v>2001</v>
      </c>
      <c r="O1161">
        <v>3</v>
      </c>
      <c r="P1161">
        <v>3</v>
      </c>
      <c r="Q1161" t="s">
        <v>38</v>
      </c>
      <c r="R1161" t="s">
        <v>2817</v>
      </c>
      <c r="S1161" t="s">
        <v>33</v>
      </c>
      <c r="T1161" t="s">
        <v>122</v>
      </c>
    </row>
    <row r="1162" spans="1:20" ht="16.5" x14ac:dyDescent="0.45">
      <c r="A1162">
        <v>2161</v>
      </c>
      <c r="B1162" t="s">
        <v>2818</v>
      </c>
      <c r="C1162" t="s">
        <v>51</v>
      </c>
      <c r="D1162" t="s">
        <v>42</v>
      </c>
      <c r="E1162">
        <v>554927</v>
      </c>
      <c r="F1162" s="1">
        <v>45400</v>
      </c>
      <c r="G1162" s="1">
        <v>45310</v>
      </c>
      <c r="H1162">
        <v>588305</v>
      </c>
      <c r="I1162">
        <v>2107</v>
      </c>
      <c r="J1162" s="5">
        <v>1239558635</v>
      </c>
      <c r="K1162">
        <v>3</v>
      </c>
      <c r="L1162">
        <v>2</v>
      </c>
      <c r="M1162" t="s">
        <v>62</v>
      </c>
      <c r="N1162">
        <v>2005</v>
      </c>
      <c r="O1162">
        <v>1</v>
      </c>
      <c r="P1162">
        <v>3</v>
      </c>
      <c r="Q1162" t="s">
        <v>23</v>
      </c>
      <c r="R1162" t="s">
        <v>2819</v>
      </c>
      <c r="S1162" t="s">
        <v>25</v>
      </c>
      <c r="T1162" t="s">
        <v>2820</v>
      </c>
    </row>
    <row r="1163" spans="1:20" ht="16.5" x14ac:dyDescent="0.45">
      <c r="A1163">
        <v>2162</v>
      </c>
      <c r="B1163" t="s">
        <v>2821</v>
      </c>
      <c r="C1163" t="s">
        <v>28</v>
      </c>
      <c r="D1163" t="s">
        <v>42</v>
      </c>
      <c r="E1163">
        <v>922936</v>
      </c>
      <c r="F1163" s="1">
        <v>45625</v>
      </c>
      <c r="G1163" s="1">
        <v>45495</v>
      </c>
      <c r="H1163">
        <v>957624</v>
      </c>
      <c r="I1163">
        <v>2943</v>
      </c>
      <c r="J1163" s="5">
        <v>2818287432</v>
      </c>
      <c r="K1163">
        <v>3</v>
      </c>
      <c r="L1163">
        <v>2</v>
      </c>
      <c r="M1163" t="s">
        <v>62</v>
      </c>
      <c r="N1163">
        <v>2023</v>
      </c>
      <c r="O1163">
        <v>4</v>
      </c>
      <c r="P1163">
        <v>1</v>
      </c>
      <c r="Q1163" t="s">
        <v>43</v>
      </c>
      <c r="R1163" t="s">
        <v>2822</v>
      </c>
      <c r="S1163" t="s">
        <v>25</v>
      </c>
      <c r="T1163" t="s">
        <v>2823</v>
      </c>
    </row>
    <row r="1164" spans="1:20" ht="16.5" x14ac:dyDescent="0.45">
      <c r="A1164">
        <v>2163</v>
      </c>
      <c r="B1164" t="s">
        <v>2824</v>
      </c>
      <c r="C1164" t="s">
        <v>28</v>
      </c>
      <c r="D1164" t="s">
        <v>21</v>
      </c>
      <c r="E1164">
        <v>845635</v>
      </c>
      <c r="F1164" s="1">
        <v>45420</v>
      </c>
      <c r="G1164" s="1"/>
      <c r="I1164">
        <v>3129</v>
      </c>
      <c r="K1164">
        <v>5</v>
      </c>
      <c r="L1164">
        <v>2</v>
      </c>
      <c r="M1164" t="s">
        <v>62</v>
      </c>
      <c r="N1164">
        <v>2019</v>
      </c>
      <c r="O1164">
        <v>5</v>
      </c>
      <c r="P1164">
        <v>2</v>
      </c>
      <c r="Q1164" t="s">
        <v>31</v>
      </c>
      <c r="R1164" t="s">
        <v>2825</v>
      </c>
      <c r="S1164" t="s">
        <v>33</v>
      </c>
      <c r="T1164" t="s">
        <v>603</v>
      </c>
    </row>
    <row r="1165" spans="1:20" ht="16.5" x14ac:dyDescent="0.45">
      <c r="A1165">
        <v>2164</v>
      </c>
      <c r="B1165" t="s">
        <v>2826</v>
      </c>
      <c r="C1165" t="s">
        <v>28</v>
      </c>
      <c r="D1165" t="s">
        <v>29</v>
      </c>
      <c r="E1165">
        <v>861635</v>
      </c>
      <c r="F1165" s="1">
        <v>45530</v>
      </c>
      <c r="G1165" s="1">
        <v>45549</v>
      </c>
      <c r="H1165">
        <v>876503</v>
      </c>
      <c r="I1165">
        <v>2073</v>
      </c>
      <c r="J1165" s="5">
        <v>1816990719</v>
      </c>
      <c r="K1165">
        <v>3</v>
      </c>
      <c r="L1165">
        <v>5</v>
      </c>
      <c r="M1165" t="s">
        <v>30</v>
      </c>
      <c r="N1165">
        <v>2006</v>
      </c>
      <c r="O1165">
        <v>10</v>
      </c>
      <c r="P1165">
        <v>4</v>
      </c>
      <c r="Q1165" t="s">
        <v>162</v>
      </c>
      <c r="R1165" t="s">
        <v>2827</v>
      </c>
      <c r="S1165" t="s">
        <v>25</v>
      </c>
      <c r="T1165" t="s">
        <v>2828</v>
      </c>
    </row>
    <row r="1166" spans="1:20" ht="16.5" x14ac:dyDescent="0.45">
      <c r="A1166">
        <v>2165</v>
      </c>
      <c r="B1166" t="s">
        <v>2829</v>
      </c>
      <c r="C1166" t="s">
        <v>47</v>
      </c>
      <c r="D1166" t="s">
        <v>29</v>
      </c>
      <c r="E1166">
        <v>937206</v>
      </c>
      <c r="F1166" s="1">
        <v>45406</v>
      </c>
      <c r="G1166" s="1">
        <v>45325</v>
      </c>
      <c r="H1166">
        <v>965364</v>
      </c>
      <c r="I1166">
        <v>3312</v>
      </c>
      <c r="J1166" s="5">
        <v>3197285568</v>
      </c>
      <c r="K1166">
        <v>2</v>
      </c>
      <c r="L1166">
        <v>2</v>
      </c>
      <c r="M1166" t="s">
        <v>62</v>
      </c>
      <c r="N1166">
        <v>2015</v>
      </c>
      <c r="O1166">
        <v>8</v>
      </c>
      <c r="P1166">
        <v>3</v>
      </c>
      <c r="Q1166" t="s">
        <v>75</v>
      </c>
      <c r="R1166" t="s">
        <v>2830</v>
      </c>
      <c r="S1166" t="s">
        <v>25</v>
      </c>
      <c r="T1166" t="s">
        <v>2831</v>
      </c>
    </row>
    <row r="1167" spans="1:20" ht="16.5" x14ac:dyDescent="0.45">
      <c r="A1167">
        <v>2166</v>
      </c>
      <c r="B1167" t="s">
        <v>2832</v>
      </c>
      <c r="C1167" t="s">
        <v>47</v>
      </c>
      <c r="D1167" t="s">
        <v>29</v>
      </c>
      <c r="E1167">
        <v>542445</v>
      </c>
      <c r="F1167" s="1">
        <v>45338</v>
      </c>
      <c r="G1167" s="1">
        <v>45372</v>
      </c>
      <c r="H1167">
        <v>589885</v>
      </c>
      <c r="I1167">
        <v>3777</v>
      </c>
      <c r="J1167" s="5">
        <v>2227995645</v>
      </c>
      <c r="K1167">
        <v>6</v>
      </c>
      <c r="L1167">
        <v>5</v>
      </c>
      <c r="M1167" t="s">
        <v>30</v>
      </c>
      <c r="N1167">
        <v>2009</v>
      </c>
      <c r="O1167">
        <v>1</v>
      </c>
      <c r="P1167">
        <v>2</v>
      </c>
      <c r="Q1167" t="s">
        <v>38</v>
      </c>
      <c r="R1167" t="s">
        <v>2833</v>
      </c>
      <c r="S1167" t="s">
        <v>25</v>
      </c>
      <c r="T1167" t="s">
        <v>955</v>
      </c>
    </row>
    <row r="1168" spans="1:20" ht="16.5" x14ac:dyDescent="0.45">
      <c r="A1168">
        <v>2167</v>
      </c>
      <c r="B1168" t="s">
        <v>2834</v>
      </c>
      <c r="C1168" t="s">
        <v>47</v>
      </c>
      <c r="D1168" t="s">
        <v>21</v>
      </c>
      <c r="E1168">
        <v>718641</v>
      </c>
      <c r="F1168" s="1">
        <v>45620</v>
      </c>
      <c r="G1168" s="1">
        <v>45584</v>
      </c>
      <c r="H1168">
        <v>735370</v>
      </c>
      <c r="I1168">
        <v>4237</v>
      </c>
      <c r="J1168" s="5">
        <v>3115762690</v>
      </c>
      <c r="K1168">
        <v>5</v>
      </c>
      <c r="L1168">
        <v>5</v>
      </c>
      <c r="M1168" t="s">
        <v>37</v>
      </c>
      <c r="N1168">
        <v>2000</v>
      </c>
      <c r="O1168">
        <v>6</v>
      </c>
      <c r="P1168">
        <v>1</v>
      </c>
      <c r="Q1168" t="s">
        <v>23</v>
      </c>
      <c r="R1168" t="s">
        <v>2835</v>
      </c>
      <c r="S1168" t="s">
        <v>25</v>
      </c>
      <c r="T1168" t="s">
        <v>2836</v>
      </c>
    </row>
    <row r="1169" spans="1:20" ht="16.5" x14ac:dyDescent="0.45">
      <c r="A1169">
        <v>2168</v>
      </c>
      <c r="B1169" t="s">
        <v>2837</v>
      </c>
      <c r="C1169" t="s">
        <v>20</v>
      </c>
      <c r="D1169" t="s">
        <v>42</v>
      </c>
      <c r="E1169">
        <v>538868</v>
      </c>
      <c r="F1169" s="1">
        <v>45308</v>
      </c>
      <c r="G1169" s="1">
        <v>45440</v>
      </c>
      <c r="H1169">
        <v>549509</v>
      </c>
      <c r="I1169">
        <v>4448</v>
      </c>
      <c r="J1169" s="5">
        <v>2444216032</v>
      </c>
      <c r="K1169">
        <v>6</v>
      </c>
      <c r="L1169">
        <v>5</v>
      </c>
      <c r="M1169" t="s">
        <v>22</v>
      </c>
      <c r="N1169">
        <v>2009</v>
      </c>
      <c r="P1169">
        <v>1</v>
      </c>
      <c r="Q1169" t="s">
        <v>86</v>
      </c>
      <c r="R1169" t="s">
        <v>124</v>
      </c>
      <c r="S1169" t="s">
        <v>25</v>
      </c>
      <c r="T1169" t="s">
        <v>1444</v>
      </c>
    </row>
    <row r="1170" spans="1:20" ht="16.5" x14ac:dyDescent="0.45">
      <c r="A1170">
        <v>2169</v>
      </c>
      <c r="B1170" t="s">
        <v>2838</v>
      </c>
      <c r="C1170" t="s">
        <v>51</v>
      </c>
      <c r="D1170" t="s">
        <v>42</v>
      </c>
      <c r="E1170">
        <v>352891</v>
      </c>
      <c r="F1170" s="1">
        <v>45289</v>
      </c>
      <c r="G1170" s="1">
        <v>45354</v>
      </c>
      <c r="H1170">
        <v>378663</v>
      </c>
      <c r="I1170">
        <v>2515</v>
      </c>
      <c r="J1170" s="5">
        <v>952337445</v>
      </c>
      <c r="K1170">
        <v>2</v>
      </c>
      <c r="L1170">
        <v>2</v>
      </c>
      <c r="M1170" t="s">
        <v>37</v>
      </c>
      <c r="N1170">
        <v>2009</v>
      </c>
      <c r="O1170">
        <v>1</v>
      </c>
      <c r="P1170">
        <v>4</v>
      </c>
      <c r="Q1170" t="s">
        <v>23</v>
      </c>
      <c r="R1170" t="s">
        <v>2839</v>
      </c>
      <c r="S1170" t="s">
        <v>25</v>
      </c>
      <c r="T1170" t="s">
        <v>77</v>
      </c>
    </row>
    <row r="1171" spans="1:20" ht="16.5" x14ac:dyDescent="0.45">
      <c r="A1171">
        <v>2170</v>
      </c>
      <c r="B1171" t="s">
        <v>2840</v>
      </c>
      <c r="C1171" t="s">
        <v>47</v>
      </c>
      <c r="D1171" t="s">
        <v>29</v>
      </c>
      <c r="E1171">
        <v>693314</v>
      </c>
      <c r="F1171" s="1">
        <v>45637</v>
      </c>
      <c r="G1171" s="1"/>
      <c r="I1171">
        <v>3783</v>
      </c>
      <c r="K1171">
        <v>5</v>
      </c>
      <c r="L1171">
        <v>5</v>
      </c>
      <c r="M1171" t="s">
        <v>62</v>
      </c>
      <c r="N1171">
        <v>2008</v>
      </c>
      <c r="O1171">
        <v>3</v>
      </c>
      <c r="P1171">
        <v>4</v>
      </c>
      <c r="Q1171" t="s">
        <v>93</v>
      </c>
      <c r="R1171" t="s">
        <v>2841</v>
      </c>
      <c r="S1171" t="s">
        <v>33</v>
      </c>
      <c r="T1171" t="s">
        <v>137</v>
      </c>
    </row>
    <row r="1172" spans="1:20" ht="16.5" x14ac:dyDescent="0.45">
      <c r="A1172">
        <v>2171</v>
      </c>
      <c r="B1172" t="s">
        <v>2842</v>
      </c>
      <c r="C1172" t="s">
        <v>28</v>
      </c>
      <c r="D1172" t="s">
        <v>42</v>
      </c>
      <c r="E1172">
        <v>966012</v>
      </c>
      <c r="F1172" s="1">
        <v>45413</v>
      </c>
      <c r="G1172" s="1"/>
      <c r="I1172">
        <v>4588</v>
      </c>
      <c r="K1172">
        <v>2</v>
      </c>
      <c r="L1172">
        <v>5</v>
      </c>
      <c r="M1172" t="s">
        <v>37</v>
      </c>
      <c r="N1172">
        <v>2003</v>
      </c>
      <c r="O1172">
        <v>8</v>
      </c>
      <c r="P1172">
        <v>2</v>
      </c>
      <c r="Q1172" t="s">
        <v>86</v>
      </c>
      <c r="R1172" t="s">
        <v>2843</v>
      </c>
      <c r="S1172" t="s">
        <v>33</v>
      </c>
      <c r="T1172" t="s">
        <v>183</v>
      </c>
    </row>
    <row r="1173" spans="1:20" ht="16.5" x14ac:dyDescent="0.45">
      <c r="A1173">
        <v>2172</v>
      </c>
      <c r="B1173" t="s">
        <v>2844</v>
      </c>
      <c r="C1173" t="s">
        <v>20</v>
      </c>
      <c r="D1173" t="s">
        <v>21</v>
      </c>
      <c r="E1173">
        <v>348982</v>
      </c>
      <c r="F1173" s="1">
        <v>45515</v>
      </c>
      <c r="G1173" s="1"/>
      <c r="I1173">
        <v>1149</v>
      </c>
      <c r="K1173">
        <v>3</v>
      </c>
      <c r="L1173">
        <v>5</v>
      </c>
      <c r="M1173" t="s">
        <v>62</v>
      </c>
      <c r="N1173">
        <v>2001</v>
      </c>
      <c r="O1173">
        <v>8</v>
      </c>
      <c r="P1173">
        <v>4</v>
      </c>
      <c r="Q1173" t="s">
        <v>162</v>
      </c>
      <c r="R1173" t="s">
        <v>751</v>
      </c>
      <c r="S1173" t="s">
        <v>33</v>
      </c>
      <c r="T1173" t="s">
        <v>1245</v>
      </c>
    </row>
    <row r="1174" spans="1:20" ht="16.5" x14ac:dyDescent="0.45">
      <c r="A1174">
        <v>2173</v>
      </c>
      <c r="B1174" t="s">
        <v>2845</v>
      </c>
      <c r="C1174" t="s">
        <v>28</v>
      </c>
      <c r="D1174" t="s">
        <v>42</v>
      </c>
      <c r="E1174">
        <v>576149</v>
      </c>
      <c r="F1174" s="1">
        <v>45560</v>
      </c>
      <c r="G1174" s="1">
        <v>45329</v>
      </c>
      <c r="H1174">
        <v>589333</v>
      </c>
      <c r="I1174">
        <v>3977</v>
      </c>
      <c r="J1174" s="5">
        <v>2343777341</v>
      </c>
      <c r="K1174">
        <v>2</v>
      </c>
      <c r="L1174">
        <v>2</v>
      </c>
      <c r="M1174" t="s">
        <v>62</v>
      </c>
      <c r="N1174">
        <v>2005</v>
      </c>
      <c r="O1174">
        <v>4</v>
      </c>
      <c r="P1174">
        <v>4</v>
      </c>
      <c r="Q1174" t="s">
        <v>23</v>
      </c>
      <c r="R1174" t="s">
        <v>2846</v>
      </c>
      <c r="S1174" t="s">
        <v>25</v>
      </c>
      <c r="T1174" t="s">
        <v>412</v>
      </c>
    </row>
    <row r="1175" spans="1:20" ht="16.5" x14ac:dyDescent="0.45">
      <c r="A1175">
        <v>2174</v>
      </c>
      <c r="B1175" t="s">
        <v>2847</v>
      </c>
      <c r="C1175" t="s">
        <v>28</v>
      </c>
      <c r="D1175" t="s">
        <v>42</v>
      </c>
      <c r="E1175">
        <v>980568</v>
      </c>
      <c r="F1175" s="1">
        <v>45579</v>
      </c>
      <c r="G1175" s="1">
        <v>45539</v>
      </c>
      <c r="H1175">
        <v>1001517</v>
      </c>
      <c r="I1175">
        <v>2666</v>
      </c>
      <c r="J1175" s="5">
        <v>2670044322</v>
      </c>
      <c r="K1175">
        <v>4</v>
      </c>
      <c r="L1175">
        <v>2</v>
      </c>
      <c r="M1175" t="s">
        <v>37</v>
      </c>
      <c r="N1175">
        <v>2021</v>
      </c>
      <c r="O1175">
        <v>5</v>
      </c>
      <c r="P1175">
        <v>3</v>
      </c>
      <c r="Q1175" t="s">
        <v>58</v>
      </c>
      <c r="R1175" t="s">
        <v>2848</v>
      </c>
      <c r="S1175" t="s">
        <v>25</v>
      </c>
      <c r="T1175" t="s">
        <v>441</v>
      </c>
    </row>
    <row r="1176" spans="1:20" ht="16.5" x14ac:dyDescent="0.45">
      <c r="A1176">
        <v>2175</v>
      </c>
      <c r="B1176" t="s">
        <v>2849</v>
      </c>
      <c r="C1176" t="s">
        <v>47</v>
      </c>
      <c r="D1176" t="s">
        <v>42</v>
      </c>
      <c r="E1176">
        <v>735973</v>
      </c>
      <c r="F1176" s="1">
        <v>45523</v>
      </c>
      <c r="G1176" s="1"/>
      <c r="I1176">
        <v>2648</v>
      </c>
      <c r="K1176">
        <v>6</v>
      </c>
      <c r="L1176">
        <v>5</v>
      </c>
      <c r="M1176" t="s">
        <v>30</v>
      </c>
      <c r="N1176">
        <v>2008</v>
      </c>
      <c r="O1176">
        <v>5</v>
      </c>
      <c r="P1176">
        <v>2</v>
      </c>
      <c r="Q1176" t="s">
        <v>162</v>
      </c>
      <c r="R1176" t="s">
        <v>2850</v>
      </c>
      <c r="S1176" t="s">
        <v>33</v>
      </c>
      <c r="T1176" t="s">
        <v>1391</v>
      </c>
    </row>
    <row r="1177" spans="1:20" ht="16.5" x14ac:dyDescent="0.45">
      <c r="A1177">
        <v>2176</v>
      </c>
      <c r="B1177" t="s">
        <v>2851</v>
      </c>
      <c r="C1177" t="s">
        <v>36</v>
      </c>
      <c r="D1177" t="s">
        <v>21</v>
      </c>
      <c r="E1177">
        <v>689981</v>
      </c>
      <c r="F1177" s="1">
        <v>45419</v>
      </c>
      <c r="G1177" s="1">
        <v>45620</v>
      </c>
      <c r="H1177">
        <v>725364</v>
      </c>
      <c r="I1177">
        <v>3678</v>
      </c>
      <c r="J1177" s="5">
        <v>2667888792</v>
      </c>
      <c r="K1177">
        <v>5</v>
      </c>
      <c r="L1177">
        <v>5</v>
      </c>
      <c r="M1177" t="s">
        <v>62</v>
      </c>
      <c r="N1177">
        <v>2000</v>
      </c>
      <c r="O1177">
        <v>7</v>
      </c>
      <c r="P1177">
        <v>1</v>
      </c>
      <c r="Q1177" t="s">
        <v>38</v>
      </c>
      <c r="R1177" t="s">
        <v>2852</v>
      </c>
      <c r="S1177" t="s">
        <v>25</v>
      </c>
      <c r="T1177" t="s">
        <v>91</v>
      </c>
    </row>
    <row r="1178" spans="1:20" ht="16.5" x14ac:dyDescent="0.45">
      <c r="A1178">
        <v>2177</v>
      </c>
      <c r="B1178" t="s">
        <v>2853</v>
      </c>
      <c r="C1178" t="s">
        <v>28</v>
      </c>
      <c r="D1178" t="s">
        <v>29</v>
      </c>
      <c r="E1178">
        <v>355679</v>
      </c>
      <c r="F1178" s="1">
        <v>45534</v>
      </c>
      <c r="G1178" s="1"/>
      <c r="I1178">
        <v>2049</v>
      </c>
      <c r="K1178">
        <v>5</v>
      </c>
      <c r="L1178">
        <v>4</v>
      </c>
      <c r="M1178" t="s">
        <v>22</v>
      </c>
      <c r="N1178">
        <v>2009</v>
      </c>
      <c r="P1178">
        <v>4</v>
      </c>
      <c r="Q1178" t="s">
        <v>86</v>
      </c>
      <c r="R1178" t="s">
        <v>2854</v>
      </c>
      <c r="S1178" t="s">
        <v>33</v>
      </c>
      <c r="T1178" t="s">
        <v>2855</v>
      </c>
    </row>
    <row r="1179" spans="1:20" ht="16.5" x14ac:dyDescent="0.45">
      <c r="A1179">
        <v>2178</v>
      </c>
      <c r="B1179" t="s">
        <v>2856</v>
      </c>
      <c r="C1179" t="s">
        <v>36</v>
      </c>
      <c r="D1179" t="s">
        <v>29</v>
      </c>
      <c r="E1179">
        <v>601795</v>
      </c>
      <c r="F1179" s="1">
        <v>45438</v>
      </c>
      <c r="G1179" s="1">
        <v>45458</v>
      </c>
      <c r="H1179">
        <v>625585</v>
      </c>
      <c r="I1179">
        <v>4445</v>
      </c>
      <c r="J1179" s="5">
        <v>2780725325</v>
      </c>
      <c r="K1179">
        <v>6</v>
      </c>
      <c r="L1179">
        <v>4</v>
      </c>
      <c r="M1179" t="s">
        <v>22</v>
      </c>
      <c r="N1179">
        <v>2005</v>
      </c>
      <c r="P1179">
        <v>4</v>
      </c>
      <c r="Q1179" t="s">
        <v>75</v>
      </c>
      <c r="R1179" t="s">
        <v>2857</v>
      </c>
      <c r="S1179" t="s">
        <v>25</v>
      </c>
      <c r="T1179" t="s">
        <v>2858</v>
      </c>
    </row>
    <row r="1180" spans="1:20" ht="16.5" x14ac:dyDescent="0.45">
      <c r="A1180">
        <v>2179</v>
      </c>
      <c r="B1180" t="s">
        <v>2859</v>
      </c>
      <c r="C1180" t="s">
        <v>28</v>
      </c>
      <c r="D1180" t="s">
        <v>42</v>
      </c>
      <c r="E1180">
        <v>452554</v>
      </c>
      <c r="F1180" s="1">
        <v>45398</v>
      </c>
      <c r="G1180" s="1"/>
      <c r="I1180">
        <v>2841</v>
      </c>
      <c r="K1180">
        <v>2</v>
      </c>
      <c r="L1180">
        <v>4</v>
      </c>
      <c r="M1180" t="s">
        <v>62</v>
      </c>
      <c r="N1180">
        <v>2018</v>
      </c>
      <c r="O1180">
        <v>8</v>
      </c>
      <c r="P1180">
        <v>2</v>
      </c>
      <c r="Q1180" t="s">
        <v>75</v>
      </c>
      <c r="R1180" t="s">
        <v>2860</v>
      </c>
      <c r="S1180" t="s">
        <v>33</v>
      </c>
      <c r="T1180" t="s">
        <v>2861</v>
      </c>
    </row>
    <row r="1181" spans="1:20" ht="16.5" x14ac:dyDescent="0.45">
      <c r="A1181">
        <v>2180</v>
      </c>
      <c r="B1181" t="s">
        <v>2862</v>
      </c>
      <c r="C1181" t="s">
        <v>36</v>
      </c>
      <c r="D1181" t="s">
        <v>42</v>
      </c>
      <c r="E1181">
        <v>814297</v>
      </c>
      <c r="F1181" s="1">
        <v>45615</v>
      </c>
      <c r="G1181" s="1"/>
      <c r="I1181">
        <v>2168</v>
      </c>
      <c r="K1181">
        <v>3</v>
      </c>
      <c r="L1181">
        <v>2</v>
      </c>
      <c r="M1181" t="s">
        <v>22</v>
      </c>
      <c r="N1181">
        <v>2012</v>
      </c>
      <c r="P1181">
        <v>1</v>
      </c>
      <c r="Q1181" t="s">
        <v>38</v>
      </c>
      <c r="R1181" t="s">
        <v>2863</v>
      </c>
      <c r="S1181" t="s">
        <v>33</v>
      </c>
      <c r="T1181" t="s">
        <v>2864</v>
      </c>
    </row>
    <row r="1182" spans="1:20" ht="16.5" x14ac:dyDescent="0.45">
      <c r="A1182">
        <v>2181</v>
      </c>
      <c r="B1182" t="s">
        <v>2865</v>
      </c>
      <c r="C1182" t="s">
        <v>51</v>
      </c>
      <c r="D1182" t="s">
        <v>29</v>
      </c>
      <c r="E1182">
        <v>362893</v>
      </c>
      <c r="F1182" s="1">
        <v>45427</v>
      </c>
      <c r="G1182" s="1"/>
      <c r="I1182">
        <v>3476</v>
      </c>
      <c r="K1182">
        <v>3</v>
      </c>
      <c r="L1182">
        <v>3</v>
      </c>
      <c r="M1182" t="s">
        <v>37</v>
      </c>
      <c r="N1182">
        <v>2000</v>
      </c>
      <c r="O1182">
        <v>2</v>
      </c>
      <c r="P1182">
        <v>2</v>
      </c>
      <c r="Q1182" t="s">
        <v>38</v>
      </c>
      <c r="R1182" t="s">
        <v>2866</v>
      </c>
      <c r="S1182" t="s">
        <v>33</v>
      </c>
      <c r="T1182" t="s">
        <v>122</v>
      </c>
    </row>
    <row r="1183" spans="1:20" ht="16.5" x14ac:dyDescent="0.45">
      <c r="A1183">
        <v>2182</v>
      </c>
      <c r="B1183" t="s">
        <v>2867</v>
      </c>
      <c r="C1183" t="s">
        <v>36</v>
      </c>
      <c r="D1183" t="s">
        <v>21</v>
      </c>
      <c r="E1183">
        <v>841116</v>
      </c>
      <c r="F1183" s="1">
        <v>45388</v>
      </c>
      <c r="G1183" s="1"/>
      <c r="I1183">
        <v>1388</v>
      </c>
      <c r="K1183">
        <v>6</v>
      </c>
      <c r="L1183">
        <v>3</v>
      </c>
      <c r="M1183" t="s">
        <v>30</v>
      </c>
      <c r="N1183">
        <v>2020</v>
      </c>
      <c r="O1183">
        <v>2</v>
      </c>
      <c r="P1183">
        <v>2</v>
      </c>
      <c r="Q1183" t="s">
        <v>132</v>
      </c>
      <c r="R1183" t="s">
        <v>2868</v>
      </c>
      <c r="S1183" t="s">
        <v>33</v>
      </c>
      <c r="T1183" t="s">
        <v>180</v>
      </c>
    </row>
    <row r="1184" spans="1:20" ht="16.5" x14ac:dyDescent="0.45">
      <c r="A1184">
        <v>2183</v>
      </c>
      <c r="B1184" t="s">
        <v>2869</v>
      </c>
      <c r="C1184" t="s">
        <v>36</v>
      </c>
      <c r="D1184" t="s">
        <v>29</v>
      </c>
      <c r="E1184">
        <v>383116</v>
      </c>
      <c r="F1184" s="1">
        <v>45342</v>
      </c>
      <c r="G1184" s="1">
        <v>45486</v>
      </c>
      <c r="H1184">
        <v>420762</v>
      </c>
      <c r="I1184">
        <v>4004</v>
      </c>
      <c r="J1184" s="5">
        <v>1684731048</v>
      </c>
      <c r="K1184">
        <v>2</v>
      </c>
      <c r="L1184">
        <v>4</v>
      </c>
      <c r="M1184" t="s">
        <v>62</v>
      </c>
      <c r="N1184">
        <v>2000</v>
      </c>
      <c r="O1184">
        <v>5</v>
      </c>
      <c r="P1184">
        <v>4</v>
      </c>
      <c r="Q1184" t="s">
        <v>43</v>
      </c>
      <c r="R1184" t="s">
        <v>2870</v>
      </c>
      <c r="S1184" t="s">
        <v>25</v>
      </c>
      <c r="T1184" t="s">
        <v>2871</v>
      </c>
    </row>
    <row r="1185" spans="1:20" ht="16.5" x14ac:dyDescent="0.45">
      <c r="A1185">
        <v>2184</v>
      </c>
      <c r="B1185" t="s">
        <v>2872</v>
      </c>
      <c r="C1185" t="s">
        <v>51</v>
      </c>
      <c r="D1185" t="s">
        <v>29</v>
      </c>
      <c r="E1185">
        <v>782701</v>
      </c>
      <c r="F1185" s="1">
        <v>45550</v>
      </c>
      <c r="G1185" s="1">
        <v>45405</v>
      </c>
      <c r="H1185">
        <v>800469</v>
      </c>
      <c r="I1185">
        <v>1327</v>
      </c>
      <c r="J1185" s="5">
        <v>1062222363</v>
      </c>
      <c r="K1185">
        <v>5</v>
      </c>
      <c r="L1185">
        <v>2</v>
      </c>
      <c r="M1185" t="s">
        <v>62</v>
      </c>
      <c r="N1185">
        <v>2003</v>
      </c>
      <c r="O1185">
        <v>10</v>
      </c>
      <c r="P1185">
        <v>2</v>
      </c>
      <c r="Q1185" t="s">
        <v>86</v>
      </c>
      <c r="R1185" t="s">
        <v>1236</v>
      </c>
      <c r="S1185" t="s">
        <v>25</v>
      </c>
      <c r="T1185" t="s">
        <v>1015</v>
      </c>
    </row>
    <row r="1186" spans="1:20" ht="16.5" x14ac:dyDescent="0.45">
      <c r="A1186">
        <v>2185</v>
      </c>
      <c r="B1186" t="s">
        <v>2873</v>
      </c>
      <c r="C1186" t="s">
        <v>20</v>
      </c>
      <c r="D1186" t="s">
        <v>42</v>
      </c>
      <c r="E1186">
        <v>687992</v>
      </c>
      <c r="F1186" s="1">
        <v>45355</v>
      </c>
      <c r="G1186" s="1"/>
      <c r="I1186">
        <v>4959</v>
      </c>
      <c r="K1186">
        <v>4</v>
      </c>
      <c r="L1186">
        <v>3</v>
      </c>
      <c r="M1186" t="s">
        <v>62</v>
      </c>
      <c r="N1186">
        <v>2019</v>
      </c>
      <c r="O1186">
        <v>7</v>
      </c>
      <c r="P1186">
        <v>4</v>
      </c>
      <c r="Q1186" t="s">
        <v>31</v>
      </c>
      <c r="R1186" t="s">
        <v>2874</v>
      </c>
      <c r="S1186" t="s">
        <v>33</v>
      </c>
      <c r="T1186" t="s">
        <v>2519</v>
      </c>
    </row>
    <row r="1187" spans="1:20" ht="16.5" x14ac:dyDescent="0.45">
      <c r="A1187">
        <v>2186</v>
      </c>
      <c r="B1187" t="s">
        <v>2875</v>
      </c>
      <c r="C1187" t="s">
        <v>28</v>
      </c>
      <c r="D1187" t="s">
        <v>21</v>
      </c>
      <c r="E1187">
        <v>307029</v>
      </c>
      <c r="F1187" s="1">
        <v>45296</v>
      </c>
      <c r="G1187" s="1"/>
      <c r="I1187">
        <v>3490</v>
      </c>
      <c r="K1187">
        <v>4</v>
      </c>
      <c r="L1187">
        <v>4</v>
      </c>
      <c r="M1187" t="s">
        <v>30</v>
      </c>
      <c r="N1187">
        <v>2015</v>
      </c>
      <c r="O1187">
        <v>1</v>
      </c>
      <c r="P1187">
        <v>3</v>
      </c>
      <c r="Q1187" t="s">
        <v>132</v>
      </c>
      <c r="R1187" t="s">
        <v>2876</v>
      </c>
      <c r="S1187" t="s">
        <v>33</v>
      </c>
      <c r="T1187" t="s">
        <v>275</v>
      </c>
    </row>
    <row r="1188" spans="1:20" ht="16.5" x14ac:dyDescent="0.45">
      <c r="A1188">
        <v>2187</v>
      </c>
      <c r="B1188" t="s">
        <v>2877</v>
      </c>
      <c r="C1188" t="s">
        <v>51</v>
      </c>
      <c r="D1188" t="s">
        <v>42</v>
      </c>
      <c r="E1188">
        <v>900525</v>
      </c>
      <c r="F1188" s="1">
        <v>45398</v>
      </c>
      <c r="G1188" s="1"/>
      <c r="I1188">
        <v>3992</v>
      </c>
      <c r="K1188">
        <v>3</v>
      </c>
      <c r="L1188">
        <v>5</v>
      </c>
      <c r="M1188" t="s">
        <v>30</v>
      </c>
      <c r="N1188">
        <v>2022</v>
      </c>
      <c r="O1188">
        <v>6</v>
      </c>
      <c r="P1188">
        <v>1</v>
      </c>
      <c r="Q1188" t="s">
        <v>31</v>
      </c>
      <c r="R1188" t="s">
        <v>2878</v>
      </c>
      <c r="S1188" t="s">
        <v>33</v>
      </c>
      <c r="T1188" t="s">
        <v>128</v>
      </c>
    </row>
    <row r="1189" spans="1:20" ht="16.5" x14ac:dyDescent="0.45">
      <c r="A1189">
        <v>2188</v>
      </c>
      <c r="B1189" t="s">
        <v>2879</v>
      </c>
      <c r="C1189" t="s">
        <v>20</v>
      </c>
      <c r="D1189" t="s">
        <v>42</v>
      </c>
      <c r="E1189">
        <v>831254</v>
      </c>
      <c r="F1189" s="1">
        <v>45620</v>
      </c>
      <c r="G1189" s="1">
        <v>45509</v>
      </c>
      <c r="H1189">
        <v>849389</v>
      </c>
      <c r="I1189">
        <v>4242</v>
      </c>
      <c r="J1189" s="5">
        <v>3603108138</v>
      </c>
      <c r="K1189">
        <v>5</v>
      </c>
      <c r="L1189">
        <v>3</v>
      </c>
      <c r="M1189" t="s">
        <v>22</v>
      </c>
      <c r="N1189">
        <v>2020</v>
      </c>
      <c r="P1189">
        <v>1</v>
      </c>
      <c r="Q1189" t="s">
        <v>132</v>
      </c>
      <c r="R1189" t="s">
        <v>2880</v>
      </c>
      <c r="S1189" t="s">
        <v>25</v>
      </c>
      <c r="T1189" t="s">
        <v>1391</v>
      </c>
    </row>
    <row r="1190" spans="1:20" ht="16.5" x14ac:dyDescent="0.45">
      <c r="A1190">
        <v>2189</v>
      </c>
      <c r="B1190" t="s">
        <v>2881</v>
      </c>
      <c r="C1190" t="s">
        <v>47</v>
      </c>
      <c r="D1190" t="s">
        <v>21</v>
      </c>
      <c r="E1190">
        <v>856256</v>
      </c>
      <c r="F1190" s="1">
        <v>45543</v>
      </c>
      <c r="G1190" s="1"/>
      <c r="I1190">
        <v>2332</v>
      </c>
      <c r="K1190">
        <v>3</v>
      </c>
      <c r="L1190">
        <v>2</v>
      </c>
      <c r="M1190" t="s">
        <v>30</v>
      </c>
      <c r="N1190">
        <v>2010</v>
      </c>
      <c r="O1190">
        <v>1</v>
      </c>
      <c r="P1190">
        <v>1</v>
      </c>
      <c r="Q1190" t="s">
        <v>23</v>
      </c>
      <c r="R1190" t="s">
        <v>2882</v>
      </c>
      <c r="S1190" t="s">
        <v>33</v>
      </c>
      <c r="T1190" t="s">
        <v>1689</v>
      </c>
    </row>
    <row r="1191" spans="1:20" ht="16.5" x14ac:dyDescent="0.45">
      <c r="A1191">
        <v>2190</v>
      </c>
      <c r="B1191" t="s">
        <v>2883</v>
      </c>
      <c r="C1191" t="s">
        <v>51</v>
      </c>
      <c r="D1191" t="s">
        <v>21</v>
      </c>
      <c r="E1191">
        <v>318178</v>
      </c>
      <c r="F1191" s="1">
        <v>45281</v>
      </c>
      <c r="G1191" s="1">
        <v>45641</v>
      </c>
      <c r="H1191">
        <v>337670</v>
      </c>
      <c r="I1191">
        <v>1626</v>
      </c>
      <c r="J1191" s="5">
        <v>549051420</v>
      </c>
      <c r="K1191">
        <v>4</v>
      </c>
      <c r="L1191">
        <v>4</v>
      </c>
      <c r="M1191" t="s">
        <v>62</v>
      </c>
      <c r="N1191">
        <v>2023</v>
      </c>
      <c r="O1191">
        <v>4</v>
      </c>
      <c r="P1191">
        <v>2</v>
      </c>
      <c r="Q1191" t="s">
        <v>132</v>
      </c>
      <c r="R1191" t="s">
        <v>2884</v>
      </c>
      <c r="S1191" t="s">
        <v>25</v>
      </c>
      <c r="T1191" t="s">
        <v>180</v>
      </c>
    </row>
    <row r="1192" spans="1:20" ht="16.5" x14ac:dyDescent="0.45">
      <c r="A1192">
        <v>2191</v>
      </c>
      <c r="B1192" t="s">
        <v>2885</v>
      </c>
      <c r="C1192" t="s">
        <v>47</v>
      </c>
      <c r="D1192" t="s">
        <v>42</v>
      </c>
      <c r="E1192">
        <v>324060</v>
      </c>
      <c r="F1192" s="1">
        <v>45371</v>
      </c>
      <c r="G1192" s="1">
        <v>45616</v>
      </c>
      <c r="H1192">
        <v>371993</v>
      </c>
      <c r="I1192">
        <v>2083</v>
      </c>
      <c r="J1192" s="5">
        <v>774861419</v>
      </c>
      <c r="K1192">
        <v>5</v>
      </c>
      <c r="L1192">
        <v>3</v>
      </c>
      <c r="M1192" t="s">
        <v>22</v>
      </c>
      <c r="N1192">
        <v>2003</v>
      </c>
      <c r="P1192">
        <v>2</v>
      </c>
      <c r="Q1192" t="s">
        <v>58</v>
      </c>
      <c r="R1192" t="s">
        <v>2886</v>
      </c>
      <c r="S1192" t="s">
        <v>25</v>
      </c>
      <c r="T1192" t="s">
        <v>830</v>
      </c>
    </row>
    <row r="1193" spans="1:20" ht="16.5" x14ac:dyDescent="0.45">
      <c r="A1193">
        <v>2192</v>
      </c>
      <c r="B1193" t="s">
        <v>2887</v>
      </c>
      <c r="C1193" t="s">
        <v>51</v>
      </c>
      <c r="D1193" t="s">
        <v>29</v>
      </c>
      <c r="E1193">
        <v>672628</v>
      </c>
      <c r="F1193" s="1">
        <v>45535</v>
      </c>
      <c r="G1193" s="1">
        <v>45302</v>
      </c>
      <c r="H1193">
        <v>701427</v>
      </c>
      <c r="I1193">
        <v>1798</v>
      </c>
      <c r="J1193" s="5">
        <v>1261165746</v>
      </c>
      <c r="K1193">
        <v>2</v>
      </c>
      <c r="L1193">
        <v>4</v>
      </c>
      <c r="M1193" t="s">
        <v>62</v>
      </c>
      <c r="N1193">
        <v>2009</v>
      </c>
      <c r="O1193">
        <v>6</v>
      </c>
      <c r="P1193">
        <v>2</v>
      </c>
      <c r="Q1193" t="s">
        <v>75</v>
      </c>
      <c r="R1193" t="s">
        <v>2888</v>
      </c>
      <c r="S1193" t="s">
        <v>25</v>
      </c>
      <c r="T1193" t="s">
        <v>1391</v>
      </c>
    </row>
    <row r="1194" spans="1:20" ht="16.5" x14ac:dyDescent="0.45">
      <c r="A1194">
        <v>2193</v>
      </c>
      <c r="B1194" t="s">
        <v>2889</v>
      </c>
      <c r="C1194" t="s">
        <v>20</v>
      </c>
      <c r="D1194" t="s">
        <v>29</v>
      </c>
      <c r="E1194">
        <v>585905</v>
      </c>
      <c r="F1194" s="1">
        <v>45538</v>
      </c>
      <c r="G1194" s="1">
        <v>45416</v>
      </c>
      <c r="H1194">
        <v>604675</v>
      </c>
      <c r="I1194">
        <v>4438</v>
      </c>
      <c r="J1194" s="5">
        <v>2683547650</v>
      </c>
      <c r="K1194">
        <v>6</v>
      </c>
      <c r="L1194">
        <v>4</v>
      </c>
      <c r="M1194" t="s">
        <v>22</v>
      </c>
      <c r="N1194">
        <v>2003</v>
      </c>
      <c r="P1194">
        <v>1</v>
      </c>
      <c r="Q1194" t="s">
        <v>43</v>
      </c>
      <c r="R1194" t="s">
        <v>2437</v>
      </c>
      <c r="S1194" t="s">
        <v>25</v>
      </c>
      <c r="T1194" t="s">
        <v>91</v>
      </c>
    </row>
    <row r="1195" spans="1:20" ht="16.5" x14ac:dyDescent="0.45">
      <c r="A1195">
        <v>2194</v>
      </c>
      <c r="B1195" t="s">
        <v>2890</v>
      </c>
      <c r="C1195" t="s">
        <v>51</v>
      </c>
      <c r="D1195" t="s">
        <v>21</v>
      </c>
      <c r="E1195">
        <v>612185</v>
      </c>
      <c r="F1195" s="1">
        <v>45312</v>
      </c>
      <c r="G1195" s="1">
        <v>45317</v>
      </c>
      <c r="H1195">
        <v>640374</v>
      </c>
      <c r="I1195">
        <v>2154</v>
      </c>
      <c r="J1195" s="5">
        <v>1379365596</v>
      </c>
      <c r="K1195">
        <v>5</v>
      </c>
      <c r="L1195">
        <v>2</v>
      </c>
      <c r="M1195" t="s">
        <v>62</v>
      </c>
      <c r="N1195">
        <v>2010</v>
      </c>
      <c r="O1195">
        <v>6</v>
      </c>
      <c r="P1195">
        <v>3</v>
      </c>
      <c r="Q1195" t="s">
        <v>132</v>
      </c>
      <c r="R1195" t="s">
        <v>2323</v>
      </c>
      <c r="S1195" t="s">
        <v>25</v>
      </c>
      <c r="T1195" t="s">
        <v>77</v>
      </c>
    </row>
    <row r="1196" spans="1:20" ht="16.5" x14ac:dyDescent="0.45">
      <c r="A1196">
        <v>2195</v>
      </c>
      <c r="B1196" t="s">
        <v>2891</v>
      </c>
      <c r="C1196" t="s">
        <v>51</v>
      </c>
      <c r="D1196" t="s">
        <v>21</v>
      </c>
      <c r="E1196">
        <v>410645</v>
      </c>
      <c r="F1196" s="1">
        <v>45352</v>
      </c>
      <c r="G1196" s="1">
        <v>45518</v>
      </c>
      <c r="H1196">
        <v>428468</v>
      </c>
      <c r="I1196">
        <v>1381</v>
      </c>
      <c r="J1196" s="5">
        <v>591714308</v>
      </c>
      <c r="K1196">
        <v>5</v>
      </c>
      <c r="L1196">
        <v>3</v>
      </c>
      <c r="M1196" t="s">
        <v>30</v>
      </c>
      <c r="N1196">
        <v>2008</v>
      </c>
      <c r="O1196">
        <v>3</v>
      </c>
      <c r="P1196">
        <v>4</v>
      </c>
      <c r="Q1196" t="s">
        <v>58</v>
      </c>
      <c r="R1196" t="s">
        <v>2892</v>
      </c>
      <c r="S1196" t="s">
        <v>25</v>
      </c>
      <c r="T1196" t="s">
        <v>2893</v>
      </c>
    </row>
    <row r="1197" spans="1:20" ht="16.5" x14ac:dyDescent="0.45">
      <c r="A1197">
        <v>2196</v>
      </c>
      <c r="B1197" t="s">
        <v>2894</v>
      </c>
      <c r="C1197" t="s">
        <v>51</v>
      </c>
      <c r="D1197" t="s">
        <v>42</v>
      </c>
      <c r="E1197">
        <v>679409</v>
      </c>
      <c r="F1197" s="1">
        <v>45293</v>
      </c>
      <c r="G1197" s="1"/>
      <c r="I1197">
        <v>1462</v>
      </c>
      <c r="K1197">
        <v>2</v>
      </c>
      <c r="L1197">
        <v>3</v>
      </c>
      <c r="M1197" t="s">
        <v>62</v>
      </c>
      <c r="N1197">
        <v>2014</v>
      </c>
      <c r="O1197">
        <v>2</v>
      </c>
      <c r="P1197">
        <v>2</v>
      </c>
      <c r="Q1197" t="s">
        <v>162</v>
      </c>
      <c r="R1197" t="s">
        <v>2895</v>
      </c>
      <c r="S1197" t="s">
        <v>33</v>
      </c>
      <c r="T1197" t="s">
        <v>180</v>
      </c>
    </row>
    <row r="1198" spans="1:20" ht="16.5" x14ac:dyDescent="0.45">
      <c r="A1198">
        <v>2197</v>
      </c>
      <c r="B1198" t="s">
        <v>2896</v>
      </c>
      <c r="C1198" t="s">
        <v>36</v>
      </c>
      <c r="D1198" t="s">
        <v>29</v>
      </c>
      <c r="E1198">
        <v>976314</v>
      </c>
      <c r="F1198" s="1">
        <v>45602</v>
      </c>
      <c r="G1198" s="1"/>
      <c r="I1198">
        <v>3843</v>
      </c>
      <c r="K1198">
        <v>2</v>
      </c>
      <c r="L1198">
        <v>4</v>
      </c>
      <c r="M1198" t="s">
        <v>62</v>
      </c>
      <c r="N1198">
        <v>2017</v>
      </c>
      <c r="O1198">
        <v>10</v>
      </c>
      <c r="P1198">
        <v>2</v>
      </c>
      <c r="Q1198" t="s">
        <v>132</v>
      </c>
      <c r="R1198" t="s">
        <v>2897</v>
      </c>
      <c r="S1198" t="s">
        <v>33</v>
      </c>
      <c r="T1198" t="s">
        <v>2898</v>
      </c>
    </row>
    <row r="1199" spans="1:20" ht="16.5" x14ac:dyDescent="0.45">
      <c r="A1199">
        <v>2198</v>
      </c>
      <c r="B1199" t="s">
        <v>2899</v>
      </c>
      <c r="C1199" t="s">
        <v>51</v>
      </c>
      <c r="D1199" t="s">
        <v>42</v>
      </c>
      <c r="E1199">
        <v>346459</v>
      </c>
      <c r="F1199" s="1">
        <v>45327</v>
      </c>
      <c r="G1199" s="1"/>
      <c r="I1199">
        <v>1203</v>
      </c>
      <c r="K1199">
        <v>2</v>
      </c>
      <c r="L1199">
        <v>2</v>
      </c>
      <c r="M1199" t="s">
        <v>62</v>
      </c>
      <c r="N1199">
        <v>2002</v>
      </c>
      <c r="O1199">
        <v>2</v>
      </c>
      <c r="P1199">
        <v>4</v>
      </c>
      <c r="Q1199" t="s">
        <v>75</v>
      </c>
      <c r="R1199" t="s">
        <v>2565</v>
      </c>
      <c r="S1199" t="s">
        <v>33</v>
      </c>
      <c r="T1199" t="s">
        <v>2642</v>
      </c>
    </row>
    <row r="1200" spans="1:20" ht="16.5" x14ac:dyDescent="0.45">
      <c r="A1200">
        <v>2199</v>
      </c>
      <c r="B1200" t="s">
        <v>2900</v>
      </c>
      <c r="C1200" t="s">
        <v>36</v>
      </c>
      <c r="D1200" t="s">
        <v>42</v>
      </c>
      <c r="E1200">
        <v>540800</v>
      </c>
      <c r="F1200" s="1">
        <v>45446</v>
      </c>
      <c r="G1200" s="1">
        <v>45409</v>
      </c>
      <c r="H1200">
        <v>570730</v>
      </c>
      <c r="I1200">
        <v>1914</v>
      </c>
      <c r="J1200" s="5">
        <v>1092377220</v>
      </c>
      <c r="K1200">
        <v>4</v>
      </c>
      <c r="L1200">
        <v>5</v>
      </c>
      <c r="M1200" t="s">
        <v>30</v>
      </c>
      <c r="N1200">
        <v>2003</v>
      </c>
      <c r="O1200">
        <v>6</v>
      </c>
      <c r="P1200">
        <v>3</v>
      </c>
      <c r="Q1200" t="s">
        <v>93</v>
      </c>
      <c r="R1200" t="s">
        <v>2901</v>
      </c>
      <c r="S1200" t="s">
        <v>25</v>
      </c>
      <c r="T1200" t="s">
        <v>2902</v>
      </c>
    </row>
    <row r="1201" spans="1:20" ht="16.5" x14ac:dyDescent="0.45">
      <c r="A1201">
        <v>2200</v>
      </c>
      <c r="B1201" t="s">
        <v>2903</v>
      </c>
      <c r="C1201" t="s">
        <v>36</v>
      </c>
      <c r="D1201" t="s">
        <v>29</v>
      </c>
      <c r="E1201">
        <v>420772</v>
      </c>
      <c r="F1201" s="1">
        <v>45407</v>
      </c>
      <c r="G1201" s="1"/>
      <c r="I1201">
        <v>3157</v>
      </c>
      <c r="K1201">
        <v>6</v>
      </c>
      <c r="L1201">
        <v>2</v>
      </c>
      <c r="M1201" t="s">
        <v>62</v>
      </c>
      <c r="N1201">
        <v>2014</v>
      </c>
      <c r="O1201">
        <v>4</v>
      </c>
      <c r="P1201">
        <v>2</v>
      </c>
      <c r="Q1201" t="s">
        <v>23</v>
      </c>
      <c r="R1201" t="s">
        <v>2904</v>
      </c>
      <c r="S1201" t="s">
        <v>33</v>
      </c>
      <c r="T1201" t="s">
        <v>2905</v>
      </c>
    </row>
    <row r="1202" spans="1:20" ht="16.5" x14ac:dyDescent="0.45">
      <c r="A1202">
        <v>2201</v>
      </c>
      <c r="B1202" t="s">
        <v>2906</v>
      </c>
      <c r="C1202" t="s">
        <v>36</v>
      </c>
      <c r="D1202" t="s">
        <v>21</v>
      </c>
      <c r="E1202">
        <v>727255</v>
      </c>
      <c r="F1202" s="1">
        <v>45601</v>
      </c>
      <c r="G1202" s="1">
        <v>45335</v>
      </c>
      <c r="H1202">
        <v>748283</v>
      </c>
      <c r="I1202">
        <v>1425</v>
      </c>
      <c r="J1202" s="5">
        <v>1066303275</v>
      </c>
      <c r="K1202">
        <v>4</v>
      </c>
      <c r="L1202">
        <v>5</v>
      </c>
      <c r="M1202" t="s">
        <v>62</v>
      </c>
      <c r="N1202">
        <v>2010</v>
      </c>
      <c r="O1202">
        <v>4</v>
      </c>
      <c r="P1202">
        <v>4</v>
      </c>
      <c r="Q1202" t="s">
        <v>23</v>
      </c>
      <c r="R1202" t="s">
        <v>2907</v>
      </c>
      <c r="S1202" t="s">
        <v>25</v>
      </c>
      <c r="T1202" t="s">
        <v>404</v>
      </c>
    </row>
    <row r="1203" spans="1:20" ht="16.5" x14ac:dyDescent="0.45">
      <c r="A1203">
        <v>2202</v>
      </c>
      <c r="B1203" t="s">
        <v>2908</v>
      </c>
      <c r="C1203" t="s">
        <v>47</v>
      </c>
      <c r="D1203" t="s">
        <v>42</v>
      </c>
      <c r="E1203">
        <v>668227</v>
      </c>
      <c r="F1203" s="1">
        <v>45335</v>
      </c>
      <c r="G1203" s="1"/>
      <c r="I1203">
        <v>3356</v>
      </c>
      <c r="K1203">
        <v>4</v>
      </c>
      <c r="L1203">
        <v>4</v>
      </c>
      <c r="M1203" t="s">
        <v>37</v>
      </c>
      <c r="N1203">
        <v>2000</v>
      </c>
      <c r="O1203">
        <v>3</v>
      </c>
      <c r="P1203">
        <v>3</v>
      </c>
      <c r="Q1203" t="s">
        <v>43</v>
      </c>
      <c r="R1203" t="s">
        <v>2909</v>
      </c>
      <c r="S1203" t="s">
        <v>33</v>
      </c>
      <c r="T1203" t="s">
        <v>2910</v>
      </c>
    </row>
    <row r="1204" spans="1:20" ht="16.5" x14ac:dyDescent="0.45">
      <c r="A1204">
        <v>2203</v>
      </c>
      <c r="B1204" t="s">
        <v>2911</v>
      </c>
      <c r="C1204" t="s">
        <v>20</v>
      </c>
      <c r="D1204" t="s">
        <v>29</v>
      </c>
      <c r="E1204">
        <v>557653</v>
      </c>
      <c r="F1204" s="1">
        <v>45331</v>
      </c>
      <c r="G1204" s="1">
        <v>45480</v>
      </c>
      <c r="H1204">
        <v>575936</v>
      </c>
      <c r="I1204">
        <v>1583</v>
      </c>
      <c r="J1204" s="5">
        <v>911706688</v>
      </c>
      <c r="K1204">
        <v>2</v>
      </c>
      <c r="L1204">
        <v>5</v>
      </c>
      <c r="M1204" t="s">
        <v>37</v>
      </c>
      <c r="N1204">
        <v>2000</v>
      </c>
      <c r="O1204">
        <v>7</v>
      </c>
      <c r="P1204">
        <v>1</v>
      </c>
      <c r="Q1204" t="s">
        <v>86</v>
      </c>
      <c r="R1204" t="s">
        <v>2912</v>
      </c>
      <c r="S1204" t="s">
        <v>25</v>
      </c>
      <c r="T1204" t="s">
        <v>426</v>
      </c>
    </row>
    <row r="1205" spans="1:20" ht="16.5" x14ac:dyDescent="0.45">
      <c r="A1205">
        <v>2204</v>
      </c>
      <c r="B1205" t="s">
        <v>2913</v>
      </c>
      <c r="C1205" t="s">
        <v>20</v>
      </c>
      <c r="D1205" t="s">
        <v>42</v>
      </c>
      <c r="E1205">
        <v>556312</v>
      </c>
      <c r="F1205" s="1">
        <v>45309</v>
      </c>
      <c r="G1205" s="1"/>
      <c r="I1205">
        <v>1131</v>
      </c>
      <c r="K1205">
        <v>5</v>
      </c>
      <c r="L1205">
        <v>3</v>
      </c>
      <c r="M1205" t="s">
        <v>37</v>
      </c>
      <c r="N1205">
        <v>2023</v>
      </c>
      <c r="O1205">
        <v>3</v>
      </c>
      <c r="P1205">
        <v>4</v>
      </c>
      <c r="Q1205" t="s">
        <v>43</v>
      </c>
      <c r="R1205" t="s">
        <v>2914</v>
      </c>
      <c r="S1205" t="s">
        <v>33</v>
      </c>
      <c r="T1205" t="s">
        <v>2315</v>
      </c>
    </row>
    <row r="1206" spans="1:20" ht="16.5" x14ac:dyDescent="0.45">
      <c r="A1206">
        <v>2205</v>
      </c>
      <c r="B1206" t="s">
        <v>2915</v>
      </c>
      <c r="C1206" t="s">
        <v>51</v>
      </c>
      <c r="D1206" t="s">
        <v>29</v>
      </c>
      <c r="E1206">
        <v>756790</v>
      </c>
      <c r="F1206" s="1">
        <v>45301</v>
      </c>
      <c r="G1206" s="1"/>
      <c r="I1206">
        <v>1915</v>
      </c>
      <c r="K1206">
        <v>5</v>
      </c>
      <c r="L1206">
        <v>5</v>
      </c>
      <c r="M1206" t="s">
        <v>22</v>
      </c>
      <c r="N1206">
        <v>2022</v>
      </c>
      <c r="P1206">
        <v>2</v>
      </c>
      <c r="Q1206" t="s">
        <v>38</v>
      </c>
      <c r="R1206" t="s">
        <v>2916</v>
      </c>
      <c r="S1206" t="s">
        <v>33</v>
      </c>
      <c r="T1206" t="s">
        <v>180</v>
      </c>
    </row>
    <row r="1207" spans="1:20" ht="16.5" x14ac:dyDescent="0.45">
      <c r="A1207">
        <v>2206</v>
      </c>
      <c r="B1207" t="s">
        <v>2917</v>
      </c>
      <c r="C1207" t="s">
        <v>51</v>
      </c>
      <c r="D1207" t="s">
        <v>29</v>
      </c>
      <c r="E1207">
        <v>618812</v>
      </c>
      <c r="F1207" s="1">
        <v>45324</v>
      </c>
      <c r="G1207" s="1"/>
      <c r="I1207">
        <v>3371</v>
      </c>
      <c r="K1207">
        <v>3</v>
      </c>
      <c r="L1207">
        <v>2</v>
      </c>
      <c r="M1207" t="s">
        <v>62</v>
      </c>
      <c r="N1207">
        <v>2012</v>
      </c>
      <c r="O1207">
        <v>10</v>
      </c>
      <c r="P1207">
        <v>2</v>
      </c>
      <c r="Q1207" t="s">
        <v>31</v>
      </c>
      <c r="R1207" t="s">
        <v>2918</v>
      </c>
      <c r="S1207" t="s">
        <v>33</v>
      </c>
      <c r="T1207" t="s">
        <v>878</v>
      </c>
    </row>
    <row r="1208" spans="1:20" ht="16.5" x14ac:dyDescent="0.45">
      <c r="A1208">
        <v>2207</v>
      </c>
      <c r="B1208" t="s">
        <v>2919</v>
      </c>
      <c r="C1208" t="s">
        <v>20</v>
      </c>
      <c r="D1208" t="s">
        <v>42</v>
      </c>
      <c r="E1208">
        <v>354942</v>
      </c>
      <c r="F1208" s="1">
        <v>45623</v>
      </c>
      <c r="G1208" s="1"/>
      <c r="I1208">
        <v>3115</v>
      </c>
      <c r="K1208">
        <v>4</v>
      </c>
      <c r="L1208">
        <v>4</v>
      </c>
      <c r="M1208" t="s">
        <v>30</v>
      </c>
      <c r="N1208">
        <v>2020</v>
      </c>
      <c r="O1208">
        <v>1</v>
      </c>
      <c r="P1208">
        <v>3</v>
      </c>
      <c r="Q1208" t="s">
        <v>86</v>
      </c>
      <c r="R1208" t="s">
        <v>2920</v>
      </c>
      <c r="S1208" t="s">
        <v>33</v>
      </c>
      <c r="T1208" t="s">
        <v>70</v>
      </c>
    </row>
    <row r="1209" spans="1:20" ht="16.5" x14ac:dyDescent="0.45">
      <c r="A1209">
        <v>2208</v>
      </c>
      <c r="B1209" t="s">
        <v>2921</v>
      </c>
      <c r="C1209" t="s">
        <v>28</v>
      </c>
      <c r="D1209" t="s">
        <v>29</v>
      </c>
      <c r="E1209">
        <v>624966</v>
      </c>
      <c r="F1209" s="1">
        <v>45531</v>
      </c>
      <c r="G1209" s="1">
        <v>45422</v>
      </c>
      <c r="H1209">
        <v>648655</v>
      </c>
      <c r="I1209">
        <v>1168</v>
      </c>
      <c r="J1209" s="5">
        <v>757629040</v>
      </c>
      <c r="K1209">
        <v>2</v>
      </c>
      <c r="L1209">
        <v>3</v>
      </c>
      <c r="M1209" t="s">
        <v>62</v>
      </c>
      <c r="N1209">
        <v>2009</v>
      </c>
      <c r="O1209">
        <v>6</v>
      </c>
      <c r="P1209">
        <v>3</v>
      </c>
      <c r="Q1209" t="s">
        <v>162</v>
      </c>
      <c r="R1209" t="s">
        <v>2922</v>
      </c>
      <c r="S1209" t="s">
        <v>25</v>
      </c>
      <c r="T1209" t="s">
        <v>2902</v>
      </c>
    </row>
    <row r="1210" spans="1:20" ht="16.5" x14ac:dyDescent="0.45">
      <c r="A1210">
        <v>2209</v>
      </c>
      <c r="B1210" t="s">
        <v>2923</v>
      </c>
      <c r="C1210" t="s">
        <v>47</v>
      </c>
      <c r="D1210" t="s">
        <v>42</v>
      </c>
      <c r="E1210">
        <v>710655</v>
      </c>
      <c r="F1210" s="1">
        <v>45366</v>
      </c>
      <c r="G1210" s="1">
        <v>45358</v>
      </c>
      <c r="H1210">
        <v>732056</v>
      </c>
      <c r="I1210">
        <v>1538</v>
      </c>
      <c r="J1210" s="5">
        <v>1125902128</v>
      </c>
      <c r="K1210">
        <v>6</v>
      </c>
      <c r="L1210">
        <v>5</v>
      </c>
      <c r="M1210" t="s">
        <v>62</v>
      </c>
      <c r="N1210">
        <v>2001</v>
      </c>
      <c r="O1210">
        <v>4</v>
      </c>
      <c r="P1210">
        <v>1</v>
      </c>
      <c r="Q1210" t="s">
        <v>58</v>
      </c>
      <c r="R1210" t="s">
        <v>1961</v>
      </c>
      <c r="S1210" t="s">
        <v>25</v>
      </c>
      <c r="T1210" t="s">
        <v>2924</v>
      </c>
    </row>
    <row r="1211" spans="1:20" ht="16.5" x14ac:dyDescent="0.45">
      <c r="A1211">
        <v>2210</v>
      </c>
      <c r="B1211" t="s">
        <v>2925</v>
      </c>
      <c r="C1211" t="s">
        <v>47</v>
      </c>
      <c r="D1211" t="s">
        <v>42</v>
      </c>
      <c r="E1211">
        <v>480043</v>
      </c>
      <c r="F1211" s="1">
        <v>45478</v>
      </c>
      <c r="G1211" s="1">
        <v>45385</v>
      </c>
      <c r="H1211">
        <v>518253</v>
      </c>
      <c r="I1211">
        <v>4438</v>
      </c>
      <c r="J1211" s="5">
        <v>2300006814</v>
      </c>
      <c r="K1211">
        <v>3</v>
      </c>
      <c r="L1211">
        <v>4</v>
      </c>
      <c r="M1211" t="s">
        <v>37</v>
      </c>
      <c r="N1211">
        <v>2021</v>
      </c>
      <c r="O1211">
        <v>2</v>
      </c>
      <c r="P1211">
        <v>1</v>
      </c>
      <c r="Q1211" t="s">
        <v>38</v>
      </c>
      <c r="R1211" t="s">
        <v>2926</v>
      </c>
      <c r="S1211" t="s">
        <v>25</v>
      </c>
      <c r="T1211" t="s">
        <v>2927</v>
      </c>
    </row>
    <row r="1212" spans="1:20" ht="16.5" x14ac:dyDescent="0.45">
      <c r="A1212">
        <v>2211</v>
      </c>
      <c r="B1212" t="s">
        <v>2928</v>
      </c>
      <c r="C1212" t="s">
        <v>51</v>
      </c>
      <c r="D1212" t="s">
        <v>21</v>
      </c>
      <c r="E1212">
        <v>380289</v>
      </c>
      <c r="F1212" s="1">
        <v>45575</v>
      </c>
      <c r="G1212" s="1">
        <v>45570</v>
      </c>
      <c r="H1212">
        <v>421676</v>
      </c>
      <c r="I1212">
        <v>3826</v>
      </c>
      <c r="J1212" s="5">
        <v>1613332376</v>
      </c>
      <c r="K1212">
        <v>5</v>
      </c>
      <c r="L1212">
        <v>3</v>
      </c>
      <c r="M1212" t="s">
        <v>22</v>
      </c>
      <c r="N1212">
        <v>2020</v>
      </c>
      <c r="P1212">
        <v>1</v>
      </c>
      <c r="Q1212" t="s">
        <v>23</v>
      </c>
      <c r="R1212" t="s">
        <v>2929</v>
      </c>
      <c r="S1212" t="s">
        <v>25</v>
      </c>
      <c r="T1212" t="s">
        <v>2930</v>
      </c>
    </row>
    <row r="1213" spans="1:20" ht="16.5" x14ac:dyDescent="0.45">
      <c r="A1213">
        <v>2212</v>
      </c>
      <c r="B1213" t="s">
        <v>2931</v>
      </c>
      <c r="C1213" t="s">
        <v>51</v>
      </c>
      <c r="D1213" t="s">
        <v>21</v>
      </c>
      <c r="E1213">
        <v>447985</v>
      </c>
      <c r="F1213" s="1">
        <v>45443</v>
      </c>
      <c r="G1213" s="1">
        <v>45364</v>
      </c>
      <c r="H1213">
        <v>477576</v>
      </c>
      <c r="I1213">
        <v>2366</v>
      </c>
      <c r="J1213" s="5">
        <v>1129944816</v>
      </c>
      <c r="K1213">
        <v>6</v>
      </c>
      <c r="L1213">
        <v>4</v>
      </c>
      <c r="M1213" t="s">
        <v>30</v>
      </c>
      <c r="N1213">
        <v>2015</v>
      </c>
      <c r="O1213">
        <v>3</v>
      </c>
      <c r="P1213">
        <v>3</v>
      </c>
      <c r="Q1213" t="s">
        <v>86</v>
      </c>
      <c r="R1213" t="s">
        <v>2932</v>
      </c>
      <c r="S1213" t="s">
        <v>25</v>
      </c>
      <c r="T1213" t="s">
        <v>2933</v>
      </c>
    </row>
    <row r="1214" spans="1:20" ht="16.5" x14ac:dyDescent="0.45">
      <c r="A1214">
        <v>2213</v>
      </c>
      <c r="B1214" t="s">
        <v>2934</v>
      </c>
      <c r="C1214" t="s">
        <v>51</v>
      </c>
      <c r="D1214" t="s">
        <v>29</v>
      </c>
      <c r="E1214">
        <v>770756</v>
      </c>
      <c r="F1214" s="1">
        <v>45371</v>
      </c>
      <c r="G1214" s="1">
        <v>45301</v>
      </c>
      <c r="H1214">
        <v>781632</v>
      </c>
      <c r="I1214">
        <v>4277</v>
      </c>
      <c r="J1214" s="5">
        <v>3343040064</v>
      </c>
      <c r="K1214">
        <v>5</v>
      </c>
      <c r="L1214">
        <v>5</v>
      </c>
      <c r="M1214" t="s">
        <v>22</v>
      </c>
      <c r="N1214">
        <v>2013</v>
      </c>
      <c r="P1214">
        <v>2</v>
      </c>
      <c r="Q1214" t="s">
        <v>31</v>
      </c>
      <c r="R1214" t="s">
        <v>2935</v>
      </c>
      <c r="S1214" t="s">
        <v>25</v>
      </c>
      <c r="T1214" t="s">
        <v>460</v>
      </c>
    </row>
    <row r="1215" spans="1:20" ht="16.5" x14ac:dyDescent="0.45">
      <c r="A1215">
        <v>2214</v>
      </c>
      <c r="B1215" t="s">
        <v>2936</v>
      </c>
      <c r="C1215" t="s">
        <v>20</v>
      </c>
      <c r="D1215" t="s">
        <v>29</v>
      </c>
      <c r="E1215">
        <v>432506</v>
      </c>
      <c r="F1215" s="1">
        <v>45502</v>
      </c>
      <c r="G1215" s="1"/>
      <c r="I1215">
        <v>2795</v>
      </c>
      <c r="K1215">
        <v>2</v>
      </c>
      <c r="L1215">
        <v>3</v>
      </c>
      <c r="M1215" t="s">
        <v>30</v>
      </c>
      <c r="N1215">
        <v>2014</v>
      </c>
      <c r="O1215">
        <v>2</v>
      </c>
      <c r="P1215">
        <v>4</v>
      </c>
      <c r="Q1215" t="s">
        <v>58</v>
      </c>
      <c r="R1215" t="s">
        <v>2937</v>
      </c>
      <c r="S1215" t="s">
        <v>33</v>
      </c>
      <c r="T1215" t="s">
        <v>1882</v>
      </c>
    </row>
    <row r="1216" spans="1:20" ht="16.5" x14ac:dyDescent="0.45">
      <c r="A1216">
        <v>2215</v>
      </c>
      <c r="B1216" t="s">
        <v>2938</v>
      </c>
      <c r="C1216" t="s">
        <v>28</v>
      </c>
      <c r="D1216" t="s">
        <v>42</v>
      </c>
      <c r="E1216">
        <v>352750</v>
      </c>
      <c r="F1216" s="1">
        <v>45338</v>
      </c>
      <c r="G1216" s="1"/>
      <c r="I1216">
        <v>2652</v>
      </c>
      <c r="K1216">
        <v>2</v>
      </c>
      <c r="L1216">
        <v>5</v>
      </c>
      <c r="M1216" t="s">
        <v>37</v>
      </c>
      <c r="N1216">
        <v>2009</v>
      </c>
      <c r="O1216">
        <v>5</v>
      </c>
      <c r="P1216">
        <v>2</v>
      </c>
      <c r="Q1216" t="s">
        <v>93</v>
      </c>
      <c r="R1216" t="s">
        <v>2939</v>
      </c>
      <c r="S1216" t="s">
        <v>33</v>
      </c>
      <c r="T1216" t="s">
        <v>830</v>
      </c>
    </row>
    <row r="1217" spans="1:20" ht="16.5" x14ac:dyDescent="0.45">
      <c r="A1217">
        <v>2216</v>
      </c>
      <c r="B1217" t="s">
        <v>2940</v>
      </c>
      <c r="C1217" t="s">
        <v>51</v>
      </c>
      <c r="D1217" t="s">
        <v>29</v>
      </c>
      <c r="E1217">
        <v>622122</v>
      </c>
      <c r="F1217" s="1">
        <v>45312</v>
      </c>
      <c r="G1217" s="1">
        <v>45545</v>
      </c>
      <c r="H1217">
        <v>659721</v>
      </c>
      <c r="I1217">
        <v>1024</v>
      </c>
      <c r="J1217" s="5">
        <v>675554304</v>
      </c>
      <c r="K1217">
        <v>2</v>
      </c>
      <c r="L1217">
        <v>5</v>
      </c>
      <c r="M1217" t="s">
        <v>62</v>
      </c>
      <c r="N1217">
        <v>2012</v>
      </c>
      <c r="O1217">
        <v>7</v>
      </c>
      <c r="P1217">
        <v>2</v>
      </c>
      <c r="Q1217" t="s">
        <v>38</v>
      </c>
      <c r="R1217" t="s">
        <v>2941</v>
      </c>
      <c r="S1217" t="s">
        <v>25</v>
      </c>
      <c r="T1217" t="s">
        <v>1157</v>
      </c>
    </row>
    <row r="1218" spans="1:20" ht="16.5" x14ac:dyDescent="0.45">
      <c r="A1218">
        <v>2217</v>
      </c>
      <c r="B1218" t="s">
        <v>2942</v>
      </c>
      <c r="C1218" t="s">
        <v>28</v>
      </c>
      <c r="D1218" t="s">
        <v>21</v>
      </c>
      <c r="E1218">
        <v>952633</v>
      </c>
      <c r="F1218" s="1">
        <v>45351</v>
      </c>
      <c r="G1218" s="1">
        <v>45591</v>
      </c>
      <c r="H1218">
        <v>1000008</v>
      </c>
      <c r="I1218">
        <v>4829</v>
      </c>
      <c r="J1218" s="5">
        <v>4829038632</v>
      </c>
      <c r="K1218">
        <v>3</v>
      </c>
      <c r="L1218">
        <v>2</v>
      </c>
      <c r="M1218" t="s">
        <v>30</v>
      </c>
      <c r="N1218">
        <v>2001</v>
      </c>
      <c r="O1218">
        <v>1</v>
      </c>
      <c r="P1218">
        <v>1</v>
      </c>
      <c r="Q1218" t="s">
        <v>162</v>
      </c>
      <c r="R1218" t="s">
        <v>2943</v>
      </c>
      <c r="S1218" t="s">
        <v>25</v>
      </c>
      <c r="T1218" t="s">
        <v>2944</v>
      </c>
    </row>
    <row r="1219" spans="1:20" ht="16.5" x14ac:dyDescent="0.45">
      <c r="A1219">
        <v>2218</v>
      </c>
      <c r="B1219" t="s">
        <v>2945</v>
      </c>
      <c r="C1219" t="s">
        <v>28</v>
      </c>
      <c r="D1219" t="s">
        <v>29</v>
      </c>
      <c r="E1219">
        <v>377495</v>
      </c>
      <c r="F1219" s="1">
        <v>45322</v>
      </c>
      <c r="G1219" s="1">
        <v>45615</v>
      </c>
      <c r="H1219">
        <v>420539</v>
      </c>
      <c r="I1219">
        <v>2523</v>
      </c>
      <c r="J1219" s="5">
        <v>1061019897</v>
      </c>
      <c r="K1219">
        <v>2</v>
      </c>
      <c r="L1219">
        <v>4</v>
      </c>
      <c r="M1219" t="s">
        <v>62</v>
      </c>
      <c r="N1219">
        <v>2017</v>
      </c>
      <c r="O1219">
        <v>5</v>
      </c>
      <c r="P1219">
        <v>3</v>
      </c>
      <c r="Q1219" t="s">
        <v>43</v>
      </c>
      <c r="R1219" t="s">
        <v>2946</v>
      </c>
      <c r="S1219" t="s">
        <v>25</v>
      </c>
      <c r="T1219" t="s">
        <v>2947</v>
      </c>
    </row>
    <row r="1220" spans="1:20" ht="16.5" x14ac:dyDescent="0.45">
      <c r="A1220">
        <v>2219</v>
      </c>
      <c r="B1220" t="s">
        <v>2948</v>
      </c>
      <c r="C1220" t="s">
        <v>36</v>
      </c>
      <c r="D1220" t="s">
        <v>29</v>
      </c>
      <c r="E1220">
        <v>449721</v>
      </c>
      <c r="F1220" s="1">
        <v>45288</v>
      </c>
      <c r="G1220" s="1"/>
      <c r="I1220">
        <v>2146</v>
      </c>
      <c r="K1220">
        <v>2</v>
      </c>
      <c r="L1220">
        <v>5</v>
      </c>
      <c r="M1220" t="s">
        <v>22</v>
      </c>
      <c r="N1220">
        <v>2002</v>
      </c>
      <c r="P1220">
        <v>3</v>
      </c>
      <c r="Q1220" t="s">
        <v>162</v>
      </c>
      <c r="R1220" t="s">
        <v>2949</v>
      </c>
      <c r="S1220" t="s">
        <v>33</v>
      </c>
      <c r="T1220" t="s">
        <v>91</v>
      </c>
    </row>
    <row r="1221" spans="1:20" ht="16.5" x14ac:dyDescent="0.45">
      <c r="A1221">
        <v>2220</v>
      </c>
      <c r="B1221" t="s">
        <v>2950</v>
      </c>
      <c r="C1221" t="s">
        <v>47</v>
      </c>
      <c r="D1221" t="s">
        <v>29</v>
      </c>
      <c r="E1221">
        <v>365586</v>
      </c>
      <c r="F1221" s="1">
        <v>45424</v>
      </c>
      <c r="G1221" s="1"/>
      <c r="I1221">
        <v>4387</v>
      </c>
      <c r="K1221">
        <v>5</v>
      </c>
      <c r="L1221">
        <v>5</v>
      </c>
      <c r="M1221" t="s">
        <v>22</v>
      </c>
      <c r="N1221">
        <v>2021</v>
      </c>
      <c r="P1221">
        <v>4</v>
      </c>
      <c r="Q1221" t="s">
        <v>132</v>
      </c>
      <c r="R1221" t="s">
        <v>245</v>
      </c>
      <c r="S1221" t="s">
        <v>33</v>
      </c>
      <c r="T1221" t="s">
        <v>1882</v>
      </c>
    </row>
    <row r="1222" spans="1:20" ht="16.5" x14ac:dyDescent="0.45">
      <c r="A1222">
        <v>2221</v>
      </c>
      <c r="B1222" t="s">
        <v>2951</v>
      </c>
      <c r="C1222" t="s">
        <v>47</v>
      </c>
      <c r="D1222" t="s">
        <v>42</v>
      </c>
      <c r="E1222">
        <v>417640</v>
      </c>
      <c r="F1222" s="1">
        <v>45570</v>
      </c>
      <c r="G1222" s="1">
        <v>45301</v>
      </c>
      <c r="H1222">
        <v>438123</v>
      </c>
      <c r="I1222">
        <v>3364</v>
      </c>
      <c r="J1222" s="5">
        <v>1473845772</v>
      </c>
      <c r="K1222">
        <v>3</v>
      </c>
      <c r="L1222">
        <v>3</v>
      </c>
      <c r="M1222" t="s">
        <v>30</v>
      </c>
      <c r="N1222">
        <v>2023</v>
      </c>
      <c r="O1222">
        <v>10</v>
      </c>
      <c r="P1222">
        <v>3</v>
      </c>
      <c r="Q1222" t="s">
        <v>58</v>
      </c>
      <c r="R1222" t="s">
        <v>2952</v>
      </c>
      <c r="S1222" t="s">
        <v>25</v>
      </c>
      <c r="T1222" t="s">
        <v>627</v>
      </c>
    </row>
    <row r="1223" spans="1:20" ht="16.5" x14ac:dyDescent="0.45">
      <c r="A1223">
        <v>2222</v>
      </c>
      <c r="B1223" t="s">
        <v>2953</v>
      </c>
      <c r="C1223" t="s">
        <v>28</v>
      </c>
      <c r="D1223" t="s">
        <v>42</v>
      </c>
      <c r="E1223">
        <v>875858</v>
      </c>
      <c r="F1223" s="1">
        <v>45527</v>
      </c>
      <c r="G1223" s="1">
        <v>45639</v>
      </c>
      <c r="H1223">
        <v>913974</v>
      </c>
      <c r="I1223">
        <v>2844</v>
      </c>
      <c r="J1223" s="5">
        <v>2599342056</v>
      </c>
      <c r="K1223">
        <v>5</v>
      </c>
      <c r="L1223">
        <v>2</v>
      </c>
      <c r="M1223" t="s">
        <v>30</v>
      </c>
      <c r="N1223">
        <v>2016</v>
      </c>
      <c r="O1223">
        <v>9</v>
      </c>
      <c r="P1223">
        <v>1</v>
      </c>
      <c r="Q1223" t="s">
        <v>93</v>
      </c>
      <c r="R1223" t="s">
        <v>2954</v>
      </c>
      <c r="S1223" t="s">
        <v>25</v>
      </c>
      <c r="T1223" t="s">
        <v>67</v>
      </c>
    </row>
    <row r="1224" spans="1:20" ht="16.5" x14ac:dyDescent="0.45">
      <c r="A1224">
        <v>2223</v>
      </c>
      <c r="B1224" t="s">
        <v>2955</v>
      </c>
      <c r="C1224" t="s">
        <v>28</v>
      </c>
      <c r="D1224" t="s">
        <v>29</v>
      </c>
      <c r="E1224">
        <v>897824</v>
      </c>
      <c r="F1224" s="1">
        <v>45440</v>
      </c>
      <c r="G1224" s="1"/>
      <c r="I1224">
        <v>1877</v>
      </c>
      <c r="K1224">
        <v>3</v>
      </c>
      <c r="L1224">
        <v>3</v>
      </c>
      <c r="M1224" t="s">
        <v>22</v>
      </c>
      <c r="N1224">
        <v>2009</v>
      </c>
      <c r="P1224">
        <v>2</v>
      </c>
      <c r="Q1224" t="s">
        <v>23</v>
      </c>
      <c r="R1224" t="s">
        <v>2956</v>
      </c>
      <c r="S1224" t="s">
        <v>33</v>
      </c>
      <c r="T1224" t="s">
        <v>2957</v>
      </c>
    </row>
    <row r="1225" spans="1:20" ht="16.5" x14ac:dyDescent="0.45">
      <c r="A1225">
        <v>2224</v>
      </c>
      <c r="B1225" t="s">
        <v>2958</v>
      </c>
      <c r="C1225" t="s">
        <v>28</v>
      </c>
      <c r="D1225" t="s">
        <v>42</v>
      </c>
      <c r="E1225">
        <v>647691</v>
      </c>
      <c r="F1225" s="1">
        <v>45600</v>
      </c>
      <c r="G1225" s="1"/>
      <c r="I1225">
        <v>1096</v>
      </c>
      <c r="K1225">
        <v>3</v>
      </c>
      <c r="L1225">
        <v>3</v>
      </c>
      <c r="M1225" t="s">
        <v>30</v>
      </c>
      <c r="N1225">
        <v>2012</v>
      </c>
      <c r="O1225">
        <v>9</v>
      </c>
      <c r="P1225">
        <v>1</v>
      </c>
      <c r="Q1225" t="s">
        <v>75</v>
      </c>
      <c r="R1225" t="s">
        <v>2959</v>
      </c>
      <c r="S1225" t="s">
        <v>33</v>
      </c>
      <c r="T1225" t="s">
        <v>2960</v>
      </c>
    </row>
    <row r="1226" spans="1:20" ht="16.5" x14ac:dyDescent="0.45">
      <c r="A1226">
        <v>2225</v>
      </c>
      <c r="B1226" t="s">
        <v>2961</v>
      </c>
      <c r="C1226" t="s">
        <v>36</v>
      </c>
      <c r="D1226" t="s">
        <v>29</v>
      </c>
      <c r="E1226">
        <v>809000</v>
      </c>
      <c r="F1226" s="1">
        <v>45408</v>
      </c>
      <c r="G1226" s="1"/>
      <c r="I1226">
        <v>2679</v>
      </c>
      <c r="K1226">
        <v>5</v>
      </c>
      <c r="L1226">
        <v>4</v>
      </c>
      <c r="M1226" t="s">
        <v>62</v>
      </c>
      <c r="N1226">
        <v>2005</v>
      </c>
      <c r="O1226">
        <v>1</v>
      </c>
      <c r="P1226">
        <v>1</v>
      </c>
      <c r="Q1226" t="s">
        <v>38</v>
      </c>
      <c r="R1226" t="s">
        <v>2962</v>
      </c>
      <c r="S1226" t="s">
        <v>33</v>
      </c>
      <c r="T1226" t="s">
        <v>2963</v>
      </c>
    </row>
    <row r="1227" spans="1:20" ht="16.5" x14ac:dyDescent="0.45">
      <c r="A1227">
        <v>2226</v>
      </c>
      <c r="B1227" t="s">
        <v>2964</v>
      </c>
      <c r="C1227" t="s">
        <v>28</v>
      </c>
      <c r="D1227" t="s">
        <v>42</v>
      </c>
      <c r="E1227">
        <v>465171</v>
      </c>
      <c r="F1227" s="1">
        <v>45282</v>
      </c>
      <c r="G1227" s="1">
        <v>45514</v>
      </c>
      <c r="H1227">
        <v>493531</v>
      </c>
      <c r="I1227">
        <v>2863</v>
      </c>
      <c r="J1227" s="5">
        <v>1412979253</v>
      </c>
      <c r="K1227">
        <v>2</v>
      </c>
      <c r="L1227">
        <v>4</v>
      </c>
      <c r="M1227" t="s">
        <v>30</v>
      </c>
      <c r="N1227">
        <v>2021</v>
      </c>
      <c r="O1227">
        <v>6</v>
      </c>
      <c r="P1227">
        <v>1</v>
      </c>
      <c r="Q1227" t="s">
        <v>93</v>
      </c>
      <c r="R1227" t="s">
        <v>2965</v>
      </c>
      <c r="S1227" t="s">
        <v>25</v>
      </c>
      <c r="T1227" t="s">
        <v>1223</v>
      </c>
    </row>
    <row r="1228" spans="1:20" ht="16.5" x14ac:dyDescent="0.45">
      <c r="A1228">
        <v>2227</v>
      </c>
      <c r="B1228" t="s">
        <v>2966</v>
      </c>
      <c r="C1228" t="s">
        <v>51</v>
      </c>
      <c r="D1228" t="s">
        <v>21</v>
      </c>
      <c r="E1228">
        <v>447246</v>
      </c>
      <c r="F1228" s="1">
        <v>45437</v>
      </c>
      <c r="G1228" s="1">
        <v>45374</v>
      </c>
      <c r="H1228">
        <v>465372</v>
      </c>
      <c r="I1228">
        <v>2834</v>
      </c>
      <c r="J1228" s="5">
        <v>1318864248</v>
      </c>
      <c r="K1228">
        <v>6</v>
      </c>
      <c r="L1228">
        <v>2</v>
      </c>
      <c r="M1228" t="s">
        <v>30</v>
      </c>
      <c r="N1228">
        <v>2013</v>
      </c>
      <c r="O1228">
        <v>1</v>
      </c>
      <c r="P1228">
        <v>4</v>
      </c>
      <c r="Q1228" t="s">
        <v>86</v>
      </c>
      <c r="R1228" t="s">
        <v>2967</v>
      </c>
      <c r="S1228" t="s">
        <v>25</v>
      </c>
      <c r="T1228" t="s">
        <v>91</v>
      </c>
    </row>
    <row r="1229" spans="1:20" ht="16.5" x14ac:dyDescent="0.45">
      <c r="A1229">
        <v>2228</v>
      </c>
      <c r="B1229" t="s">
        <v>2968</v>
      </c>
      <c r="C1229" t="s">
        <v>51</v>
      </c>
      <c r="D1229" t="s">
        <v>21</v>
      </c>
      <c r="E1229">
        <v>680190</v>
      </c>
      <c r="F1229" s="1">
        <v>45413</v>
      </c>
      <c r="G1229" s="1">
        <v>45475</v>
      </c>
      <c r="H1229">
        <v>714683</v>
      </c>
      <c r="I1229">
        <v>4431</v>
      </c>
      <c r="J1229" s="5">
        <v>3166760373</v>
      </c>
      <c r="K1229">
        <v>2</v>
      </c>
      <c r="L1229">
        <v>3</v>
      </c>
      <c r="M1229" t="s">
        <v>22</v>
      </c>
      <c r="N1229">
        <v>2004</v>
      </c>
      <c r="P1229">
        <v>4</v>
      </c>
      <c r="Q1229" t="s">
        <v>23</v>
      </c>
      <c r="R1229" t="s">
        <v>887</v>
      </c>
      <c r="S1229" t="s">
        <v>25</v>
      </c>
      <c r="T1229" t="s">
        <v>2969</v>
      </c>
    </row>
    <row r="1230" spans="1:20" ht="16.5" x14ac:dyDescent="0.45">
      <c r="A1230">
        <v>2229</v>
      </c>
      <c r="B1230" t="s">
        <v>2970</v>
      </c>
      <c r="C1230" t="s">
        <v>36</v>
      </c>
      <c r="D1230" t="s">
        <v>42</v>
      </c>
      <c r="E1230">
        <v>835178</v>
      </c>
      <c r="F1230" s="1">
        <v>45369</v>
      </c>
      <c r="G1230" s="1">
        <v>45500</v>
      </c>
      <c r="H1230">
        <v>878447</v>
      </c>
      <c r="I1230">
        <v>3398</v>
      </c>
      <c r="J1230" s="5">
        <v>2984962906</v>
      </c>
      <c r="K1230">
        <v>2</v>
      </c>
      <c r="L1230">
        <v>5</v>
      </c>
      <c r="M1230" t="s">
        <v>30</v>
      </c>
      <c r="N1230">
        <v>2022</v>
      </c>
      <c r="O1230">
        <v>10</v>
      </c>
      <c r="P1230">
        <v>1</v>
      </c>
      <c r="Q1230" t="s">
        <v>75</v>
      </c>
      <c r="R1230" t="s">
        <v>2971</v>
      </c>
      <c r="S1230" t="s">
        <v>25</v>
      </c>
      <c r="T1230" t="s">
        <v>1319</v>
      </c>
    </row>
    <row r="1231" spans="1:20" ht="16.5" x14ac:dyDescent="0.45">
      <c r="A1231">
        <v>2230</v>
      </c>
      <c r="B1231" t="s">
        <v>2972</v>
      </c>
      <c r="C1231" t="s">
        <v>20</v>
      </c>
      <c r="D1231" t="s">
        <v>29</v>
      </c>
      <c r="E1231">
        <v>744975</v>
      </c>
      <c r="F1231" s="1">
        <v>45300</v>
      </c>
      <c r="G1231" s="1">
        <v>45509</v>
      </c>
      <c r="H1231">
        <v>775714</v>
      </c>
      <c r="I1231">
        <v>2467</v>
      </c>
      <c r="J1231" s="5">
        <v>1913686438</v>
      </c>
      <c r="K1231">
        <v>3</v>
      </c>
      <c r="L1231">
        <v>3</v>
      </c>
      <c r="M1231" t="s">
        <v>30</v>
      </c>
      <c r="N1231">
        <v>2002</v>
      </c>
      <c r="O1231">
        <v>9</v>
      </c>
      <c r="P1231">
        <v>2</v>
      </c>
      <c r="Q1231" t="s">
        <v>93</v>
      </c>
      <c r="R1231" t="s">
        <v>1553</v>
      </c>
      <c r="S1231" t="s">
        <v>25</v>
      </c>
      <c r="T1231" t="s">
        <v>2973</v>
      </c>
    </row>
    <row r="1232" spans="1:20" ht="16.5" x14ac:dyDescent="0.45">
      <c r="A1232">
        <v>2231</v>
      </c>
      <c r="B1232" t="s">
        <v>2974</v>
      </c>
      <c r="C1232" t="s">
        <v>47</v>
      </c>
      <c r="D1232" t="s">
        <v>29</v>
      </c>
      <c r="E1232">
        <v>844199</v>
      </c>
      <c r="F1232" s="1">
        <v>45514</v>
      </c>
      <c r="G1232" s="1">
        <v>45633</v>
      </c>
      <c r="H1232">
        <v>871088</v>
      </c>
      <c r="I1232">
        <v>4378</v>
      </c>
      <c r="J1232" s="5">
        <v>3813623264</v>
      </c>
      <c r="K1232">
        <v>4</v>
      </c>
      <c r="L1232">
        <v>4</v>
      </c>
      <c r="M1232" t="s">
        <v>30</v>
      </c>
      <c r="N1232">
        <v>2018</v>
      </c>
      <c r="O1232">
        <v>6</v>
      </c>
      <c r="P1232">
        <v>1</v>
      </c>
      <c r="Q1232" t="s">
        <v>86</v>
      </c>
      <c r="R1232" t="s">
        <v>2975</v>
      </c>
      <c r="S1232" t="s">
        <v>25</v>
      </c>
      <c r="T1232" t="s">
        <v>2675</v>
      </c>
    </row>
    <row r="1233" spans="1:20" ht="16.5" x14ac:dyDescent="0.45">
      <c r="A1233">
        <v>2232</v>
      </c>
      <c r="B1233" t="s">
        <v>2976</v>
      </c>
      <c r="C1233" t="s">
        <v>28</v>
      </c>
      <c r="D1233" t="s">
        <v>42</v>
      </c>
      <c r="E1233">
        <v>764896</v>
      </c>
      <c r="F1233" s="1">
        <v>45338</v>
      </c>
      <c r="G1233" s="1"/>
      <c r="I1233">
        <v>4456</v>
      </c>
      <c r="K1233">
        <v>6</v>
      </c>
      <c r="L1233">
        <v>4</v>
      </c>
      <c r="M1233" t="s">
        <v>22</v>
      </c>
      <c r="N1233">
        <v>2019</v>
      </c>
      <c r="P1233">
        <v>3</v>
      </c>
      <c r="Q1233" t="s">
        <v>58</v>
      </c>
      <c r="R1233" t="s">
        <v>2977</v>
      </c>
      <c r="S1233" t="s">
        <v>33</v>
      </c>
      <c r="T1233" t="s">
        <v>40</v>
      </c>
    </row>
    <row r="1234" spans="1:20" ht="16.5" x14ac:dyDescent="0.45">
      <c r="A1234">
        <v>2233</v>
      </c>
      <c r="B1234" t="s">
        <v>2978</v>
      </c>
      <c r="C1234" t="s">
        <v>47</v>
      </c>
      <c r="D1234" t="s">
        <v>21</v>
      </c>
      <c r="E1234">
        <v>516003</v>
      </c>
      <c r="F1234" s="1">
        <v>45318</v>
      </c>
      <c r="G1234" s="1">
        <v>45503</v>
      </c>
      <c r="H1234">
        <v>556054</v>
      </c>
      <c r="I1234">
        <v>1017</v>
      </c>
      <c r="J1234" s="5">
        <v>565506918</v>
      </c>
      <c r="K1234">
        <v>3</v>
      </c>
      <c r="L1234">
        <v>5</v>
      </c>
      <c r="M1234" t="s">
        <v>22</v>
      </c>
      <c r="N1234">
        <v>2004</v>
      </c>
      <c r="P1234">
        <v>4</v>
      </c>
      <c r="Q1234" t="s">
        <v>38</v>
      </c>
      <c r="R1234" t="s">
        <v>2979</v>
      </c>
      <c r="S1234" t="s">
        <v>25</v>
      </c>
      <c r="T1234" t="s">
        <v>1106</v>
      </c>
    </row>
    <row r="1235" spans="1:20" ht="16.5" x14ac:dyDescent="0.45">
      <c r="A1235">
        <v>2234</v>
      </c>
      <c r="B1235" t="s">
        <v>2980</v>
      </c>
      <c r="C1235" t="s">
        <v>20</v>
      </c>
      <c r="D1235" t="s">
        <v>29</v>
      </c>
      <c r="E1235">
        <v>378840</v>
      </c>
      <c r="F1235" s="1">
        <v>45478</v>
      </c>
      <c r="G1235" s="1"/>
      <c r="I1235">
        <v>3863</v>
      </c>
      <c r="K1235">
        <v>4</v>
      </c>
      <c r="L1235">
        <v>2</v>
      </c>
      <c r="M1235" t="s">
        <v>62</v>
      </c>
      <c r="N1235">
        <v>2008</v>
      </c>
      <c r="O1235">
        <v>9</v>
      </c>
      <c r="P1235">
        <v>4</v>
      </c>
      <c r="Q1235" t="s">
        <v>93</v>
      </c>
      <c r="R1235" t="s">
        <v>2981</v>
      </c>
      <c r="S1235" t="s">
        <v>33</v>
      </c>
      <c r="T1235" t="s">
        <v>70</v>
      </c>
    </row>
    <row r="1236" spans="1:20" ht="16.5" x14ac:dyDescent="0.45">
      <c r="A1236">
        <v>2235</v>
      </c>
      <c r="B1236" t="s">
        <v>2982</v>
      </c>
      <c r="C1236" t="s">
        <v>51</v>
      </c>
      <c r="D1236" t="s">
        <v>29</v>
      </c>
      <c r="E1236">
        <v>540971</v>
      </c>
      <c r="F1236" s="1">
        <v>45642</v>
      </c>
      <c r="G1236" s="1">
        <v>45470</v>
      </c>
      <c r="H1236">
        <v>562645</v>
      </c>
      <c r="I1236">
        <v>3034</v>
      </c>
      <c r="J1236" s="5">
        <v>1707064930</v>
      </c>
      <c r="K1236">
        <v>2</v>
      </c>
      <c r="L1236">
        <v>4</v>
      </c>
      <c r="M1236" t="s">
        <v>22</v>
      </c>
      <c r="N1236">
        <v>2014</v>
      </c>
      <c r="P1236">
        <v>2</v>
      </c>
      <c r="Q1236" t="s">
        <v>86</v>
      </c>
      <c r="R1236" t="s">
        <v>2983</v>
      </c>
      <c r="S1236" t="s">
        <v>25</v>
      </c>
      <c r="T1236" t="s">
        <v>2535</v>
      </c>
    </row>
    <row r="1237" spans="1:20" ht="16.5" x14ac:dyDescent="0.45">
      <c r="A1237">
        <v>2236</v>
      </c>
      <c r="B1237" t="s">
        <v>2984</v>
      </c>
      <c r="C1237" t="s">
        <v>47</v>
      </c>
      <c r="D1237" t="s">
        <v>21</v>
      </c>
      <c r="E1237">
        <v>874882</v>
      </c>
      <c r="F1237" s="1">
        <v>45601</v>
      </c>
      <c r="G1237" s="1"/>
      <c r="I1237">
        <v>1586</v>
      </c>
      <c r="K1237">
        <v>5</v>
      </c>
      <c r="L1237">
        <v>5</v>
      </c>
      <c r="M1237" t="s">
        <v>62</v>
      </c>
      <c r="N1237">
        <v>2015</v>
      </c>
      <c r="O1237">
        <v>10</v>
      </c>
      <c r="P1237">
        <v>2</v>
      </c>
      <c r="Q1237" t="s">
        <v>75</v>
      </c>
      <c r="R1237" t="s">
        <v>2985</v>
      </c>
      <c r="S1237" t="s">
        <v>33</v>
      </c>
      <c r="T1237" t="s">
        <v>2986</v>
      </c>
    </row>
    <row r="1238" spans="1:20" ht="16.5" x14ac:dyDescent="0.45">
      <c r="A1238">
        <v>2237</v>
      </c>
      <c r="B1238" t="s">
        <v>2987</v>
      </c>
      <c r="C1238" t="s">
        <v>47</v>
      </c>
      <c r="D1238" t="s">
        <v>29</v>
      </c>
      <c r="E1238">
        <v>877334</v>
      </c>
      <c r="F1238" s="1">
        <v>45553</v>
      </c>
      <c r="G1238" s="1"/>
      <c r="I1238">
        <v>2295</v>
      </c>
      <c r="K1238">
        <v>4</v>
      </c>
      <c r="L1238">
        <v>2</v>
      </c>
      <c r="M1238" t="s">
        <v>62</v>
      </c>
      <c r="N1238">
        <v>2009</v>
      </c>
      <c r="O1238">
        <v>8</v>
      </c>
      <c r="P1238">
        <v>3</v>
      </c>
      <c r="Q1238" t="s">
        <v>162</v>
      </c>
      <c r="R1238" t="s">
        <v>2988</v>
      </c>
      <c r="S1238" t="s">
        <v>33</v>
      </c>
      <c r="T1238" t="s">
        <v>2989</v>
      </c>
    </row>
    <row r="1239" spans="1:20" ht="16.5" x14ac:dyDescent="0.45">
      <c r="A1239">
        <v>2238</v>
      </c>
      <c r="B1239" t="s">
        <v>2990</v>
      </c>
      <c r="C1239" t="s">
        <v>51</v>
      </c>
      <c r="D1239" t="s">
        <v>21</v>
      </c>
      <c r="E1239">
        <v>608213</v>
      </c>
      <c r="F1239" s="1">
        <v>45344</v>
      </c>
      <c r="G1239" s="1">
        <v>45345</v>
      </c>
      <c r="H1239">
        <v>624838</v>
      </c>
      <c r="I1239">
        <v>2953</v>
      </c>
      <c r="J1239" s="5">
        <v>1845146614</v>
      </c>
      <c r="K1239">
        <v>4</v>
      </c>
      <c r="L1239">
        <v>2</v>
      </c>
      <c r="M1239" t="s">
        <v>37</v>
      </c>
      <c r="N1239">
        <v>2005</v>
      </c>
      <c r="O1239">
        <v>10</v>
      </c>
      <c r="P1239">
        <v>3</v>
      </c>
      <c r="Q1239" t="s">
        <v>75</v>
      </c>
      <c r="R1239" t="s">
        <v>2991</v>
      </c>
      <c r="S1239" t="s">
        <v>25</v>
      </c>
      <c r="T1239" t="s">
        <v>2992</v>
      </c>
    </row>
    <row r="1240" spans="1:20" ht="16.5" x14ac:dyDescent="0.45">
      <c r="A1240">
        <v>2239</v>
      </c>
      <c r="B1240" t="s">
        <v>2993</v>
      </c>
      <c r="C1240" t="s">
        <v>47</v>
      </c>
      <c r="D1240" t="s">
        <v>21</v>
      </c>
      <c r="E1240">
        <v>373709</v>
      </c>
      <c r="F1240" s="1">
        <v>45569</v>
      </c>
      <c r="G1240" s="1">
        <v>45397</v>
      </c>
      <c r="H1240">
        <v>408599</v>
      </c>
      <c r="I1240">
        <v>1202</v>
      </c>
      <c r="J1240" s="5">
        <v>491135998</v>
      </c>
      <c r="K1240">
        <v>3</v>
      </c>
      <c r="L1240">
        <v>4</v>
      </c>
      <c r="M1240" t="s">
        <v>30</v>
      </c>
      <c r="N1240">
        <v>2016</v>
      </c>
      <c r="O1240">
        <v>9</v>
      </c>
      <c r="P1240">
        <v>1</v>
      </c>
      <c r="Q1240" t="s">
        <v>132</v>
      </c>
      <c r="R1240" t="s">
        <v>2994</v>
      </c>
      <c r="S1240" t="s">
        <v>25</v>
      </c>
      <c r="T1240" t="s">
        <v>2995</v>
      </c>
    </row>
    <row r="1241" spans="1:20" ht="16.5" x14ac:dyDescent="0.45">
      <c r="A1241">
        <v>2240</v>
      </c>
      <c r="B1241" t="s">
        <v>2996</v>
      </c>
      <c r="C1241" t="s">
        <v>47</v>
      </c>
      <c r="D1241" t="s">
        <v>21</v>
      </c>
      <c r="E1241">
        <v>402162</v>
      </c>
      <c r="F1241" s="1">
        <v>45574</v>
      </c>
      <c r="G1241" s="1">
        <v>45557</v>
      </c>
      <c r="H1241">
        <v>442588</v>
      </c>
      <c r="I1241">
        <v>1254</v>
      </c>
      <c r="J1241" s="5">
        <v>555005352</v>
      </c>
      <c r="K1241">
        <v>2</v>
      </c>
      <c r="L1241">
        <v>5</v>
      </c>
      <c r="M1241" t="s">
        <v>62</v>
      </c>
      <c r="N1241">
        <v>2014</v>
      </c>
      <c r="O1241">
        <v>3</v>
      </c>
      <c r="P1241">
        <v>2</v>
      </c>
      <c r="Q1241" t="s">
        <v>86</v>
      </c>
      <c r="R1241" t="s">
        <v>2997</v>
      </c>
      <c r="S1241" t="s">
        <v>25</v>
      </c>
      <c r="T1241" t="s">
        <v>1286</v>
      </c>
    </row>
    <row r="1242" spans="1:20" ht="16.5" x14ac:dyDescent="0.45">
      <c r="A1242">
        <v>2241</v>
      </c>
      <c r="B1242" t="s">
        <v>2998</v>
      </c>
      <c r="C1242" t="s">
        <v>47</v>
      </c>
      <c r="D1242" t="s">
        <v>29</v>
      </c>
      <c r="E1242">
        <v>893552</v>
      </c>
      <c r="F1242" s="1">
        <v>45470</v>
      </c>
      <c r="G1242" s="1"/>
      <c r="I1242">
        <v>2960</v>
      </c>
      <c r="K1242">
        <v>4</v>
      </c>
      <c r="L1242">
        <v>4</v>
      </c>
      <c r="M1242" t="s">
        <v>62</v>
      </c>
      <c r="N1242">
        <v>2018</v>
      </c>
      <c r="O1242">
        <v>5</v>
      </c>
      <c r="P1242">
        <v>4</v>
      </c>
      <c r="Q1242" t="s">
        <v>38</v>
      </c>
      <c r="R1242" t="s">
        <v>2999</v>
      </c>
      <c r="S1242" t="s">
        <v>33</v>
      </c>
      <c r="T1242" t="s">
        <v>1141</v>
      </c>
    </row>
    <row r="1243" spans="1:20" ht="16.5" x14ac:dyDescent="0.45">
      <c r="A1243">
        <v>2242</v>
      </c>
      <c r="B1243" t="s">
        <v>3000</v>
      </c>
      <c r="C1243" t="s">
        <v>28</v>
      </c>
      <c r="D1243" t="s">
        <v>29</v>
      </c>
      <c r="E1243">
        <v>613698</v>
      </c>
      <c r="F1243" s="1">
        <v>45529</v>
      </c>
      <c r="G1243" s="1"/>
      <c r="I1243">
        <v>2201</v>
      </c>
      <c r="K1243">
        <v>4</v>
      </c>
      <c r="L1243">
        <v>4</v>
      </c>
      <c r="M1243" t="s">
        <v>30</v>
      </c>
      <c r="N1243">
        <v>2007</v>
      </c>
      <c r="O1243">
        <v>8</v>
      </c>
      <c r="P1243">
        <v>4</v>
      </c>
      <c r="Q1243" t="s">
        <v>75</v>
      </c>
      <c r="R1243" t="s">
        <v>3001</v>
      </c>
      <c r="S1243" t="s">
        <v>33</v>
      </c>
      <c r="T1243" t="s">
        <v>3002</v>
      </c>
    </row>
    <row r="1244" spans="1:20" ht="16.5" x14ac:dyDescent="0.45">
      <c r="A1244">
        <v>2243</v>
      </c>
      <c r="B1244" t="s">
        <v>3003</v>
      </c>
      <c r="C1244" t="s">
        <v>28</v>
      </c>
      <c r="D1244" t="s">
        <v>29</v>
      </c>
      <c r="E1244">
        <v>444908</v>
      </c>
      <c r="F1244" s="1">
        <v>45456</v>
      </c>
      <c r="G1244" s="1">
        <v>45540</v>
      </c>
      <c r="H1244">
        <v>460316</v>
      </c>
      <c r="I1244">
        <v>3919</v>
      </c>
      <c r="J1244" s="5">
        <v>1803978404</v>
      </c>
      <c r="K1244">
        <v>2</v>
      </c>
      <c r="L1244">
        <v>4</v>
      </c>
      <c r="M1244" t="s">
        <v>22</v>
      </c>
      <c r="N1244">
        <v>2002</v>
      </c>
      <c r="P1244">
        <v>3</v>
      </c>
      <c r="Q1244" t="s">
        <v>86</v>
      </c>
      <c r="R1244" t="s">
        <v>3004</v>
      </c>
      <c r="S1244" t="s">
        <v>25</v>
      </c>
      <c r="T1244" t="s">
        <v>241</v>
      </c>
    </row>
    <row r="1245" spans="1:20" ht="16.5" x14ac:dyDescent="0.45">
      <c r="A1245">
        <v>2244</v>
      </c>
      <c r="B1245" t="s">
        <v>3005</v>
      </c>
      <c r="C1245" t="s">
        <v>51</v>
      </c>
      <c r="D1245" t="s">
        <v>29</v>
      </c>
      <c r="E1245">
        <v>698935</v>
      </c>
      <c r="F1245" s="1">
        <v>45325</v>
      </c>
      <c r="G1245" s="1"/>
      <c r="I1245">
        <v>2938</v>
      </c>
      <c r="K1245">
        <v>3</v>
      </c>
      <c r="L1245">
        <v>3</v>
      </c>
      <c r="M1245" t="s">
        <v>30</v>
      </c>
      <c r="N1245">
        <v>2015</v>
      </c>
      <c r="O1245">
        <v>4</v>
      </c>
      <c r="P1245">
        <v>1</v>
      </c>
      <c r="Q1245" t="s">
        <v>93</v>
      </c>
      <c r="R1245" t="s">
        <v>3006</v>
      </c>
      <c r="S1245" t="s">
        <v>33</v>
      </c>
      <c r="T1245" t="s">
        <v>493</v>
      </c>
    </row>
    <row r="1246" spans="1:20" ht="16.5" x14ac:dyDescent="0.45">
      <c r="A1246">
        <v>2245</v>
      </c>
      <c r="B1246" t="s">
        <v>3007</v>
      </c>
      <c r="C1246" t="s">
        <v>28</v>
      </c>
      <c r="D1246" t="s">
        <v>42</v>
      </c>
      <c r="E1246">
        <v>881346</v>
      </c>
      <c r="F1246" s="1">
        <v>45549</v>
      </c>
      <c r="G1246" s="1">
        <v>45621</v>
      </c>
      <c r="H1246">
        <v>896358</v>
      </c>
      <c r="I1246">
        <v>1279</v>
      </c>
      <c r="J1246" s="5">
        <v>1146441882</v>
      </c>
      <c r="K1246">
        <v>3</v>
      </c>
      <c r="L1246">
        <v>5</v>
      </c>
      <c r="M1246" t="s">
        <v>22</v>
      </c>
      <c r="N1246">
        <v>2001</v>
      </c>
      <c r="P1246">
        <v>1</v>
      </c>
      <c r="Q1246" t="s">
        <v>86</v>
      </c>
      <c r="R1246" t="s">
        <v>3008</v>
      </c>
      <c r="S1246" t="s">
        <v>25</v>
      </c>
      <c r="T1246" t="s">
        <v>137</v>
      </c>
    </row>
    <row r="1247" spans="1:20" ht="16.5" x14ac:dyDescent="0.45">
      <c r="A1247">
        <v>2246</v>
      </c>
      <c r="B1247" t="s">
        <v>3009</v>
      </c>
      <c r="C1247" t="s">
        <v>36</v>
      </c>
      <c r="D1247" t="s">
        <v>42</v>
      </c>
      <c r="E1247">
        <v>951158</v>
      </c>
      <c r="F1247" s="1">
        <v>45375</v>
      </c>
      <c r="G1247" s="1"/>
      <c r="I1247">
        <v>3754</v>
      </c>
      <c r="K1247">
        <v>6</v>
      </c>
      <c r="L1247">
        <v>2</v>
      </c>
      <c r="M1247" t="s">
        <v>62</v>
      </c>
      <c r="N1247">
        <v>2012</v>
      </c>
      <c r="O1247">
        <v>2</v>
      </c>
      <c r="P1247">
        <v>2</v>
      </c>
      <c r="Q1247" t="s">
        <v>43</v>
      </c>
      <c r="R1247" t="s">
        <v>2971</v>
      </c>
      <c r="S1247" t="s">
        <v>33</v>
      </c>
      <c r="T1247" t="s">
        <v>91</v>
      </c>
    </row>
    <row r="1248" spans="1:20" ht="16.5" x14ac:dyDescent="0.45">
      <c r="A1248">
        <v>2247</v>
      </c>
      <c r="B1248" t="s">
        <v>3010</v>
      </c>
      <c r="C1248" t="s">
        <v>28</v>
      </c>
      <c r="D1248" t="s">
        <v>29</v>
      </c>
      <c r="E1248">
        <v>885331</v>
      </c>
      <c r="F1248" s="1">
        <v>45449</v>
      </c>
      <c r="G1248" s="1"/>
      <c r="I1248">
        <v>3545</v>
      </c>
      <c r="K1248">
        <v>5</v>
      </c>
      <c r="L1248">
        <v>5</v>
      </c>
      <c r="M1248" t="s">
        <v>22</v>
      </c>
      <c r="N1248">
        <v>2005</v>
      </c>
      <c r="P1248">
        <v>4</v>
      </c>
      <c r="Q1248" t="s">
        <v>132</v>
      </c>
      <c r="R1248" t="s">
        <v>3011</v>
      </c>
      <c r="S1248" t="s">
        <v>33</v>
      </c>
      <c r="T1248" t="s">
        <v>180</v>
      </c>
    </row>
    <row r="1249" spans="1:20" ht="16.5" x14ac:dyDescent="0.45">
      <c r="A1249">
        <v>2248</v>
      </c>
      <c r="B1249" t="s">
        <v>3012</v>
      </c>
      <c r="C1249" t="s">
        <v>20</v>
      </c>
      <c r="D1249" t="s">
        <v>42</v>
      </c>
      <c r="E1249">
        <v>360998</v>
      </c>
      <c r="F1249" s="1">
        <v>45601</v>
      </c>
      <c r="G1249" s="1"/>
      <c r="I1249">
        <v>3911</v>
      </c>
      <c r="K1249">
        <v>6</v>
      </c>
      <c r="L1249">
        <v>4</v>
      </c>
      <c r="M1249" t="s">
        <v>62</v>
      </c>
      <c r="N1249">
        <v>2022</v>
      </c>
      <c r="O1249">
        <v>3</v>
      </c>
      <c r="P1249">
        <v>4</v>
      </c>
      <c r="Q1249" t="s">
        <v>23</v>
      </c>
      <c r="R1249" t="s">
        <v>3013</v>
      </c>
      <c r="S1249" t="s">
        <v>33</v>
      </c>
      <c r="T1249" t="s">
        <v>388</v>
      </c>
    </row>
    <row r="1250" spans="1:20" ht="16.5" x14ac:dyDescent="0.45">
      <c r="A1250">
        <v>2249</v>
      </c>
      <c r="B1250" t="s">
        <v>3014</v>
      </c>
      <c r="C1250" t="s">
        <v>28</v>
      </c>
      <c r="D1250" t="s">
        <v>29</v>
      </c>
      <c r="E1250">
        <v>807714</v>
      </c>
      <c r="F1250" s="1">
        <v>45397</v>
      </c>
      <c r="G1250" s="1">
        <v>45323</v>
      </c>
      <c r="H1250">
        <v>854425</v>
      </c>
      <c r="I1250">
        <v>4846</v>
      </c>
      <c r="J1250" s="5">
        <v>4140543550</v>
      </c>
      <c r="K1250">
        <v>2</v>
      </c>
      <c r="L1250">
        <v>4</v>
      </c>
      <c r="M1250" t="s">
        <v>30</v>
      </c>
      <c r="N1250">
        <v>2023</v>
      </c>
      <c r="O1250">
        <v>1</v>
      </c>
      <c r="P1250">
        <v>3</v>
      </c>
      <c r="Q1250" t="s">
        <v>43</v>
      </c>
      <c r="R1250" t="s">
        <v>3015</v>
      </c>
      <c r="S1250" t="s">
        <v>25</v>
      </c>
      <c r="T1250" t="s">
        <v>70</v>
      </c>
    </row>
    <row r="1251" spans="1:20" ht="16.5" x14ac:dyDescent="0.45">
      <c r="A1251">
        <v>2250</v>
      </c>
      <c r="B1251" t="s">
        <v>3016</v>
      </c>
      <c r="C1251" t="s">
        <v>47</v>
      </c>
      <c r="D1251" t="s">
        <v>42</v>
      </c>
      <c r="E1251">
        <v>357677</v>
      </c>
      <c r="F1251" s="1">
        <v>45341</v>
      </c>
      <c r="G1251" s="1">
        <v>45282</v>
      </c>
      <c r="H1251">
        <v>404659</v>
      </c>
      <c r="I1251">
        <v>4883</v>
      </c>
      <c r="J1251" s="5">
        <v>1975949897</v>
      </c>
      <c r="K1251">
        <v>5</v>
      </c>
      <c r="L1251">
        <v>2</v>
      </c>
      <c r="M1251" t="s">
        <v>22</v>
      </c>
      <c r="N1251">
        <v>2023</v>
      </c>
      <c r="P1251">
        <v>3</v>
      </c>
      <c r="Q1251" t="s">
        <v>162</v>
      </c>
      <c r="R1251" t="s">
        <v>3017</v>
      </c>
      <c r="S1251" t="s">
        <v>25</v>
      </c>
      <c r="T1251" t="s">
        <v>3018</v>
      </c>
    </row>
    <row r="1252" spans="1:20" ht="16.5" x14ac:dyDescent="0.45">
      <c r="A1252">
        <v>2251</v>
      </c>
      <c r="B1252" t="s">
        <v>3019</v>
      </c>
      <c r="C1252" t="s">
        <v>20</v>
      </c>
      <c r="D1252" t="s">
        <v>29</v>
      </c>
      <c r="E1252">
        <v>367653</v>
      </c>
      <c r="F1252" s="1">
        <v>45555</v>
      </c>
      <c r="G1252" s="1"/>
      <c r="I1252">
        <v>3994</v>
      </c>
      <c r="K1252">
        <v>5</v>
      </c>
      <c r="L1252">
        <v>5</v>
      </c>
      <c r="M1252" t="s">
        <v>30</v>
      </c>
      <c r="N1252">
        <v>2022</v>
      </c>
      <c r="O1252">
        <v>9</v>
      </c>
      <c r="P1252">
        <v>1</v>
      </c>
      <c r="Q1252" t="s">
        <v>38</v>
      </c>
      <c r="R1252" t="s">
        <v>3020</v>
      </c>
      <c r="S1252" t="s">
        <v>33</v>
      </c>
      <c r="T1252" t="s">
        <v>1879</v>
      </c>
    </row>
    <row r="1253" spans="1:20" ht="16.5" x14ac:dyDescent="0.45">
      <c r="A1253">
        <v>2252</v>
      </c>
      <c r="B1253" t="s">
        <v>3021</v>
      </c>
      <c r="C1253" t="s">
        <v>47</v>
      </c>
      <c r="D1253" t="s">
        <v>29</v>
      </c>
      <c r="E1253">
        <v>593162</v>
      </c>
      <c r="F1253" s="1">
        <v>45447</v>
      </c>
      <c r="G1253" s="1">
        <v>45569</v>
      </c>
      <c r="H1253">
        <v>621067</v>
      </c>
      <c r="I1253">
        <v>4564</v>
      </c>
      <c r="J1253" s="5">
        <v>2834549788</v>
      </c>
      <c r="K1253">
        <v>2</v>
      </c>
      <c r="L1253">
        <v>4</v>
      </c>
      <c r="M1253" t="s">
        <v>37</v>
      </c>
      <c r="N1253">
        <v>2011</v>
      </c>
      <c r="O1253">
        <v>1</v>
      </c>
      <c r="P1253">
        <v>1</v>
      </c>
      <c r="Q1253" t="s">
        <v>162</v>
      </c>
      <c r="R1253" t="s">
        <v>3022</v>
      </c>
      <c r="S1253" t="s">
        <v>25</v>
      </c>
      <c r="T1253" t="s">
        <v>70</v>
      </c>
    </row>
    <row r="1254" spans="1:20" ht="16.5" x14ac:dyDescent="0.45">
      <c r="A1254">
        <v>2253</v>
      </c>
      <c r="B1254" t="s">
        <v>3023</v>
      </c>
      <c r="C1254" t="s">
        <v>20</v>
      </c>
      <c r="D1254" t="s">
        <v>42</v>
      </c>
      <c r="E1254">
        <v>462370</v>
      </c>
      <c r="F1254" s="1">
        <v>45397</v>
      </c>
      <c r="G1254" s="1">
        <v>45613</v>
      </c>
      <c r="H1254">
        <v>507663</v>
      </c>
      <c r="I1254">
        <v>3150</v>
      </c>
      <c r="J1254" s="5">
        <v>1599138450</v>
      </c>
      <c r="K1254">
        <v>4</v>
      </c>
      <c r="L1254">
        <v>3</v>
      </c>
      <c r="M1254" t="s">
        <v>30</v>
      </c>
      <c r="N1254">
        <v>2006</v>
      </c>
      <c r="O1254">
        <v>10</v>
      </c>
      <c r="P1254">
        <v>2</v>
      </c>
      <c r="Q1254" t="s">
        <v>23</v>
      </c>
      <c r="R1254" t="s">
        <v>3024</v>
      </c>
      <c r="S1254" t="s">
        <v>25</v>
      </c>
      <c r="T1254" t="s">
        <v>460</v>
      </c>
    </row>
    <row r="1255" spans="1:20" ht="16.5" x14ac:dyDescent="0.45">
      <c r="A1255">
        <v>2254</v>
      </c>
      <c r="B1255" t="s">
        <v>3025</v>
      </c>
      <c r="C1255" t="s">
        <v>36</v>
      </c>
      <c r="D1255" t="s">
        <v>29</v>
      </c>
      <c r="E1255">
        <v>680912</v>
      </c>
      <c r="F1255" s="1">
        <v>45405</v>
      </c>
      <c r="G1255" s="1"/>
      <c r="I1255">
        <v>2224</v>
      </c>
      <c r="K1255">
        <v>6</v>
      </c>
      <c r="L1255">
        <v>4</v>
      </c>
      <c r="M1255" t="s">
        <v>30</v>
      </c>
      <c r="N1255">
        <v>2005</v>
      </c>
      <c r="O1255">
        <v>5</v>
      </c>
      <c r="P1255">
        <v>2</v>
      </c>
      <c r="Q1255" t="s">
        <v>93</v>
      </c>
      <c r="R1255" t="s">
        <v>3026</v>
      </c>
      <c r="S1255" t="s">
        <v>33</v>
      </c>
      <c r="T1255" t="s">
        <v>1740</v>
      </c>
    </row>
    <row r="1256" spans="1:20" ht="16.5" x14ac:dyDescent="0.45">
      <c r="A1256">
        <v>2255</v>
      </c>
      <c r="B1256" t="s">
        <v>3027</v>
      </c>
      <c r="C1256" t="s">
        <v>20</v>
      </c>
      <c r="D1256" t="s">
        <v>29</v>
      </c>
      <c r="E1256">
        <v>631407</v>
      </c>
      <c r="F1256" s="1">
        <v>45535</v>
      </c>
      <c r="G1256" s="1"/>
      <c r="I1256">
        <v>2732</v>
      </c>
      <c r="K1256">
        <v>2</v>
      </c>
      <c r="L1256">
        <v>3</v>
      </c>
      <c r="M1256" t="s">
        <v>30</v>
      </c>
      <c r="N1256">
        <v>2010</v>
      </c>
      <c r="O1256">
        <v>8</v>
      </c>
      <c r="P1256">
        <v>4</v>
      </c>
      <c r="Q1256" t="s">
        <v>38</v>
      </c>
      <c r="R1256" t="s">
        <v>3028</v>
      </c>
      <c r="S1256" t="s">
        <v>33</v>
      </c>
      <c r="T1256" t="s">
        <v>122</v>
      </c>
    </row>
    <row r="1257" spans="1:20" ht="16.5" x14ac:dyDescent="0.45">
      <c r="A1257">
        <v>2256</v>
      </c>
      <c r="B1257" t="s">
        <v>3029</v>
      </c>
      <c r="C1257" t="s">
        <v>47</v>
      </c>
      <c r="D1257" t="s">
        <v>29</v>
      </c>
      <c r="E1257">
        <v>530566</v>
      </c>
      <c r="F1257" s="1">
        <v>45560</v>
      </c>
      <c r="G1257" s="1">
        <v>45621</v>
      </c>
      <c r="H1257">
        <v>540720</v>
      </c>
      <c r="I1257">
        <v>4928</v>
      </c>
      <c r="J1257" s="5">
        <v>2664668160</v>
      </c>
      <c r="K1257">
        <v>2</v>
      </c>
      <c r="L1257">
        <v>4</v>
      </c>
      <c r="M1257" t="s">
        <v>37</v>
      </c>
      <c r="N1257">
        <v>2021</v>
      </c>
      <c r="O1257">
        <v>8</v>
      </c>
      <c r="P1257">
        <v>1</v>
      </c>
      <c r="Q1257" t="s">
        <v>58</v>
      </c>
      <c r="R1257" t="s">
        <v>3030</v>
      </c>
      <c r="S1257" t="s">
        <v>25</v>
      </c>
      <c r="T1257" t="s">
        <v>3031</v>
      </c>
    </row>
    <row r="1258" spans="1:20" ht="16.5" x14ac:dyDescent="0.45">
      <c r="A1258">
        <v>2257</v>
      </c>
      <c r="B1258" t="s">
        <v>3032</v>
      </c>
      <c r="C1258" t="s">
        <v>51</v>
      </c>
      <c r="D1258" t="s">
        <v>29</v>
      </c>
      <c r="E1258">
        <v>437432</v>
      </c>
      <c r="F1258" s="1">
        <v>45541</v>
      </c>
      <c r="G1258" s="1"/>
      <c r="I1258">
        <v>2531</v>
      </c>
      <c r="K1258">
        <v>3</v>
      </c>
      <c r="L1258">
        <v>4</v>
      </c>
      <c r="M1258" t="s">
        <v>30</v>
      </c>
      <c r="N1258">
        <v>2001</v>
      </c>
      <c r="O1258">
        <v>6</v>
      </c>
      <c r="P1258">
        <v>2</v>
      </c>
      <c r="Q1258" t="s">
        <v>38</v>
      </c>
      <c r="R1258" t="s">
        <v>3033</v>
      </c>
      <c r="S1258" t="s">
        <v>33</v>
      </c>
      <c r="T1258" t="s">
        <v>3034</v>
      </c>
    </row>
    <row r="1259" spans="1:20" ht="16.5" x14ac:dyDescent="0.45">
      <c r="A1259">
        <v>2258</v>
      </c>
      <c r="B1259" t="s">
        <v>3035</v>
      </c>
      <c r="C1259" t="s">
        <v>20</v>
      </c>
      <c r="D1259" t="s">
        <v>29</v>
      </c>
      <c r="E1259">
        <v>599199</v>
      </c>
      <c r="F1259" s="1">
        <v>45344</v>
      </c>
      <c r="G1259" s="1">
        <v>45580</v>
      </c>
      <c r="H1259">
        <v>636814</v>
      </c>
      <c r="I1259">
        <v>3778</v>
      </c>
      <c r="J1259" s="5">
        <v>2405883292</v>
      </c>
      <c r="K1259">
        <v>4</v>
      </c>
      <c r="L1259">
        <v>5</v>
      </c>
      <c r="M1259" t="s">
        <v>37</v>
      </c>
      <c r="N1259">
        <v>2019</v>
      </c>
      <c r="O1259">
        <v>2</v>
      </c>
      <c r="P1259">
        <v>1</v>
      </c>
      <c r="Q1259" t="s">
        <v>75</v>
      </c>
      <c r="R1259" t="s">
        <v>319</v>
      </c>
      <c r="S1259" t="s">
        <v>25</v>
      </c>
      <c r="T1259" t="s">
        <v>3036</v>
      </c>
    </row>
    <row r="1260" spans="1:20" ht="16.5" x14ac:dyDescent="0.45">
      <c r="A1260">
        <v>2259</v>
      </c>
      <c r="B1260" t="s">
        <v>3037</v>
      </c>
      <c r="C1260" t="s">
        <v>36</v>
      </c>
      <c r="D1260" t="s">
        <v>29</v>
      </c>
      <c r="E1260">
        <v>412412</v>
      </c>
      <c r="F1260" s="1">
        <v>45623</v>
      </c>
      <c r="G1260" s="1">
        <v>45310</v>
      </c>
      <c r="H1260">
        <v>430393</v>
      </c>
      <c r="I1260">
        <v>3348</v>
      </c>
      <c r="J1260" s="5">
        <v>1440955764</v>
      </c>
      <c r="K1260">
        <v>5</v>
      </c>
      <c r="L1260">
        <v>3</v>
      </c>
      <c r="M1260" t="s">
        <v>30</v>
      </c>
      <c r="N1260">
        <v>2000</v>
      </c>
      <c r="O1260">
        <v>10</v>
      </c>
      <c r="P1260">
        <v>4</v>
      </c>
      <c r="Q1260" t="s">
        <v>58</v>
      </c>
      <c r="R1260" t="s">
        <v>3038</v>
      </c>
      <c r="S1260" t="s">
        <v>25</v>
      </c>
      <c r="T1260" t="s">
        <v>1527</v>
      </c>
    </row>
    <row r="1261" spans="1:20" ht="16.5" x14ac:dyDescent="0.45">
      <c r="A1261">
        <v>2260</v>
      </c>
      <c r="B1261" t="s">
        <v>3039</v>
      </c>
      <c r="C1261" t="s">
        <v>28</v>
      </c>
      <c r="D1261" t="s">
        <v>21</v>
      </c>
      <c r="E1261">
        <v>912131</v>
      </c>
      <c r="F1261" s="1">
        <v>45391</v>
      </c>
      <c r="G1261" s="1"/>
      <c r="I1261">
        <v>1529</v>
      </c>
      <c r="K1261">
        <v>6</v>
      </c>
      <c r="L1261">
        <v>4</v>
      </c>
      <c r="M1261" t="s">
        <v>30</v>
      </c>
      <c r="N1261">
        <v>2023</v>
      </c>
      <c r="O1261">
        <v>1</v>
      </c>
      <c r="P1261">
        <v>3</v>
      </c>
      <c r="Q1261" t="s">
        <v>43</v>
      </c>
      <c r="R1261" t="s">
        <v>3040</v>
      </c>
      <c r="S1261" t="s">
        <v>33</v>
      </c>
      <c r="T1261" t="s">
        <v>137</v>
      </c>
    </row>
    <row r="1262" spans="1:20" ht="16.5" x14ac:dyDescent="0.45">
      <c r="A1262">
        <v>2261</v>
      </c>
      <c r="B1262" t="s">
        <v>3041</v>
      </c>
      <c r="C1262" t="s">
        <v>51</v>
      </c>
      <c r="D1262" t="s">
        <v>21</v>
      </c>
      <c r="E1262">
        <v>805602</v>
      </c>
      <c r="F1262" s="1">
        <v>45509</v>
      </c>
      <c r="G1262" s="1"/>
      <c r="I1262">
        <v>4003</v>
      </c>
      <c r="K1262">
        <v>2</v>
      </c>
      <c r="L1262">
        <v>3</v>
      </c>
      <c r="M1262" t="s">
        <v>22</v>
      </c>
      <c r="N1262">
        <v>2023</v>
      </c>
      <c r="P1262">
        <v>2</v>
      </c>
      <c r="Q1262" t="s">
        <v>58</v>
      </c>
      <c r="R1262" t="s">
        <v>3042</v>
      </c>
      <c r="S1262" t="s">
        <v>33</v>
      </c>
      <c r="T1262" t="s">
        <v>128</v>
      </c>
    </row>
    <row r="1263" spans="1:20" ht="16.5" x14ac:dyDescent="0.45">
      <c r="A1263">
        <v>2262</v>
      </c>
      <c r="B1263" t="s">
        <v>3043</v>
      </c>
      <c r="C1263" t="s">
        <v>51</v>
      </c>
      <c r="D1263" t="s">
        <v>21</v>
      </c>
      <c r="E1263">
        <v>680689</v>
      </c>
      <c r="F1263" s="1">
        <v>45347</v>
      </c>
      <c r="G1263" s="1"/>
      <c r="I1263">
        <v>1385</v>
      </c>
      <c r="K1263">
        <v>3</v>
      </c>
      <c r="L1263">
        <v>2</v>
      </c>
      <c r="M1263" t="s">
        <v>22</v>
      </c>
      <c r="N1263">
        <v>2015</v>
      </c>
      <c r="P1263">
        <v>1</v>
      </c>
      <c r="Q1263" t="s">
        <v>38</v>
      </c>
      <c r="R1263" t="s">
        <v>3044</v>
      </c>
      <c r="S1263" t="s">
        <v>33</v>
      </c>
      <c r="T1263" t="s">
        <v>2109</v>
      </c>
    </row>
    <row r="1264" spans="1:20" ht="16.5" x14ac:dyDescent="0.45">
      <c r="A1264">
        <v>2263</v>
      </c>
      <c r="B1264" t="s">
        <v>3045</v>
      </c>
      <c r="C1264" t="s">
        <v>36</v>
      </c>
      <c r="D1264" t="s">
        <v>42</v>
      </c>
      <c r="E1264">
        <v>485041</v>
      </c>
      <c r="F1264" s="1">
        <v>45351</v>
      </c>
      <c r="G1264" s="1">
        <v>45422</v>
      </c>
      <c r="H1264">
        <v>528288</v>
      </c>
      <c r="I1264">
        <v>3754</v>
      </c>
      <c r="J1264" s="5">
        <v>1983193152</v>
      </c>
      <c r="K1264">
        <v>5</v>
      </c>
      <c r="L1264">
        <v>4</v>
      </c>
      <c r="M1264" t="s">
        <v>22</v>
      </c>
      <c r="N1264">
        <v>2022</v>
      </c>
      <c r="P1264">
        <v>3</v>
      </c>
      <c r="Q1264" t="s">
        <v>31</v>
      </c>
      <c r="R1264" t="s">
        <v>3046</v>
      </c>
      <c r="S1264" t="s">
        <v>25</v>
      </c>
      <c r="T1264" t="s">
        <v>3047</v>
      </c>
    </row>
    <row r="1265" spans="1:20" ht="16.5" x14ac:dyDescent="0.45">
      <c r="A1265">
        <v>2264</v>
      </c>
      <c r="B1265" t="s">
        <v>3048</v>
      </c>
      <c r="C1265" t="s">
        <v>47</v>
      </c>
      <c r="D1265" t="s">
        <v>21</v>
      </c>
      <c r="E1265">
        <v>745863</v>
      </c>
      <c r="F1265" s="1">
        <v>45456</v>
      </c>
      <c r="G1265" s="1">
        <v>45466</v>
      </c>
      <c r="H1265">
        <v>761684</v>
      </c>
      <c r="I1265">
        <v>1843</v>
      </c>
      <c r="J1265" s="5">
        <v>1403783612</v>
      </c>
      <c r="K1265">
        <v>2</v>
      </c>
      <c r="L1265">
        <v>3</v>
      </c>
      <c r="M1265" t="s">
        <v>22</v>
      </c>
      <c r="N1265">
        <v>2005</v>
      </c>
      <c r="P1265">
        <v>2</v>
      </c>
      <c r="Q1265" t="s">
        <v>23</v>
      </c>
      <c r="R1265" t="s">
        <v>3049</v>
      </c>
      <c r="S1265" t="s">
        <v>25</v>
      </c>
      <c r="T1265" t="s">
        <v>3050</v>
      </c>
    </row>
    <row r="1266" spans="1:20" ht="16.5" x14ac:dyDescent="0.45">
      <c r="A1266">
        <v>2265</v>
      </c>
      <c r="B1266" t="s">
        <v>3051</v>
      </c>
      <c r="C1266" t="s">
        <v>36</v>
      </c>
      <c r="D1266" t="s">
        <v>29</v>
      </c>
      <c r="E1266">
        <v>730245</v>
      </c>
      <c r="F1266" s="1">
        <v>45298</v>
      </c>
      <c r="G1266" s="1">
        <v>45536</v>
      </c>
      <c r="H1266">
        <v>776061</v>
      </c>
      <c r="I1266">
        <v>3010</v>
      </c>
      <c r="J1266" s="5">
        <v>2335943610</v>
      </c>
      <c r="K1266">
        <v>4</v>
      </c>
      <c r="L1266">
        <v>3</v>
      </c>
      <c r="M1266" t="s">
        <v>37</v>
      </c>
      <c r="N1266">
        <v>2008</v>
      </c>
      <c r="O1266">
        <v>10</v>
      </c>
      <c r="P1266">
        <v>1</v>
      </c>
      <c r="Q1266" t="s">
        <v>43</v>
      </c>
      <c r="R1266" t="s">
        <v>3052</v>
      </c>
      <c r="S1266" t="s">
        <v>25</v>
      </c>
      <c r="T1266" t="s">
        <v>372</v>
      </c>
    </row>
    <row r="1267" spans="1:20" ht="16.5" x14ac:dyDescent="0.45">
      <c r="A1267">
        <v>2266</v>
      </c>
      <c r="B1267" t="s">
        <v>3053</v>
      </c>
      <c r="C1267" t="s">
        <v>51</v>
      </c>
      <c r="D1267" t="s">
        <v>21</v>
      </c>
      <c r="E1267">
        <v>842141</v>
      </c>
      <c r="F1267" s="1">
        <v>45534</v>
      </c>
      <c r="G1267" s="1">
        <v>45565</v>
      </c>
      <c r="H1267">
        <v>884272</v>
      </c>
      <c r="I1267">
        <v>4937</v>
      </c>
      <c r="J1267" s="5">
        <v>4365650864</v>
      </c>
      <c r="K1267">
        <v>5</v>
      </c>
      <c r="L1267">
        <v>2</v>
      </c>
      <c r="M1267" t="s">
        <v>37</v>
      </c>
      <c r="N1267">
        <v>2021</v>
      </c>
      <c r="O1267">
        <v>9</v>
      </c>
      <c r="P1267">
        <v>2</v>
      </c>
      <c r="Q1267" t="s">
        <v>23</v>
      </c>
      <c r="R1267" t="s">
        <v>3054</v>
      </c>
      <c r="S1267" t="s">
        <v>25</v>
      </c>
      <c r="T1267" t="s">
        <v>180</v>
      </c>
    </row>
    <row r="1268" spans="1:20" ht="16.5" x14ac:dyDescent="0.45">
      <c r="A1268">
        <v>2267</v>
      </c>
      <c r="B1268" t="s">
        <v>3055</v>
      </c>
      <c r="C1268" t="s">
        <v>36</v>
      </c>
      <c r="D1268" t="s">
        <v>29</v>
      </c>
      <c r="E1268">
        <v>355360</v>
      </c>
      <c r="F1268" s="1">
        <v>45505</v>
      </c>
      <c r="G1268" s="1">
        <v>45494</v>
      </c>
      <c r="H1268">
        <v>381602</v>
      </c>
      <c r="I1268">
        <v>1036</v>
      </c>
      <c r="J1268" s="5">
        <v>395339672</v>
      </c>
      <c r="K1268">
        <v>2</v>
      </c>
      <c r="L1268">
        <v>3</v>
      </c>
      <c r="M1268" t="s">
        <v>37</v>
      </c>
      <c r="N1268">
        <v>2006</v>
      </c>
      <c r="O1268">
        <v>7</v>
      </c>
      <c r="P1268">
        <v>4</v>
      </c>
      <c r="Q1268" t="s">
        <v>93</v>
      </c>
      <c r="R1268" t="s">
        <v>3056</v>
      </c>
      <c r="S1268" t="s">
        <v>25</v>
      </c>
      <c r="T1268" t="s">
        <v>3057</v>
      </c>
    </row>
    <row r="1269" spans="1:20" ht="16.5" x14ac:dyDescent="0.45">
      <c r="A1269">
        <v>2268</v>
      </c>
      <c r="B1269" t="s">
        <v>3058</v>
      </c>
      <c r="C1269" t="s">
        <v>20</v>
      </c>
      <c r="D1269" t="s">
        <v>21</v>
      </c>
      <c r="E1269">
        <v>800336</v>
      </c>
      <c r="F1269" s="1">
        <v>45579</v>
      </c>
      <c r="G1269" s="1"/>
      <c r="I1269">
        <v>2664</v>
      </c>
      <c r="K1269">
        <v>4</v>
      </c>
      <c r="L1269">
        <v>5</v>
      </c>
      <c r="M1269" t="s">
        <v>62</v>
      </c>
      <c r="N1269">
        <v>2017</v>
      </c>
      <c r="O1269">
        <v>5</v>
      </c>
      <c r="P1269">
        <v>4</v>
      </c>
      <c r="Q1269" t="s">
        <v>58</v>
      </c>
      <c r="R1269" t="s">
        <v>3059</v>
      </c>
      <c r="S1269" t="s">
        <v>33</v>
      </c>
      <c r="T1269" t="s">
        <v>91</v>
      </c>
    </row>
    <row r="1270" spans="1:20" ht="16.5" x14ac:dyDescent="0.45">
      <c r="A1270">
        <v>2269</v>
      </c>
      <c r="B1270" t="s">
        <v>3060</v>
      </c>
      <c r="C1270" t="s">
        <v>36</v>
      </c>
      <c r="D1270" t="s">
        <v>42</v>
      </c>
      <c r="E1270">
        <v>344767</v>
      </c>
      <c r="F1270" s="1">
        <v>45527</v>
      </c>
      <c r="G1270" s="1">
        <v>45330</v>
      </c>
      <c r="H1270">
        <v>374702</v>
      </c>
      <c r="I1270">
        <v>1165</v>
      </c>
      <c r="J1270" s="5">
        <v>436527830</v>
      </c>
      <c r="K1270">
        <v>6</v>
      </c>
      <c r="L1270">
        <v>5</v>
      </c>
      <c r="M1270" t="s">
        <v>30</v>
      </c>
      <c r="N1270">
        <v>2019</v>
      </c>
      <c r="O1270">
        <v>10</v>
      </c>
      <c r="P1270">
        <v>3</v>
      </c>
      <c r="Q1270" t="s">
        <v>75</v>
      </c>
      <c r="R1270" t="s">
        <v>3061</v>
      </c>
      <c r="S1270" t="s">
        <v>25</v>
      </c>
      <c r="T1270" t="s">
        <v>253</v>
      </c>
    </row>
    <row r="1271" spans="1:20" ht="16.5" x14ac:dyDescent="0.45">
      <c r="A1271">
        <v>2270</v>
      </c>
      <c r="B1271" t="s">
        <v>3062</v>
      </c>
      <c r="C1271" t="s">
        <v>47</v>
      </c>
      <c r="D1271" t="s">
        <v>29</v>
      </c>
      <c r="E1271">
        <v>336491</v>
      </c>
      <c r="F1271" s="1">
        <v>45336</v>
      </c>
      <c r="G1271" s="1"/>
      <c r="I1271">
        <v>1108</v>
      </c>
      <c r="K1271">
        <v>6</v>
      </c>
      <c r="L1271">
        <v>2</v>
      </c>
      <c r="M1271" t="s">
        <v>30</v>
      </c>
      <c r="N1271">
        <v>2022</v>
      </c>
      <c r="O1271">
        <v>1</v>
      </c>
      <c r="P1271">
        <v>2</v>
      </c>
      <c r="Q1271" t="s">
        <v>31</v>
      </c>
      <c r="R1271" t="s">
        <v>3063</v>
      </c>
      <c r="S1271" t="s">
        <v>33</v>
      </c>
      <c r="T1271" t="s">
        <v>91</v>
      </c>
    </row>
    <row r="1272" spans="1:20" ht="16.5" x14ac:dyDescent="0.45">
      <c r="A1272">
        <v>2271</v>
      </c>
      <c r="B1272" t="s">
        <v>3064</v>
      </c>
      <c r="C1272" t="s">
        <v>51</v>
      </c>
      <c r="D1272" t="s">
        <v>29</v>
      </c>
      <c r="E1272">
        <v>542080</v>
      </c>
      <c r="F1272" s="1">
        <v>45396</v>
      </c>
      <c r="G1272" s="1">
        <v>45409</v>
      </c>
      <c r="H1272">
        <v>573447</v>
      </c>
      <c r="I1272">
        <v>2028</v>
      </c>
      <c r="J1272" s="5">
        <v>1162950516</v>
      </c>
      <c r="K1272">
        <v>2</v>
      </c>
      <c r="L1272">
        <v>3</v>
      </c>
      <c r="M1272" t="s">
        <v>30</v>
      </c>
      <c r="N1272">
        <v>2007</v>
      </c>
      <c r="O1272">
        <v>10</v>
      </c>
      <c r="P1272">
        <v>4</v>
      </c>
      <c r="Q1272" t="s">
        <v>23</v>
      </c>
      <c r="R1272" t="s">
        <v>3065</v>
      </c>
      <c r="S1272" t="s">
        <v>25</v>
      </c>
      <c r="T1272" t="s">
        <v>287</v>
      </c>
    </row>
    <row r="1273" spans="1:20" ht="16.5" x14ac:dyDescent="0.45">
      <c r="A1273">
        <v>2272</v>
      </c>
      <c r="B1273" t="s">
        <v>3066</v>
      </c>
      <c r="C1273" t="s">
        <v>51</v>
      </c>
      <c r="D1273" t="s">
        <v>42</v>
      </c>
      <c r="E1273">
        <v>779715</v>
      </c>
      <c r="F1273" s="1">
        <v>45340</v>
      </c>
      <c r="G1273" s="1"/>
      <c r="I1273">
        <v>2306</v>
      </c>
      <c r="K1273">
        <v>2</v>
      </c>
      <c r="L1273">
        <v>5</v>
      </c>
      <c r="M1273" t="s">
        <v>37</v>
      </c>
      <c r="N1273">
        <v>2019</v>
      </c>
      <c r="O1273">
        <v>6</v>
      </c>
      <c r="P1273">
        <v>1</v>
      </c>
      <c r="Q1273" t="s">
        <v>31</v>
      </c>
      <c r="R1273" t="s">
        <v>3067</v>
      </c>
      <c r="S1273" t="s">
        <v>33</v>
      </c>
      <c r="T1273" t="s">
        <v>236</v>
      </c>
    </row>
    <row r="1274" spans="1:20" ht="16.5" x14ac:dyDescent="0.45">
      <c r="A1274">
        <v>2273</v>
      </c>
      <c r="B1274" t="s">
        <v>3068</v>
      </c>
      <c r="C1274" t="s">
        <v>47</v>
      </c>
      <c r="D1274" t="s">
        <v>42</v>
      </c>
      <c r="E1274">
        <v>533344</v>
      </c>
      <c r="F1274" s="1">
        <v>45475</v>
      </c>
      <c r="G1274" s="1">
        <v>45302</v>
      </c>
      <c r="H1274">
        <v>560883</v>
      </c>
      <c r="I1274">
        <v>1562</v>
      </c>
      <c r="J1274" s="5">
        <v>876099246</v>
      </c>
      <c r="K1274">
        <v>3</v>
      </c>
      <c r="L1274">
        <v>4</v>
      </c>
      <c r="M1274" t="s">
        <v>37</v>
      </c>
      <c r="N1274">
        <v>2000</v>
      </c>
      <c r="O1274">
        <v>4</v>
      </c>
      <c r="P1274">
        <v>2</v>
      </c>
      <c r="Q1274" t="s">
        <v>75</v>
      </c>
      <c r="R1274" t="s">
        <v>3069</v>
      </c>
      <c r="S1274" t="s">
        <v>25</v>
      </c>
      <c r="T1274" t="s">
        <v>1090</v>
      </c>
    </row>
    <row r="1275" spans="1:20" ht="16.5" x14ac:dyDescent="0.45">
      <c r="A1275">
        <v>2274</v>
      </c>
      <c r="B1275" t="s">
        <v>3070</v>
      </c>
      <c r="C1275" t="s">
        <v>20</v>
      </c>
      <c r="D1275" t="s">
        <v>42</v>
      </c>
      <c r="E1275">
        <v>379241</v>
      </c>
      <c r="F1275" s="1">
        <v>45356</v>
      </c>
      <c r="G1275" s="1">
        <v>45412</v>
      </c>
      <c r="H1275">
        <v>396957</v>
      </c>
      <c r="I1275">
        <v>2119</v>
      </c>
      <c r="J1275" s="5">
        <v>841151883</v>
      </c>
      <c r="K1275">
        <v>6</v>
      </c>
      <c r="L1275">
        <v>3</v>
      </c>
      <c r="M1275" t="s">
        <v>22</v>
      </c>
      <c r="N1275">
        <v>2000</v>
      </c>
      <c r="P1275">
        <v>2</v>
      </c>
      <c r="Q1275" t="s">
        <v>23</v>
      </c>
      <c r="R1275" t="s">
        <v>3071</v>
      </c>
      <c r="S1275" t="s">
        <v>25</v>
      </c>
      <c r="T1275" t="s">
        <v>1103</v>
      </c>
    </row>
    <row r="1276" spans="1:20" ht="16.5" x14ac:dyDescent="0.45">
      <c r="A1276">
        <v>2275</v>
      </c>
      <c r="B1276" t="s">
        <v>3072</v>
      </c>
      <c r="C1276" t="s">
        <v>51</v>
      </c>
      <c r="D1276" t="s">
        <v>42</v>
      </c>
      <c r="E1276">
        <v>358579</v>
      </c>
      <c r="F1276" s="1">
        <v>45393</v>
      </c>
      <c r="G1276" s="1">
        <v>45596</v>
      </c>
      <c r="H1276">
        <v>396806</v>
      </c>
      <c r="I1276">
        <v>3765</v>
      </c>
      <c r="J1276" s="5">
        <v>1493974590</v>
      </c>
      <c r="K1276">
        <v>2</v>
      </c>
      <c r="L1276">
        <v>2</v>
      </c>
      <c r="M1276" t="s">
        <v>37</v>
      </c>
      <c r="N1276">
        <v>2005</v>
      </c>
      <c r="O1276">
        <v>9</v>
      </c>
      <c r="P1276">
        <v>3</v>
      </c>
      <c r="Q1276" t="s">
        <v>93</v>
      </c>
      <c r="R1276" t="s">
        <v>3073</v>
      </c>
      <c r="S1276" t="s">
        <v>25</v>
      </c>
      <c r="T1276" t="s">
        <v>512</v>
      </c>
    </row>
    <row r="1277" spans="1:20" ht="16.5" x14ac:dyDescent="0.45">
      <c r="A1277">
        <v>2276</v>
      </c>
      <c r="B1277" t="s">
        <v>3074</v>
      </c>
      <c r="C1277" t="s">
        <v>51</v>
      </c>
      <c r="D1277" t="s">
        <v>21</v>
      </c>
      <c r="E1277">
        <v>736750</v>
      </c>
      <c r="F1277" s="1">
        <v>45318</v>
      </c>
      <c r="G1277" s="1"/>
      <c r="I1277">
        <v>3128</v>
      </c>
      <c r="K1277">
        <v>2</v>
      </c>
      <c r="L1277">
        <v>2</v>
      </c>
      <c r="M1277" t="s">
        <v>37</v>
      </c>
      <c r="N1277">
        <v>2000</v>
      </c>
      <c r="O1277">
        <v>8</v>
      </c>
      <c r="P1277">
        <v>1</v>
      </c>
      <c r="Q1277" t="s">
        <v>93</v>
      </c>
      <c r="R1277" t="s">
        <v>3075</v>
      </c>
      <c r="S1277" t="s">
        <v>33</v>
      </c>
      <c r="T1277" t="s">
        <v>152</v>
      </c>
    </row>
    <row r="1278" spans="1:20" ht="16.5" x14ac:dyDescent="0.45">
      <c r="A1278">
        <v>2277</v>
      </c>
      <c r="B1278" t="s">
        <v>3076</v>
      </c>
      <c r="C1278" t="s">
        <v>47</v>
      </c>
      <c r="D1278" t="s">
        <v>21</v>
      </c>
      <c r="E1278">
        <v>914066</v>
      </c>
      <c r="F1278" s="1">
        <v>45376</v>
      </c>
      <c r="G1278" s="1"/>
      <c r="I1278">
        <v>3099</v>
      </c>
      <c r="K1278">
        <v>3</v>
      </c>
      <c r="L1278">
        <v>4</v>
      </c>
      <c r="M1278" t="s">
        <v>22</v>
      </c>
      <c r="N1278">
        <v>2009</v>
      </c>
      <c r="P1278">
        <v>3</v>
      </c>
      <c r="Q1278" t="s">
        <v>93</v>
      </c>
      <c r="R1278" t="s">
        <v>3077</v>
      </c>
      <c r="S1278" t="s">
        <v>33</v>
      </c>
      <c r="T1278" t="s">
        <v>180</v>
      </c>
    </row>
    <row r="1279" spans="1:20" ht="16.5" x14ac:dyDescent="0.45">
      <c r="A1279">
        <v>2278</v>
      </c>
      <c r="B1279" t="s">
        <v>3078</v>
      </c>
      <c r="C1279" t="s">
        <v>36</v>
      </c>
      <c r="D1279" t="s">
        <v>42</v>
      </c>
      <c r="E1279">
        <v>354051</v>
      </c>
      <c r="F1279" s="1">
        <v>45360</v>
      </c>
      <c r="G1279" s="1">
        <v>45587</v>
      </c>
      <c r="H1279">
        <v>399786</v>
      </c>
      <c r="I1279">
        <v>3854</v>
      </c>
      <c r="J1279" s="5">
        <v>1540775244</v>
      </c>
      <c r="K1279">
        <v>4</v>
      </c>
      <c r="L1279">
        <v>4</v>
      </c>
      <c r="M1279" t="s">
        <v>22</v>
      </c>
      <c r="N1279">
        <v>2007</v>
      </c>
      <c r="P1279">
        <v>3</v>
      </c>
      <c r="Q1279" t="s">
        <v>132</v>
      </c>
      <c r="R1279" t="s">
        <v>3079</v>
      </c>
      <c r="S1279" t="s">
        <v>25</v>
      </c>
      <c r="T1279" t="s">
        <v>2902</v>
      </c>
    </row>
    <row r="1280" spans="1:20" ht="16.5" x14ac:dyDescent="0.45">
      <c r="A1280">
        <v>2279</v>
      </c>
      <c r="B1280" t="s">
        <v>3080</v>
      </c>
      <c r="C1280" t="s">
        <v>51</v>
      </c>
      <c r="D1280" t="s">
        <v>42</v>
      </c>
      <c r="E1280">
        <v>365988</v>
      </c>
      <c r="F1280" s="1">
        <v>45286</v>
      </c>
      <c r="G1280" s="1">
        <v>45426</v>
      </c>
      <c r="H1280">
        <v>411281</v>
      </c>
      <c r="I1280">
        <v>1858</v>
      </c>
      <c r="J1280" s="5">
        <v>764160098</v>
      </c>
      <c r="K1280">
        <v>2</v>
      </c>
      <c r="L1280">
        <v>2</v>
      </c>
      <c r="M1280" t="s">
        <v>22</v>
      </c>
      <c r="N1280">
        <v>2001</v>
      </c>
      <c r="P1280">
        <v>4</v>
      </c>
      <c r="Q1280" t="s">
        <v>43</v>
      </c>
      <c r="R1280" t="s">
        <v>3081</v>
      </c>
      <c r="S1280" t="s">
        <v>25</v>
      </c>
      <c r="T1280" t="s">
        <v>3082</v>
      </c>
    </row>
    <row r="1281" spans="1:20" ht="16.5" x14ac:dyDescent="0.45">
      <c r="A1281">
        <v>2280</v>
      </c>
      <c r="B1281" t="s">
        <v>3083</v>
      </c>
      <c r="C1281" t="s">
        <v>20</v>
      </c>
      <c r="D1281" t="s">
        <v>29</v>
      </c>
      <c r="E1281">
        <v>445435</v>
      </c>
      <c r="F1281" s="1">
        <v>45589</v>
      </c>
      <c r="G1281" s="1">
        <v>45394</v>
      </c>
      <c r="H1281">
        <v>471935</v>
      </c>
      <c r="I1281">
        <v>2931</v>
      </c>
      <c r="J1281" s="5">
        <v>1383241485</v>
      </c>
      <c r="K1281">
        <v>4</v>
      </c>
      <c r="L1281">
        <v>4</v>
      </c>
      <c r="M1281" t="s">
        <v>30</v>
      </c>
      <c r="N1281">
        <v>2017</v>
      </c>
      <c r="O1281">
        <v>10</v>
      </c>
      <c r="P1281">
        <v>2</v>
      </c>
      <c r="Q1281" t="s">
        <v>31</v>
      </c>
      <c r="R1281" t="s">
        <v>3084</v>
      </c>
      <c r="S1281" t="s">
        <v>25</v>
      </c>
      <c r="T1281" t="s">
        <v>1062</v>
      </c>
    </row>
    <row r="1282" spans="1:20" ht="16.5" x14ac:dyDescent="0.45">
      <c r="A1282">
        <v>2281</v>
      </c>
      <c r="B1282" t="s">
        <v>3085</v>
      </c>
      <c r="C1282" t="s">
        <v>47</v>
      </c>
      <c r="D1282" t="s">
        <v>29</v>
      </c>
      <c r="E1282">
        <v>842885</v>
      </c>
      <c r="F1282" s="1">
        <v>45285</v>
      </c>
      <c r="G1282" s="1">
        <v>45584</v>
      </c>
      <c r="H1282">
        <v>863061</v>
      </c>
      <c r="I1282">
        <v>3367</v>
      </c>
      <c r="J1282" s="5">
        <v>2905926387</v>
      </c>
      <c r="K1282">
        <v>6</v>
      </c>
      <c r="L1282">
        <v>5</v>
      </c>
      <c r="M1282" t="s">
        <v>62</v>
      </c>
      <c r="N1282">
        <v>2015</v>
      </c>
      <c r="O1282">
        <v>4</v>
      </c>
      <c r="P1282">
        <v>4</v>
      </c>
      <c r="Q1282" t="s">
        <v>38</v>
      </c>
      <c r="R1282" t="s">
        <v>3086</v>
      </c>
      <c r="S1282" t="s">
        <v>25</v>
      </c>
      <c r="T1282" t="s">
        <v>3087</v>
      </c>
    </row>
    <row r="1283" spans="1:20" ht="16.5" x14ac:dyDescent="0.45">
      <c r="A1283">
        <v>2282</v>
      </c>
      <c r="B1283" t="s">
        <v>3088</v>
      </c>
      <c r="C1283" t="s">
        <v>20</v>
      </c>
      <c r="D1283" t="s">
        <v>29</v>
      </c>
      <c r="E1283">
        <v>934508</v>
      </c>
      <c r="F1283" s="1">
        <v>45382</v>
      </c>
      <c r="G1283" s="1"/>
      <c r="I1283">
        <v>2522</v>
      </c>
      <c r="K1283">
        <v>6</v>
      </c>
      <c r="L1283">
        <v>3</v>
      </c>
      <c r="M1283" t="s">
        <v>37</v>
      </c>
      <c r="N1283">
        <v>2009</v>
      </c>
      <c r="O1283">
        <v>10</v>
      </c>
      <c r="P1283">
        <v>3</v>
      </c>
      <c r="Q1283" t="s">
        <v>75</v>
      </c>
      <c r="R1283" t="s">
        <v>3089</v>
      </c>
      <c r="S1283" t="s">
        <v>33</v>
      </c>
      <c r="T1283" t="s">
        <v>515</v>
      </c>
    </row>
    <row r="1284" spans="1:20" ht="16.5" x14ac:dyDescent="0.45">
      <c r="A1284">
        <v>2283</v>
      </c>
      <c r="B1284" t="s">
        <v>3090</v>
      </c>
      <c r="C1284" t="s">
        <v>51</v>
      </c>
      <c r="D1284" t="s">
        <v>42</v>
      </c>
      <c r="E1284">
        <v>746663</v>
      </c>
      <c r="F1284" s="1">
        <v>45349</v>
      </c>
      <c r="G1284" s="1">
        <v>45518</v>
      </c>
      <c r="H1284">
        <v>792048</v>
      </c>
      <c r="I1284">
        <v>3569</v>
      </c>
      <c r="J1284" s="5">
        <v>2826819312</v>
      </c>
      <c r="K1284">
        <v>5</v>
      </c>
      <c r="L1284">
        <v>2</v>
      </c>
      <c r="M1284" t="s">
        <v>62</v>
      </c>
      <c r="N1284">
        <v>2014</v>
      </c>
      <c r="O1284">
        <v>3</v>
      </c>
      <c r="P1284">
        <v>2</v>
      </c>
      <c r="Q1284" t="s">
        <v>58</v>
      </c>
      <c r="R1284" t="s">
        <v>3091</v>
      </c>
      <c r="S1284" t="s">
        <v>25</v>
      </c>
      <c r="T1284" t="s">
        <v>3092</v>
      </c>
    </row>
    <row r="1285" spans="1:20" ht="16.5" x14ac:dyDescent="0.45">
      <c r="A1285">
        <v>2284</v>
      </c>
      <c r="B1285" t="s">
        <v>3093</v>
      </c>
      <c r="C1285" t="s">
        <v>47</v>
      </c>
      <c r="D1285" t="s">
        <v>29</v>
      </c>
      <c r="E1285">
        <v>730805</v>
      </c>
      <c r="F1285" s="1">
        <v>45280</v>
      </c>
      <c r="G1285" s="1">
        <v>45306</v>
      </c>
      <c r="H1285">
        <v>754249</v>
      </c>
      <c r="I1285">
        <v>1484</v>
      </c>
      <c r="J1285" s="5">
        <v>1119305516</v>
      </c>
      <c r="K1285">
        <v>2</v>
      </c>
      <c r="L1285">
        <v>2</v>
      </c>
      <c r="M1285" t="s">
        <v>22</v>
      </c>
      <c r="N1285">
        <v>2019</v>
      </c>
      <c r="P1285">
        <v>4</v>
      </c>
      <c r="Q1285" t="s">
        <v>43</v>
      </c>
      <c r="R1285" t="s">
        <v>3094</v>
      </c>
      <c r="S1285" t="s">
        <v>25</v>
      </c>
      <c r="T1285" t="s">
        <v>3095</v>
      </c>
    </row>
    <row r="1286" spans="1:20" ht="16.5" x14ac:dyDescent="0.45">
      <c r="A1286">
        <v>2285</v>
      </c>
      <c r="B1286" t="s">
        <v>3096</v>
      </c>
      <c r="C1286" t="s">
        <v>36</v>
      </c>
      <c r="D1286" t="s">
        <v>42</v>
      </c>
      <c r="E1286">
        <v>987423</v>
      </c>
      <c r="F1286" s="1">
        <v>45590</v>
      </c>
      <c r="G1286" s="1"/>
      <c r="I1286">
        <v>1059</v>
      </c>
      <c r="K1286">
        <v>4</v>
      </c>
      <c r="L1286">
        <v>3</v>
      </c>
      <c r="M1286" t="s">
        <v>30</v>
      </c>
      <c r="N1286">
        <v>2010</v>
      </c>
      <c r="O1286">
        <v>7</v>
      </c>
      <c r="P1286">
        <v>1</v>
      </c>
      <c r="Q1286" t="s">
        <v>132</v>
      </c>
      <c r="R1286" t="s">
        <v>1769</v>
      </c>
      <c r="S1286" t="s">
        <v>33</v>
      </c>
      <c r="T1286" t="s">
        <v>3097</v>
      </c>
    </row>
    <row r="1287" spans="1:20" ht="16.5" x14ac:dyDescent="0.45">
      <c r="A1287">
        <v>2286</v>
      </c>
      <c r="B1287" t="s">
        <v>3098</v>
      </c>
      <c r="C1287" t="s">
        <v>36</v>
      </c>
      <c r="D1287" t="s">
        <v>21</v>
      </c>
      <c r="E1287">
        <v>809284</v>
      </c>
      <c r="F1287" s="1">
        <v>45562</v>
      </c>
      <c r="G1287" s="1">
        <v>45313</v>
      </c>
      <c r="H1287">
        <v>850330</v>
      </c>
      <c r="I1287">
        <v>2939</v>
      </c>
      <c r="J1287" s="5">
        <v>2499119870</v>
      </c>
      <c r="K1287">
        <v>4</v>
      </c>
      <c r="L1287">
        <v>3</v>
      </c>
      <c r="M1287" t="s">
        <v>62</v>
      </c>
      <c r="N1287">
        <v>2022</v>
      </c>
      <c r="O1287">
        <v>6</v>
      </c>
      <c r="P1287">
        <v>2</v>
      </c>
      <c r="Q1287" t="s">
        <v>132</v>
      </c>
      <c r="R1287" t="s">
        <v>3099</v>
      </c>
      <c r="S1287" t="s">
        <v>25</v>
      </c>
      <c r="T1287" t="s">
        <v>3100</v>
      </c>
    </row>
    <row r="1288" spans="1:20" ht="16.5" x14ac:dyDescent="0.45">
      <c r="A1288">
        <v>2287</v>
      </c>
      <c r="B1288" t="s">
        <v>3101</v>
      </c>
      <c r="C1288" t="s">
        <v>36</v>
      </c>
      <c r="D1288" t="s">
        <v>29</v>
      </c>
      <c r="E1288">
        <v>370203</v>
      </c>
      <c r="F1288" s="1">
        <v>45415</v>
      </c>
      <c r="G1288" s="1"/>
      <c r="I1288">
        <v>2519</v>
      </c>
      <c r="K1288">
        <v>5</v>
      </c>
      <c r="L1288">
        <v>3</v>
      </c>
      <c r="M1288" t="s">
        <v>30</v>
      </c>
      <c r="N1288">
        <v>2004</v>
      </c>
      <c r="O1288">
        <v>5</v>
      </c>
      <c r="P1288">
        <v>2</v>
      </c>
      <c r="Q1288" t="s">
        <v>75</v>
      </c>
      <c r="R1288" t="s">
        <v>3102</v>
      </c>
      <c r="S1288" t="s">
        <v>33</v>
      </c>
      <c r="T1288" t="s">
        <v>40</v>
      </c>
    </row>
    <row r="1289" spans="1:20" ht="16.5" x14ac:dyDescent="0.45">
      <c r="A1289">
        <v>2288</v>
      </c>
      <c r="B1289" t="s">
        <v>3103</v>
      </c>
      <c r="C1289" t="s">
        <v>36</v>
      </c>
      <c r="D1289" t="s">
        <v>21</v>
      </c>
      <c r="E1289">
        <v>908186</v>
      </c>
      <c r="F1289" s="1">
        <v>45396</v>
      </c>
      <c r="G1289" s="1"/>
      <c r="I1289">
        <v>4335</v>
      </c>
      <c r="K1289">
        <v>6</v>
      </c>
      <c r="L1289">
        <v>2</v>
      </c>
      <c r="M1289" t="s">
        <v>37</v>
      </c>
      <c r="N1289">
        <v>2016</v>
      </c>
      <c r="O1289">
        <v>8</v>
      </c>
      <c r="P1289">
        <v>1</v>
      </c>
      <c r="Q1289" t="s">
        <v>31</v>
      </c>
      <c r="R1289" t="s">
        <v>3104</v>
      </c>
      <c r="S1289" t="s">
        <v>33</v>
      </c>
      <c r="T1289" t="s">
        <v>1103</v>
      </c>
    </row>
    <row r="1290" spans="1:20" ht="16.5" x14ac:dyDescent="0.45">
      <c r="A1290">
        <v>2289</v>
      </c>
      <c r="B1290" t="s">
        <v>3105</v>
      </c>
      <c r="C1290" t="s">
        <v>51</v>
      </c>
      <c r="D1290" t="s">
        <v>21</v>
      </c>
      <c r="E1290">
        <v>374184</v>
      </c>
      <c r="F1290" s="1">
        <v>45329</v>
      </c>
      <c r="G1290" s="1">
        <v>45375</v>
      </c>
      <c r="H1290">
        <v>421848</v>
      </c>
      <c r="I1290">
        <v>1495</v>
      </c>
      <c r="J1290" s="5">
        <v>630662760</v>
      </c>
      <c r="K1290">
        <v>2</v>
      </c>
      <c r="L1290">
        <v>4</v>
      </c>
      <c r="M1290" t="s">
        <v>62</v>
      </c>
      <c r="N1290">
        <v>2015</v>
      </c>
      <c r="O1290">
        <v>4</v>
      </c>
      <c r="P1290">
        <v>3</v>
      </c>
      <c r="Q1290" t="s">
        <v>38</v>
      </c>
      <c r="R1290" t="s">
        <v>3106</v>
      </c>
      <c r="S1290" t="s">
        <v>25</v>
      </c>
      <c r="T1290" t="s">
        <v>3107</v>
      </c>
    </row>
    <row r="1291" spans="1:20" ht="16.5" x14ac:dyDescent="0.45">
      <c r="A1291">
        <v>2290</v>
      </c>
      <c r="B1291" t="s">
        <v>3108</v>
      </c>
      <c r="C1291" t="s">
        <v>28</v>
      </c>
      <c r="D1291" t="s">
        <v>29</v>
      </c>
      <c r="E1291">
        <v>801940</v>
      </c>
      <c r="F1291" s="1">
        <v>45504</v>
      </c>
      <c r="G1291" s="1">
        <v>45543</v>
      </c>
      <c r="H1291">
        <v>838544</v>
      </c>
      <c r="I1291">
        <v>1277</v>
      </c>
      <c r="J1291" s="5">
        <v>1070820688</v>
      </c>
      <c r="K1291">
        <v>4</v>
      </c>
      <c r="L1291">
        <v>5</v>
      </c>
      <c r="M1291" t="s">
        <v>37</v>
      </c>
      <c r="N1291">
        <v>2002</v>
      </c>
      <c r="O1291">
        <v>3</v>
      </c>
      <c r="P1291">
        <v>4</v>
      </c>
      <c r="Q1291" t="s">
        <v>162</v>
      </c>
      <c r="R1291" t="s">
        <v>3109</v>
      </c>
      <c r="S1291" t="s">
        <v>25</v>
      </c>
      <c r="T1291" t="s">
        <v>180</v>
      </c>
    </row>
    <row r="1292" spans="1:20" ht="16.5" x14ac:dyDescent="0.45">
      <c r="A1292">
        <v>2291</v>
      </c>
      <c r="B1292" t="s">
        <v>3110</v>
      </c>
      <c r="C1292" t="s">
        <v>47</v>
      </c>
      <c r="D1292" t="s">
        <v>21</v>
      </c>
      <c r="E1292">
        <v>995656</v>
      </c>
      <c r="F1292" s="1">
        <v>45414</v>
      </c>
      <c r="G1292" s="1">
        <v>45533</v>
      </c>
      <c r="H1292">
        <v>1028103</v>
      </c>
      <c r="I1292">
        <v>4552</v>
      </c>
      <c r="J1292" s="5">
        <v>4679924856</v>
      </c>
      <c r="K1292">
        <v>3</v>
      </c>
      <c r="L1292">
        <v>2</v>
      </c>
      <c r="M1292" t="s">
        <v>37</v>
      </c>
      <c r="N1292">
        <v>2009</v>
      </c>
      <c r="O1292">
        <v>3</v>
      </c>
      <c r="P1292">
        <v>3</v>
      </c>
      <c r="Q1292" t="s">
        <v>58</v>
      </c>
      <c r="R1292" t="s">
        <v>3111</v>
      </c>
      <c r="S1292" t="s">
        <v>25</v>
      </c>
      <c r="T1292" t="s">
        <v>284</v>
      </c>
    </row>
    <row r="1293" spans="1:20" ht="16.5" x14ac:dyDescent="0.45">
      <c r="A1293">
        <v>2292</v>
      </c>
      <c r="B1293" t="s">
        <v>3112</v>
      </c>
      <c r="C1293" t="s">
        <v>20</v>
      </c>
      <c r="D1293" t="s">
        <v>42</v>
      </c>
      <c r="E1293">
        <v>382905</v>
      </c>
      <c r="F1293" s="1">
        <v>45355</v>
      </c>
      <c r="G1293" s="1">
        <v>45399</v>
      </c>
      <c r="H1293">
        <v>408613</v>
      </c>
      <c r="I1293">
        <v>3436</v>
      </c>
      <c r="J1293" s="5">
        <v>1403994268</v>
      </c>
      <c r="K1293">
        <v>2</v>
      </c>
      <c r="L1293">
        <v>2</v>
      </c>
      <c r="M1293" t="s">
        <v>22</v>
      </c>
      <c r="N1293">
        <v>2017</v>
      </c>
      <c r="P1293">
        <v>4</v>
      </c>
      <c r="Q1293" t="s">
        <v>86</v>
      </c>
      <c r="R1293" t="s">
        <v>3113</v>
      </c>
      <c r="S1293" t="s">
        <v>25</v>
      </c>
      <c r="T1293" t="s">
        <v>964</v>
      </c>
    </row>
    <row r="1294" spans="1:20" ht="16.5" x14ac:dyDescent="0.45">
      <c r="A1294">
        <v>2293</v>
      </c>
      <c r="B1294" t="s">
        <v>3114</v>
      </c>
      <c r="C1294" t="s">
        <v>20</v>
      </c>
      <c r="D1294" t="s">
        <v>21</v>
      </c>
      <c r="E1294">
        <v>576275</v>
      </c>
      <c r="F1294" s="1">
        <v>45426</v>
      </c>
      <c r="G1294" s="1">
        <v>45459</v>
      </c>
      <c r="H1294">
        <v>612949</v>
      </c>
      <c r="I1294">
        <v>3622</v>
      </c>
      <c r="J1294" s="5">
        <v>2220101278</v>
      </c>
      <c r="K1294">
        <v>3</v>
      </c>
      <c r="L1294">
        <v>2</v>
      </c>
      <c r="M1294" t="s">
        <v>62</v>
      </c>
      <c r="N1294">
        <v>2004</v>
      </c>
      <c r="O1294">
        <v>5</v>
      </c>
      <c r="P1294">
        <v>3</v>
      </c>
      <c r="Q1294" t="s">
        <v>23</v>
      </c>
      <c r="R1294" t="s">
        <v>3115</v>
      </c>
      <c r="S1294" t="s">
        <v>25</v>
      </c>
      <c r="T1294" t="s">
        <v>45</v>
      </c>
    </row>
    <row r="1295" spans="1:20" ht="16.5" x14ac:dyDescent="0.45">
      <c r="A1295">
        <v>2294</v>
      </c>
      <c r="B1295" t="s">
        <v>3116</v>
      </c>
      <c r="C1295" t="s">
        <v>51</v>
      </c>
      <c r="D1295" t="s">
        <v>42</v>
      </c>
      <c r="E1295">
        <v>313523</v>
      </c>
      <c r="F1295" s="1">
        <v>45547</v>
      </c>
      <c r="G1295" s="1"/>
      <c r="I1295">
        <v>4149</v>
      </c>
      <c r="K1295">
        <v>5</v>
      </c>
      <c r="L1295">
        <v>5</v>
      </c>
      <c r="M1295" t="s">
        <v>37</v>
      </c>
      <c r="N1295">
        <v>2016</v>
      </c>
      <c r="O1295">
        <v>4</v>
      </c>
      <c r="P1295">
        <v>3</v>
      </c>
      <c r="Q1295" t="s">
        <v>132</v>
      </c>
      <c r="R1295" t="s">
        <v>3117</v>
      </c>
      <c r="S1295" t="s">
        <v>33</v>
      </c>
      <c r="T1295" t="s">
        <v>1343</v>
      </c>
    </row>
    <row r="1296" spans="1:20" ht="16.5" x14ac:dyDescent="0.45">
      <c r="A1296">
        <v>2295</v>
      </c>
      <c r="B1296" t="s">
        <v>3118</v>
      </c>
      <c r="C1296" t="s">
        <v>20</v>
      </c>
      <c r="D1296" t="s">
        <v>29</v>
      </c>
      <c r="E1296">
        <v>783920</v>
      </c>
      <c r="F1296" s="1">
        <v>45639</v>
      </c>
      <c r="G1296" s="1">
        <v>45608</v>
      </c>
      <c r="H1296">
        <v>826668</v>
      </c>
      <c r="I1296">
        <v>1462</v>
      </c>
      <c r="J1296" s="5">
        <v>1208588616</v>
      </c>
      <c r="K1296">
        <v>3</v>
      </c>
      <c r="L1296">
        <v>5</v>
      </c>
      <c r="M1296" t="s">
        <v>62</v>
      </c>
      <c r="N1296">
        <v>2004</v>
      </c>
      <c r="O1296">
        <v>9</v>
      </c>
      <c r="P1296">
        <v>3</v>
      </c>
      <c r="Q1296" t="s">
        <v>132</v>
      </c>
      <c r="R1296" t="s">
        <v>3119</v>
      </c>
      <c r="S1296" t="s">
        <v>25</v>
      </c>
      <c r="T1296" t="s">
        <v>158</v>
      </c>
    </row>
    <row r="1297" spans="1:20" ht="16.5" x14ac:dyDescent="0.45">
      <c r="A1297">
        <v>2296</v>
      </c>
      <c r="B1297" t="s">
        <v>3120</v>
      </c>
      <c r="C1297" t="s">
        <v>28</v>
      </c>
      <c r="D1297" t="s">
        <v>21</v>
      </c>
      <c r="E1297">
        <v>303761</v>
      </c>
      <c r="F1297" s="1">
        <v>45508</v>
      </c>
      <c r="G1297" s="1"/>
      <c r="I1297">
        <v>3839</v>
      </c>
      <c r="K1297">
        <v>5</v>
      </c>
      <c r="L1297">
        <v>2</v>
      </c>
      <c r="M1297" t="s">
        <v>37</v>
      </c>
      <c r="N1297">
        <v>2004</v>
      </c>
      <c r="O1297">
        <v>4</v>
      </c>
      <c r="P1297">
        <v>3</v>
      </c>
      <c r="Q1297" t="s">
        <v>31</v>
      </c>
      <c r="R1297" t="s">
        <v>3121</v>
      </c>
      <c r="S1297" t="s">
        <v>33</v>
      </c>
      <c r="T1297" t="s">
        <v>262</v>
      </c>
    </row>
    <row r="1298" spans="1:20" ht="16.5" x14ac:dyDescent="0.45">
      <c r="A1298">
        <v>2297</v>
      </c>
      <c r="B1298" t="s">
        <v>3122</v>
      </c>
      <c r="C1298" t="s">
        <v>20</v>
      </c>
      <c r="D1298" t="s">
        <v>29</v>
      </c>
      <c r="E1298">
        <v>585839</v>
      </c>
      <c r="F1298" s="1">
        <v>45281</v>
      </c>
      <c r="G1298" s="1">
        <v>45557</v>
      </c>
      <c r="H1298">
        <v>632857</v>
      </c>
      <c r="I1298">
        <v>2314</v>
      </c>
      <c r="J1298" s="5">
        <v>1464431098</v>
      </c>
      <c r="K1298">
        <v>3</v>
      </c>
      <c r="L1298">
        <v>2</v>
      </c>
      <c r="M1298" t="s">
        <v>62</v>
      </c>
      <c r="N1298">
        <v>2018</v>
      </c>
      <c r="O1298">
        <v>7</v>
      </c>
      <c r="P1298">
        <v>4</v>
      </c>
      <c r="Q1298" t="s">
        <v>93</v>
      </c>
      <c r="R1298" t="s">
        <v>3123</v>
      </c>
      <c r="S1298" t="s">
        <v>25</v>
      </c>
      <c r="T1298" t="s">
        <v>1544</v>
      </c>
    </row>
    <row r="1299" spans="1:20" ht="16.5" x14ac:dyDescent="0.45">
      <c r="A1299">
        <v>2298</v>
      </c>
      <c r="B1299" t="s">
        <v>3124</v>
      </c>
      <c r="C1299" t="s">
        <v>51</v>
      </c>
      <c r="D1299" t="s">
        <v>29</v>
      </c>
      <c r="E1299">
        <v>589710</v>
      </c>
      <c r="F1299" s="1">
        <v>45368</v>
      </c>
      <c r="G1299" s="1">
        <v>45520</v>
      </c>
      <c r="H1299">
        <v>600036</v>
      </c>
      <c r="I1299">
        <v>4075</v>
      </c>
      <c r="J1299" s="5">
        <v>2445146700</v>
      </c>
      <c r="K1299">
        <v>6</v>
      </c>
      <c r="L1299">
        <v>2</v>
      </c>
      <c r="M1299" t="s">
        <v>30</v>
      </c>
      <c r="N1299">
        <v>2019</v>
      </c>
      <c r="O1299">
        <v>7</v>
      </c>
      <c r="P1299">
        <v>1</v>
      </c>
      <c r="Q1299" t="s">
        <v>75</v>
      </c>
      <c r="R1299" t="s">
        <v>3125</v>
      </c>
      <c r="S1299" t="s">
        <v>25</v>
      </c>
      <c r="T1299" t="s">
        <v>3126</v>
      </c>
    </row>
    <row r="1300" spans="1:20" ht="16.5" x14ac:dyDescent="0.45">
      <c r="A1300">
        <v>2299</v>
      </c>
      <c r="B1300" t="s">
        <v>3127</v>
      </c>
      <c r="C1300" t="s">
        <v>20</v>
      </c>
      <c r="D1300" t="s">
        <v>29</v>
      </c>
      <c r="E1300">
        <v>868810</v>
      </c>
      <c r="F1300" s="1">
        <v>45602</v>
      </c>
      <c r="G1300" s="1"/>
      <c r="I1300">
        <v>1935</v>
      </c>
      <c r="K1300">
        <v>3</v>
      </c>
      <c r="L1300">
        <v>3</v>
      </c>
      <c r="M1300" t="s">
        <v>37</v>
      </c>
      <c r="N1300">
        <v>2012</v>
      </c>
      <c r="O1300">
        <v>4</v>
      </c>
      <c r="P1300">
        <v>3</v>
      </c>
      <c r="Q1300" t="s">
        <v>43</v>
      </c>
      <c r="R1300" t="s">
        <v>3128</v>
      </c>
      <c r="S1300" t="s">
        <v>33</v>
      </c>
      <c r="T1300" t="s">
        <v>3129</v>
      </c>
    </row>
    <row r="1301" spans="1:20" ht="16.5" x14ac:dyDescent="0.45">
      <c r="A1301">
        <v>2300</v>
      </c>
      <c r="B1301" t="s">
        <v>3130</v>
      </c>
      <c r="C1301" t="s">
        <v>28</v>
      </c>
      <c r="D1301" t="s">
        <v>21</v>
      </c>
      <c r="E1301">
        <v>994344</v>
      </c>
      <c r="F1301" s="1">
        <v>45394</v>
      </c>
      <c r="G1301" s="1"/>
      <c r="I1301">
        <v>2174</v>
      </c>
      <c r="K1301">
        <v>2</v>
      </c>
      <c r="L1301">
        <v>5</v>
      </c>
      <c r="M1301" t="s">
        <v>62</v>
      </c>
      <c r="N1301">
        <v>2020</v>
      </c>
      <c r="O1301">
        <v>9</v>
      </c>
      <c r="P1301">
        <v>3</v>
      </c>
      <c r="Q1301" t="s">
        <v>86</v>
      </c>
      <c r="R1301" t="s">
        <v>3131</v>
      </c>
      <c r="S1301" t="s">
        <v>33</v>
      </c>
      <c r="T1301" t="s">
        <v>1319</v>
      </c>
    </row>
    <row r="1302" spans="1:20" ht="16.5" x14ac:dyDescent="0.45">
      <c r="A1302">
        <v>2301</v>
      </c>
      <c r="B1302" t="s">
        <v>3132</v>
      </c>
      <c r="C1302" t="s">
        <v>47</v>
      </c>
      <c r="D1302" t="s">
        <v>42</v>
      </c>
      <c r="E1302">
        <v>353641</v>
      </c>
      <c r="F1302" s="1">
        <v>45536</v>
      </c>
      <c r="G1302" s="1">
        <v>45418</v>
      </c>
      <c r="H1302">
        <v>374386</v>
      </c>
      <c r="I1302">
        <v>1305</v>
      </c>
      <c r="J1302" s="5">
        <v>488573730</v>
      </c>
      <c r="K1302">
        <v>6</v>
      </c>
      <c r="L1302">
        <v>5</v>
      </c>
      <c r="M1302" t="s">
        <v>22</v>
      </c>
      <c r="N1302">
        <v>2002</v>
      </c>
      <c r="P1302">
        <v>3</v>
      </c>
      <c r="Q1302" t="s">
        <v>132</v>
      </c>
      <c r="R1302" t="s">
        <v>3133</v>
      </c>
      <c r="S1302" t="s">
        <v>25</v>
      </c>
      <c r="T1302" t="s">
        <v>180</v>
      </c>
    </row>
    <row r="1303" spans="1:20" ht="16.5" x14ac:dyDescent="0.45">
      <c r="A1303">
        <v>2302</v>
      </c>
      <c r="B1303" t="s">
        <v>3134</v>
      </c>
      <c r="C1303" t="s">
        <v>47</v>
      </c>
      <c r="D1303" t="s">
        <v>29</v>
      </c>
      <c r="E1303">
        <v>332132</v>
      </c>
      <c r="F1303" s="1">
        <v>45574</v>
      </c>
      <c r="G1303" s="1">
        <v>45602</v>
      </c>
      <c r="H1303">
        <v>380783</v>
      </c>
      <c r="I1303">
        <v>2252</v>
      </c>
      <c r="J1303" s="5">
        <v>857523316</v>
      </c>
      <c r="K1303">
        <v>5</v>
      </c>
      <c r="L1303">
        <v>2</v>
      </c>
      <c r="M1303" t="s">
        <v>62</v>
      </c>
      <c r="N1303">
        <v>2000</v>
      </c>
      <c r="O1303">
        <v>2</v>
      </c>
      <c r="P1303">
        <v>1</v>
      </c>
      <c r="Q1303" t="s">
        <v>43</v>
      </c>
      <c r="R1303" t="s">
        <v>3135</v>
      </c>
      <c r="S1303" t="s">
        <v>25</v>
      </c>
      <c r="T1303" t="s">
        <v>3136</v>
      </c>
    </row>
    <row r="1304" spans="1:20" ht="16.5" x14ac:dyDescent="0.45">
      <c r="A1304">
        <v>2303</v>
      </c>
      <c r="B1304" t="s">
        <v>3137</v>
      </c>
      <c r="C1304" t="s">
        <v>36</v>
      </c>
      <c r="D1304" t="s">
        <v>42</v>
      </c>
      <c r="E1304">
        <v>541253</v>
      </c>
      <c r="F1304" s="1">
        <v>45335</v>
      </c>
      <c r="G1304" s="1">
        <v>45432</v>
      </c>
      <c r="H1304">
        <v>559940</v>
      </c>
      <c r="I1304">
        <v>4148</v>
      </c>
      <c r="J1304" s="5">
        <v>2322631120</v>
      </c>
      <c r="K1304">
        <v>3</v>
      </c>
      <c r="L1304">
        <v>4</v>
      </c>
      <c r="M1304" t="s">
        <v>37</v>
      </c>
      <c r="N1304">
        <v>2007</v>
      </c>
      <c r="O1304">
        <v>9</v>
      </c>
      <c r="P1304">
        <v>3</v>
      </c>
      <c r="Q1304" t="s">
        <v>38</v>
      </c>
      <c r="R1304" t="s">
        <v>3138</v>
      </c>
      <c r="S1304" t="s">
        <v>25</v>
      </c>
      <c r="T1304" t="s">
        <v>236</v>
      </c>
    </row>
    <row r="1305" spans="1:20" ht="16.5" x14ac:dyDescent="0.45">
      <c r="A1305">
        <v>2304</v>
      </c>
      <c r="B1305" t="s">
        <v>3139</v>
      </c>
      <c r="C1305" t="s">
        <v>28</v>
      </c>
      <c r="D1305" t="s">
        <v>21</v>
      </c>
      <c r="E1305">
        <v>772024</v>
      </c>
      <c r="F1305" s="1">
        <v>45369</v>
      </c>
      <c r="G1305" s="1">
        <v>45639</v>
      </c>
      <c r="H1305">
        <v>784472</v>
      </c>
      <c r="I1305">
        <v>1215</v>
      </c>
      <c r="J1305" s="5">
        <v>953133480</v>
      </c>
      <c r="K1305">
        <v>4</v>
      </c>
      <c r="L1305">
        <v>5</v>
      </c>
      <c r="M1305" t="s">
        <v>62</v>
      </c>
      <c r="N1305">
        <v>2006</v>
      </c>
      <c r="O1305">
        <v>10</v>
      </c>
      <c r="P1305">
        <v>1</v>
      </c>
      <c r="Q1305" t="s">
        <v>31</v>
      </c>
      <c r="R1305" t="s">
        <v>3140</v>
      </c>
      <c r="S1305" t="s">
        <v>25</v>
      </c>
      <c r="T1305" t="s">
        <v>1412</v>
      </c>
    </row>
    <row r="1306" spans="1:20" ht="16.5" x14ac:dyDescent="0.45">
      <c r="A1306">
        <v>2305</v>
      </c>
      <c r="B1306" t="s">
        <v>3141</v>
      </c>
      <c r="C1306" t="s">
        <v>47</v>
      </c>
      <c r="D1306" t="s">
        <v>42</v>
      </c>
      <c r="E1306">
        <v>456507</v>
      </c>
      <c r="F1306" s="1">
        <v>45422</v>
      </c>
      <c r="G1306" s="1"/>
      <c r="I1306">
        <v>3574</v>
      </c>
      <c r="K1306">
        <v>2</v>
      </c>
      <c r="L1306">
        <v>2</v>
      </c>
      <c r="M1306" t="s">
        <v>22</v>
      </c>
      <c r="N1306">
        <v>2018</v>
      </c>
      <c r="P1306">
        <v>4</v>
      </c>
      <c r="Q1306" t="s">
        <v>58</v>
      </c>
      <c r="R1306" t="s">
        <v>3142</v>
      </c>
      <c r="S1306" t="s">
        <v>33</v>
      </c>
      <c r="T1306" t="s">
        <v>3143</v>
      </c>
    </row>
    <row r="1307" spans="1:20" ht="16.5" x14ac:dyDescent="0.45">
      <c r="A1307">
        <v>2306</v>
      </c>
      <c r="B1307" t="s">
        <v>3144</v>
      </c>
      <c r="C1307" t="s">
        <v>36</v>
      </c>
      <c r="D1307" t="s">
        <v>29</v>
      </c>
      <c r="E1307">
        <v>896431</v>
      </c>
      <c r="F1307" s="1">
        <v>45587</v>
      </c>
      <c r="G1307" s="1"/>
      <c r="I1307">
        <v>4806</v>
      </c>
      <c r="K1307">
        <v>3</v>
      </c>
      <c r="L1307">
        <v>4</v>
      </c>
      <c r="M1307" t="s">
        <v>30</v>
      </c>
      <c r="N1307">
        <v>2006</v>
      </c>
      <c r="O1307">
        <v>7</v>
      </c>
      <c r="P1307">
        <v>1</v>
      </c>
      <c r="Q1307" t="s">
        <v>86</v>
      </c>
      <c r="R1307" t="s">
        <v>3145</v>
      </c>
      <c r="S1307" t="s">
        <v>33</v>
      </c>
      <c r="T1307" t="s">
        <v>881</v>
      </c>
    </row>
    <row r="1308" spans="1:20" ht="16.5" x14ac:dyDescent="0.45">
      <c r="A1308">
        <v>2307</v>
      </c>
      <c r="B1308" t="s">
        <v>3146</v>
      </c>
      <c r="C1308" t="s">
        <v>47</v>
      </c>
      <c r="D1308" t="s">
        <v>21</v>
      </c>
      <c r="E1308">
        <v>650314</v>
      </c>
      <c r="F1308" s="1">
        <v>45472</v>
      </c>
      <c r="G1308" s="1">
        <v>45628</v>
      </c>
      <c r="H1308">
        <v>675286</v>
      </c>
      <c r="I1308">
        <v>4116</v>
      </c>
      <c r="J1308" s="5">
        <v>2779477176</v>
      </c>
      <c r="K1308">
        <v>5</v>
      </c>
      <c r="L1308">
        <v>4</v>
      </c>
      <c r="M1308" t="s">
        <v>22</v>
      </c>
      <c r="N1308">
        <v>2002</v>
      </c>
      <c r="P1308">
        <v>2</v>
      </c>
      <c r="Q1308" t="s">
        <v>162</v>
      </c>
      <c r="R1308" t="s">
        <v>3147</v>
      </c>
      <c r="S1308" t="s">
        <v>25</v>
      </c>
      <c r="T1308" t="s">
        <v>3148</v>
      </c>
    </row>
    <row r="1309" spans="1:20" ht="16.5" x14ac:dyDescent="0.45">
      <c r="A1309">
        <v>2308</v>
      </c>
      <c r="B1309" t="s">
        <v>3149</v>
      </c>
      <c r="C1309" t="s">
        <v>36</v>
      </c>
      <c r="D1309" t="s">
        <v>21</v>
      </c>
      <c r="E1309">
        <v>848438</v>
      </c>
      <c r="F1309" s="1">
        <v>45338</v>
      </c>
      <c r="G1309" s="1"/>
      <c r="I1309">
        <v>4256</v>
      </c>
      <c r="K1309">
        <v>3</v>
      </c>
      <c r="L1309">
        <v>4</v>
      </c>
      <c r="M1309" t="s">
        <v>22</v>
      </c>
      <c r="N1309">
        <v>2013</v>
      </c>
      <c r="P1309">
        <v>2</v>
      </c>
      <c r="Q1309" t="s">
        <v>132</v>
      </c>
      <c r="R1309" t="s">
        <v>3150</v>
      </c>
      <c r="S1309" t="s">
        <v>33</v>
      </c>
      <c r="T1309" t="s">
        <v>107</v>
      </c>
    </row>
    <row r="1310" spans="1:20" ht="16.5" x14ac:dyDescent="0.45">
      <c r="A1310">
        <v>2309</v>
      </c>
      <c r="B1310" t="s">
        <v>3151</v>
      </c>
      <c r="C1310" t="s">
        <v>28</v>
      </c>
      <c r="D1310" t="s">
        <v>29</v>
      </c>
      <c r="E1310">
        <v>635381</v>
      </c>
      <c r="F1310" s="1">
        <v>45427</v>
      </c>
      <c r="G1310" s="1">
        <v>45530</v>
      </c>
      <c r="H1310">
        <v>680959</v>
      </c>
      <c r="I1310">
        <v>4457</v>
      </c>
      <c r="J1310" s="5">
        <v>3035034263</v>
      </c>
      <c r="K1310">
        <v>2</v>
      </c>
      <c r="L1310">
        <v>3</v>
      </c>
      <c r="M1310" t="s">
        <v>37</v>
      </c>
      <c r="N1310">
        <v>2019</v>
      </c>
      <c r="O1310">
        <v>8</v>
      </c>
      <c r="P1310">
        <v>2</v>
      </c>
      <c r="Q1310" t="s">
        <v>58</v>
      </c>
      <c r="R1310" t="s">
        <v>3056</v>
      </c>
      <c r="S1310" t="s">
        <v>25</v>
      </c>
      <c r="T1310" t="s">
        <v>77</v>
      </c>
    </row>
    <row r="1311" spans="1:20" ht="16.5" x14ac:dyDescent="0.45">
      <c r="A1311">
        <v>2310</v>
      </c>
      <c r="B1311" t="s">
        <v>3152</v>
      </c>
      <c r="C1311" t="s">
        <v>28</v>
      </c>
      <c r="D1311" t="s">
        <v>21</v>
      </c>
      <c r="E1311">
        <v>533060</v>
      </c>
      <c r="F1311" s="1">
        <v>45394</v>
      </c>
      <c r="G1311" s="1">
        <v>45498</v>
      </c>
      <c r="H1311">
        <v>571452</v>
      </c>
      <c r="I1311">
        <v>3672</v>
      </c>
      <c r="J1311" s="5">
        <v>2098371744</v>
      </c>
      <c r="K1311">
        <v>3</v>
      </c>
      <c r="L1311">
        <v>2</v>
      </c>
      <c r="M1311" t="s">
        <v>22</v>
      </c>
      <c r="N1311">
        <v>2006</v>
      </c>
      <c r="P1311">
        <v>1</v>
      </c>
      <c r="Q1311" t="s">
        <v>23</v>
      </c>
      <c r="R1311" t="s">
        <v>3153</v>
      </c>
      <c r="S1311" t="s">
        <v>25</v>
      </c>
      <c r="T1311" t="s">
        <v>881</v>
      </c>
    </row>
    <row r="1312" spans="1:20" ht="16.5" x14ac:dyDescent="0.45">
      <c r="A1312">
        <v>2311</v>
      </c>
      <c r="B1312" t="s">
        <v>3154</v>
      </c>
      <c r="C1312" t="s">
        <v>47</v>
      </c>
      <c r="D1312" t="s">
        <v>21</v>
      </c>
      <c r="E1312">
        <v>785692</v>
      </c>
      <c r="F1312" s="1">
        <v>45319</v>
      </c>
      <c r="G1312" s="1">
        <v>45372</v>
      </c>
      <c r="H1312">
        <v>832240</v>
      </c>
      <c r="I1312">
        <v>3408</v>
      </c>
      <c r="J1312" s="5">
        <v>2836273920</v>
      </c>
      <c r="K1312">
        <v>5</v>
      </c>
      <c r="L1312">
        <v>5</v>
      </c>
      <c r="M1312" t="s">
        <v>30</v>
      </c>
      <c r="N1312">
        <v>2005</v>
      </c>
      <c r="O1312">
        <v>1</v>
      </c>
      <c r="P1312">
        <v>4</v>
      </c>
      <c r="Q1312" t="s">
        <v>31</v>
      </c>
      <c r="R1312" t="s">
        <v>3155</v>
      </c>
      <c r="S1312" t="s">
        <v>25</v>
      </c>
      <c r="T1312" t="s">
        <v>70</v>
      </c>
    </row>
    <row r="1313" spans="1:20" ht="16.5" x14ac:dyDescent="0.45">
      <c r="A1313">
        <v>2312</v>
      </c>
      <c r="B1313" t="s">
        <v>3156</v>
      </c>
      <c r="C1313" t="s">
        <v>28</v>
      </c>
      <c r="D1313" t="s">
        <v>42</v>
      </c>
      <c r="E1313">
        <v>357491</v>
      </c>
      <c r="F1313" s="1">
        <v>45625</v>
      </c>
      <c r="G1313" s="1">
        <v>45475</v>
      </c>
      <c r="H1313">
        <v>389651</v>
      </c>
      <c r="I1313">
        <v>4019</v>
      </c>
      <c r="J1313" s="5">
        <v>1566007369</v>
      </c>
      <c r="K1313">
        <v>4</v>
      </c>
      <c r="L1313">
        <v>3</v>
      </c>
      <c r="M1313" t="s">
        <v>62</v>
      </c>
      <c r="N1313">
        <v>2022</v>
      </c>
      <c r="O1313">
        <v>2</v>
      </c>
      <c r="P1313">
        <v>3</v>
      </c>
      <c r="Q1313" t="s">
        <v>38</v>
      </c>
      <c r="R1313" t="s">
        <v>3157</v>
      </c>
      <c r="S1313" t="s">
        <v>25</v>
      </c>
      <c r="T1313" t="s">
        <v>500</v>
      </c>
    </row>
    <row r="1314" spans="1:20" ht="16.5" x14ac:dyDescent="0.45">
      <c r="A1314">
        <v>2313</v>
      </c>
      <c r="B1314" t="s">
        <v>3158</v>
      </c>
      <c r="C1314" t="s">
        <v>47</v>
      </c>
      <c r="D1314" t="s">
        <v>21</v>
      </c>
      <c r="E1314">
        <v>480305</v>
      </c>
      <c r="F1314" s="1">
        <v>45640</v>
      </c>
      <c r="G1314" s="1">
        <v>45337</v>
      </c>
      <c r="H1314">
        <v>517055</v>
      </c>
      <c r="I1314">
        <v>1386</v>
      </c>
      <c r="J1314" s="5">
        <v>716638230</v>
      </c>
      <c r="K1314">
        <v>4</v>
      </c>
      <c r="L1314">
        <v>5</v>
      </c>
      <c r="M1314" t="s">
        <v>30</v>
      </c>
      <c r="N1314">
        <v>2008</v>
      </c>
      <c r="O1314">
        <v>7</v>
      </c>
      <c r="P1314">
        <v>3</v>
      </c>
      <c r="Q1314" t="s">
        <v>38</v>
      </c>
      <c r="R1314" t="s">
        <v>3159</v>
      </c>
      <c r="S1314" t="s">
        <v>25</v>
      </c>
      <c r="T1314" t="s">
        <v>125</v>
      </c>
    </row>
    <row r="1315" spans="1:20" ht="16.5" x14ac:dyDescent="0.45">
      <c r="A1315">
        <v>2314</v>
      </c>
      <c r="B1315" t="s">
        <v>3160</v>
      </c>
      <c r="C1315" t="s">
        <v>47</v>
      </c>
      <c r="D1315" t="s">
        <v>42</v>
      </c>
      <c r="E1315">
        <v>840254</v>
      </c>
      <c r="F1315" s="1">
        <v>45551</v>
      </c>
      <c r="G1315" s="1"/>
      <c r="I1315">
        <v>4239</v>
      </c>
      <c r="K1315">
        <v>4</v>
      </c>
      <c r="L1315">
        <v>5</v>
      </c>
      <c r="M1315" t="s">
        <v>62</v>
      </c>
      <c r="N1315">
        <v>2004</v>
      </c>
      <c r="O1315">
        <v>4</v>
      </c>
      <c r="P1315">
        <v>1</v>
      </c>
      <c r="Q1315" t="s">
        <v>75</v>
      </c>
      <c r="R1315" t="s">
        <v>3161</v>
      </c>
      <c r="S1315" t="s">
        <v>33</v>
      </c>
      <c r="T1315" t="s">
        <v>183</v>
      </c>
    </row>
    <row r="1316" spans="1:20" ht="16.5" x14ac:dyDescent="0.45">
      <c r="A1316">
        <v>2315</v>
      </c>
      <c r="B1316" t="s">
        <v>3162</v>
      </c>
      <c r="C1316" t="s">
        <v>51</v>
      </c>
      <c r="D1316" t="s">
        <v>29</v>
      </c>
      <c r="E1316">
        <v>793587</v>
      </c>
      <c r="F1316" s="1">
        <v>45478</v>
      </c>
      <c r="G1316" s="1"/>
      <c r="I1316">
        <v>3216</v>
      </c>
      <c r="K1316">
        <v>5</v>
      </c>
      <c r="L1316">
        <v>5</v>
      </c>
      <c r="M1316" t="s">
        <v>30</v>
      </c>
      <c r="N1316">
        <v>2005</v>
      </c>
      <c r="O1316">
        <v>6</v>
      </c>
      <c r="P1316">
        <v>2</v>
      </c>
      <c r="Q1316" t="s">
        <v>75</v>
      </c>
      <c r="R1316" t="s">
        <v>3163</v>
      </c>
      <c r="S1316" t="s">
        <v>33</v>
      </c>
      <c r="T1316" t="s">
        <v>3164</v>
      </c>
    </row>
    <row r="1317" spans="1:20" ht="16.5" x14ac:dyDescent="0.45">
      <c r="A1317">
        <v>2316</v>
      </c>
      <c r="B1317" t="s">
        <v>3165</v>
      </c>
      <c r="C1317" t="s">
        <v>20</v>
      </c>
      <c r="D1317" t="s">
        <v>21</v>
      </c>
      <c r="E1317">
        <v>942746</v>
      </c>
      <c r="F1317" s="1">
        <v>45321</v>
      </c>
      <c r="G1317" s="1">
        <v>45290</v>
      </c>
      <c r="H1317">
        <v>973547</v>
      </c>
      <c r="I1317">
        <v>1430</v>
      </c>
      <c r="J1317" s="5">
        <v>1392172210</v>
      </c>
      <c r="K1317">
        <v>3</v>
      </c>
      <c r="L1317">
        <v>3</v>
      </c>
      <c r="M1317" t="s">
        <v>22</v>
      </c>
      <c r="N1317">
        <v>2009</v>
      </c>
      <c r="P1317">
        <v>3</v>
      </c>
      <c r="Q1317" t="s">
        <v>86</v>
      </c>
      <c r="R1317" t="s">
        <v>3166</v>
      </c>
      <c r="S1317" t="s">
        <v>25</v>
      </c>
      <c r="T1317" t="s">
        <v>91</v>
      </c>
    </row>
    <row r="1318" spans="1:20" ht="16.5" x14ac:dyDescent="0.45">
      <c r="A1318">
        <v>2317</v>
      </c>
      <c r="B1318" t="s">
        <v>3167</v>
      </c>
      <c r="C1318" t="s">
        <v>20</v>
      </c>
      <c r="D1318" t="s">
        <v>21</v>
      </c>
      <c r="E1318">
        <v>324073</v>
      </c>
      <c r="F1318" s="1">
        <v>45361</v>
      </c>
      <c r="G1318" s="1"/>
      <c r="I1318">
        <v>3842</v>
      </c>
      <c r="K1318">
        <v>6</v>
      </c>
      <c r="L1318">
        <v>2</v>
      </c>
      <c r="M1318" t="s">
        <v>30</v>
      </c>
      <c r="N1318">
        <v>2006</v>
      </c>
      <c r="O1318">
        <v>5</v>
      </c>
      <c r="P1318">
        <v>1</v>
      </c>
      <c r="Q1318" t="s">
        <v>132</v>
      </c>
      <c r="R1318" t="s">
        <v>3168</v>
      </c>
      <c r="S1318" t="s">
        <v>33</v>
      </c>
      <c r="T1318" t="s">
        <v>2067</v>
      </c>
    </row>
    <row r="1319" spans="1:20" ht="16.5" x14ac:dyDescent="0.45">
      <c r="A1319">
        <v>2318</v>
      </c>
      <c r="B1319" t="s">
        <v>3169</v>
      </c>
      <c r="C1319" t="s">
        <v>20</v>
      </c>
      <c r="D1319" t="s">
        <v>29</v>
      </c>
      <c r="E1319">
        <v>763633</v>
      </c>
      <c r="F1319" s="1">
        <v>45501</v>
      </c>
      <c r="G1319" s="1">
        <v>45359</v>
      </c>
      <c r="H1319">
        <v>788509</v>
      </c>
      <c r="I1319">
        <v>1765</v>
      </c>
      <c r="J1319" s="5">
        <v>1391718385</v>
      </c>
      <c r="K1319">
        <v>4</v>
      </c>
      <c r="L1319">
        <v>4</v>
      </c>
      <c r="M1319" t="s">
        <v>37</v>
      </c>
      <c r="N1319">
        <v>2017</v>
      </c>
      <c r="O1319">
        <v>4</v>
      </c>
      <c r="P1319">
        <v>3</v>
      </c>
      <c r="Q1319" t="s">
        <v>162</v>
      </c>
      <c r="R1319" t="s">
        <v>3170</v>
      </c>
      <c r="S1319" t="s">
        <v>25</v>
      </c>
      <c r="T1319" t="s">
        <v>3171</v>
      </c>
    </row>
    <row r="1320" spans="1:20" ht="16.5" x14ac:dyDescent="0.45">
      <c r="A1320">
        <v>2319</v>
      </c>
      <c r="B1320" t="s">
        <v>3172</v>
      </c>
      <c r="C1320" t="s">
        <v>51</v>
      </c>
      <c r="D1320" t="s">
        <v>29</v>
      </c>
      <c r="E1320">
        <v>917815</v>
      </c>
      <c r="F1320" s="1">
        <v>45497</v>
      </c>
      <c r="G1320" s="1">
        <v>45393</v>
      </c>
      <c r="H1320">
        <v>965346</v>
      </c>
      <c r="I1320">
        <v>2253</v>
      </c>
      <c r="J1320" s="5">
        <v>2174924538</v>
      </c>
      <c r="K1320">
        <v>5</v>
      </c>
      <c r="L1320">
        <v>4</v>
      </c>
      <c r="M1320" t="s">
        <v>62</v>
      </c>
      <c r="N1320">
        <v>2011</v>
      </c>
      <c r="O1320">
        <v>2</v>
      </c>
      <c r="P1320">
        <v>2</v>
      </c>
      <c r="Q1320" t="s">
        <v>75</v>
      </c>
      <c r="R1320" t="s">
        <v>3173</v>
      </c>
      <c r="S1320" t="s">
        <v>25</v>
      </c>
      <c r="T1320" t="s">
        <v>40</v>
      </c>
    </row>
    <row r="1321" spans="1:20" ht="16.5" x14ac:dyDescent="0.45">
      <c r="A1321">
        <v>2320</v>
      </c>
      <c r="B1321" t="s">
        <v>3174</v>
      </c>
      <c r="C1321" t="s">
        <v>28</v>
      </c>
      <c r="D1321" t="s">
        <v>42</v>
      </c>
      <c r="E1321">
        <v>527290</v>
      </c>
      <c r="F1321" s="1">
        <v>45307</v>
      </c>
      <c r="G1321" s="1"/>
      <c r="I1321">
        <v>4032</v>
      </c>
      <c r="K1321">
        <v>3</v>
      </c>
      <c r="L1321">
        <v>2</v>
      </c>
      <c r="M1321" t="s">
        <v>37</v>
      </c>
      <c r="N1321">
        <v>2017</v>
      </c>
      <c r="O1321">
        <v>10</v>
      </c>
      <c r="P1321">
        <v>3</v>
      </c>
      <c r="Q1321" t="s">
        <v>31</v>
      </c>
      <c r="R1321" t="s">
        <v>3175</v>
      </c>
      <c r="S1321" t="s">
        <v>33</v>
      </c>
      <c r="T1321" t="s">
        <v>77</v>
      </c>
    </row>
    <row r="1322" spans="1:20" ht="16.5" x14ac:dyDescent="0.45">
      <c r="A1322">
        <v>2321</v>
      </c>
      <c r="B1322" t="s">
        <v>3176</v>
      </c>
      <c r="C1322" t="s">
        <v>36</v>
      </c>
      <c r="D1322" t="s">
        <v>21</v>
      </c>
      <c r="E1322">
        <v>462146</v>
      </c>
      <c r="F1322" s="1">
        <v>45518</v>
      </c>
      <c r="G1322" s="1"/>
      <c r="I1322">
        <v>4137</v>
      </c>
      <c r="K1322">
        <v>2</v>
      </c>
      <c r="L1322">
        <v>4</v>
      </c>
      <c r="M1322" t="s">
        <v>62</v>
      </c>
      <c r="N1322">
        <v>2001</v>
      </c>
      <c r="O1322">
        <v>4</v>
      </c>
      <c r="P1322">
        <v>4</v>
      </c>
      <c r="Q1322" t="s">
        <v>162</v>
      </c>
      <c r="R1322" t="s">
        <v>3177</v>
      </c>
      <c r="S1322" t="s">
        <v>33</v>
      </c>
      <c r="T1322" t="s">
        <v>77</v>
      </c>
    </row>
    <row r="1323" spans="1:20" ht="16.5" x14ac:dyDescent="0.45">
      <c r="A1323">
        <v>2322</v>
      </c>
      <c r="B1323" t="s">
        <v>3178</v>
      </c>
      <c r="C1323" t="s">
        <v>20</v>
      </c>
      <c r="D1323" t="s">
        <v>29</v>
      </c>
      <c r="E1323">
        <v>731130</v>
      </c>
      <c r="F1323" s="1">
        <v>45406</v>
      </c>
      <c r="G1323" s="1">
        <v>45600</v>
      </c>
      <c r="H1323">
        <v>758885</v>
      </c>
      <c r="I1323">
        <v>4790</v>
      </c>
      <c r="J1323" s="5">
        <v>3635059150</v>
      </c>
      <c r="K1323">
        <v>4</v>
      </c>
      <c r="L1323">
        <v>3</v>
      </c>
      <c r="M1323" t="s">
        <v>22</v>
      </c>
      <c r="N1323">
        <v>2006</v>
      </c>
      <c r="P1323">
        <v>4</v>
      </c>
      <c r="Q1323" t="s">
        <v>86</v>
      </c>
      <c r="R1323" t="s">
        <v>2418</v>
      </c>
      <c r="S1323" t="s">
        <v>25</v>
      </c>
      <c r="T1323" t="s">
        <v>256</v>
      </c>
    </row>
    <row r="1324" spans="1:20" ht="16.5" x14ac:dyDescent="0.45">
      <c r="A1324">
        <v>2323</v>
      </c>
      <c r="B1324" t="s">
        <v>3179</v>
      </c>
      <c r="C1324" t="s">
        <v>20</v>
      </c>
      <c r="D1324" t="s">
        <v>21</v>
      </c>
      <c r="E1324">
        <v>372405</v>
      </c>
      <c r="F1324" s="1">
        <v>45452</v>
      </c>
      <c r="G1324" s="1"/>
      <c r="I1324">
        <v>3933</v>
      </c>
      <c r="K1324">
        <v>2</v>
      </c>
      <c r="L1324">
        <v>2</v>
      </c>
      <c r="M1324" t="s">
        <v>37</v>
      </c>
      <c r="N1324">
        <v>2017</v>
      </c>
      <c r="O1324">
        <v>6</v>
      </c>
      <c r="P1324">
        <v>2</v>
      </c>
      <c r="Q1324" t="s">
        <v>132</v>
      </c>
      <c r="R1324" t="s">
        <v>3180</v>
      </c>
      <c r="S1324" t="s">
        <v>33</v>
      </c>
      <c r="T1324" t="s">
        <v>180</v>
      </c>
    </row>
    <row r="1325" spans="1:20" ht="16.5" x14ac:dyDescent="0.45">
      <c r="A1325">
        <v>2324</v>
      </c>
      <c r="B1325" t="s">
        <v>3181</v>
      </c>
      <c r="C1325" t="s">
        <v>28</v>
      </c>
      <c r="D1325" t="s">
        <v>29</v>
      </c>
      <c r="E1325">
        <v>937606</v>
      </c>
      <c r="F1325" s="1">
        <v>45532</v>
      </c>
      <c r="G1325" s="1"/>
      <c r="I1325">
        <v>3698</v>
      </c>
      <c r="K1325">
        <v>6</v>
      </c>
      <c r="L1325">
        <v>4</v>
      </c>
      <c r="M1325" t="s">
        <v>62</v>
      </c>
      <c r="N1325">
        <v>2011</v>
      </c>
      <c r="O1325">
        <v>3</v>
      </c>
      <c r="P1325">
        <v>3</v>
      </c>
      <c r="Q1325" t="s">
        <v>86</v>
      </c>
      <c r="R1325" t="s">
        <v>3182</v>
      </c>
      <c r="S1325" t="s">
        <v>33</v>
      </c>
      <c r="T1325" t="s">
        <v>1245</v>
      </c>
    </row>
    <row r="1326" spans="1:20" ht="16.5" x14ac:dyDescent="0.45">
      <c r="A1326">
        <v>2325</v>
      </c>
      <c r="B1326" t="s">
        <v>3183</v>
      </c>
      <c r="C1326" t="s">
        <v>20</v>
      </c>
      <c r="D1326" t="s">
        <v>29</v>
      </c>
      <c r="E1326">
        <v>912554</v>
      </c>
      <c r="F1326" s="1">
        <v>45311</v>
      </c>
      <c r="G1326" s="1"/>
      <c r="I1326">
        <v>4503</v>
      </c>
      <c r="K1326">
        <v>4</v>
      </c>
      <c r="L1326">
        <v>4</v>
      </c>
      <c r="M1326" t="s">
        <v>62</v>
      </c>
      <c r="N1326">
        <v>2020</v>
      </c>
      <c r="O1326">
        <v>4</v>
      </c>
      <c r="P1326">
        <v>4</v>
      </c>
      <c r="Q1326" t="s">
        <v>132</v>
      </c>
      <c r="R1326" t="s">
        <v>3184</v>
      </c>
      <c r="S1326" t="s">
        <v>33</v>
      </c>
      <c r="T1326" t="s">
        <v>3185</v>
      </c>
    </row>
    <row r="1327" spans="1:20" ht="16.5" x14ac:dyDescent="0.45">
      <c r="A1327">
        <v>2326</v>
      </c>
      <c r="B1327" t="s">
        <v>3186</v>
      </c>
      <c r="C1327" t="s">
        <v>51</v>
      </c>
      <c r="D1327" t="s">
        <v>21</v>
      </c>
      <c r="E1327">
        <v>973801</v>
      </c>
      <c r="F1327" s="1">
        <v>45565</v>
      </c>
      <c r="G1327" s="1">
        <v>45360</v>
      </c>
      <c r="H1327">
        <v>1011468</v>
      </c>
      <c r="I1327">
        <v>4777</v>
      </c>
      <c r="J1327" s="5">
        <v>4831782636</v>
      </c>
      <c r="K1327">
        <v>3</v>
      </c>
      <c r="L1327">
        <v>3</v>
      </c>
      <c r="M1327" t="s">
        <v>62</v>
      </c>
      <c r="N1327">
        <v>2006</v>
      </c>
      <c r="O1327">
        <v>10</v>
      </c>
      <c r="P1327">
        <v>1</v>
      </c>
      <c r="Q1327" t="s">
        <v>31</v>
      </c>
      <c r="R1327" t="s">
        <v>3187</v>
      </c>
      <c r="S1327" t="s">
        <v>25</v>
      </c>
      <c r="T1327" t="s">
        <v>2626</v>
      </c>
    </row>
    <row r="1328" spans="1:20" ht="16.5" x14ac:dyDescent="0.45">
      <c r="A1328">
        <v>2327</v>
      </c>
      <c r="B1328" t="s">
        <v>3188</v>
      </c>
      <c r="C1328" t="s">
        <v>51</v>
      </c>
      <c r="D1328" t="s">
        <v>21</v>
      </c>
      <c r="E1328">
        <v>931212</v>
      </c>
      <c r="F1328" s="1">
        <v>45439</v>
      </c>
      <c r="G1328" s="1"/>
      <c r="I1328">
        <v>2517</v>
      </c>
      <c r="K1328">
        <v>2</v>
      </c>
      <c r="L1328">
        <v>5</v>
      </c>
      <c r="M1328" t="s">
        <v>22</v>
      </c>
      <c r="N1328">
        <v>2006</v>
      </c>
      <c r="P1328">
        <v>3</v>
      </c>
      <c r="Q1328" t="s">
        <v>132</v>
      </c>
      <c r="R1328" t="s">
        <v>3189</v>
      </c>
      <c r="S1328" t="s">
        <v>33</v>
      </c>
      <c r="T1328" t="s">
        <v>603</v>
      </c>
    </row>
    <row r="1329" spans="1:20" ht="16.5" x14ac:dyDescent="0.45">
      <c r="A1329">
        <v>2328</v>
      </c>
      <c r="B1329" t="s">
        <v>3190</v>
      </c>
      <c r="C1329" t="s">
        <v>20</v>
      </c>
      <c r="D1329" t="s">
        <v>29</v>
      </c>
      <c r="E1329">
        <v>548389</v>
      </c>
      <c r="F1329" s="1">
        <v>45627</v>
      </c>
      <c r="G1329" s="1"/>
      <c r="I1329">
        <v>1184</v>
      </c>
      <c r="K1329">
        <v>6</v>
      </c>
      <c r="L1329">
        <v>4</v>
      </c>
      <c r="M1329" t="s">
        <v>22</v>
      </c>
      <c r="N1329">
        <v>2011</v>
      </c>
      <c r="P1329">
        <v>4</v>
      </c>
      <c r="Q1329" t="s">
        <v>93</v>
      </c>
      <c r="R1329" t="s">
        <v>1686</v>
      </c>
      <c r="S1329" t="s">
        <v>33</v>
      </c>
      <c r="T1329" t="s">
        <v>372</v>
      </c>
    </row>
    <row r="1330" spans="1:20" ht="16.5" x14ac:dyDescent="0.45">
      <c r="A1330">
        <v>2329</v>
      </c>
      <c r="B1330" t="s">
        <v>3191</v>
      </c>
      <c r="C1330" t="s">
        <v>20</v>
      </c>
      <c r="D1330" t="s">
        <v>21</v>
      </c>
      <c r="E1330">
        <v>658159</v>
      </c>
      <c r="F1330" s="1">
        <v>45380</v>
      </c>
      <c r="G1330" s="1"/>
      <c r="I1330">
        <v>3556</v>
      </c>
      <c r="K1330">
        <v>2</v>
      </c>
      <c r="L1330">
        <v>3</v>
      </c>
      <c r="M1330" t="s">
        <v>37</v>
      </c>
      <c r="N1330">
        <v>2005</v>
      </c>
      <c r="O1330">
        <v>4</v>
      </c>
      <c r="P1330">
        <v>1</v>
      </c>
      <c r="Q1330" t="s">
        <v>31</v>
      </c>
      <c r="R1330" t="s">
        <v>3192</v>
      </c>
      <c r="S1330" t="s">
        <v>33</v>
      </c>
      <c r="T1330" t="s">
        <v>3193</v>
      </c>
    </row>
    <row r="1331" spans="1:20" ht="16.5" x14ac:dyDescent="0.45">
      <c r="A1331">
        <v>2330</v>
      </c>
      <c r="B1331" t="s">
        <v>3194</v>
      </c>
      <c r="C1331" t="s">
        <v>20</v>
      </c>
      <c r="D1331" t="s">
        <v>29</v>
      </c>
      <c r="E1331">
        <v>569139</v>
      </c>
      <c r="F1331" s="1">
        <v>45347</v>
      </c>
      <c r="G1331" s="1"/>
      <c r="I1331">
        <v>2904</v>
      </c>
      <c r="K1331">
        <v>6</v>
      </c>
      <c r="L1331">
        <v>3</v>
      </c>
      <c r="M1331" t="s">
        <v>37</v>
      </c>
      <c r="N1331">
        <v>2016</v>
      </c>
      <c r="O1331">
        <v>8</v>
      </c>
      <c r="P1331">
        <v>3</v>
      </c>
      <c r="Q1331" t="s">
        <v>58</v>
      </c>
      <c r="R1331" t="s">
        <v>3195</v>
      </c>
      <c r="S1331" t="s">
        <v>33</v>
      </c>
      <c r="T1331" t="s">
        <v>2519</v>
      </c>
    </row>
    <row r="1332" spans="1:20" ht="16.5" x14ac:dyDescent="0.45">
      <c r="A1332">
        <v>2331</v>
      </c>
      <c r="B1332" t="s">
        <v>3196</v>
      </c>
      <c r="C1332" t="s">
        <v>47</v>
      </c>
      <c r="D1332" t="s">
        <v>42</v>
      </c>
      <c r="E1332">
        <v>670065</v>
      </c>
      <c r="F1332" s="1">
        <v>45470</v>
      </c>
      <c r="G1332" s="1"/>
      <c r="I1332">
        <v>1498</v>
      </c>
      <c r="K1332">
        <v>6</v>
      </c>
      <c r="L1332">
        <v>2</v>
      </c>
      <c r="M1332" t="s">
        <v>22</v>
      </c>
      <c r="N1332">
        <v>2002</v>
      </c>
      <c r="P1332">
        <v>2</v>
      </c>
      <c r="Q1332" t="s">
        <v>162</v>
      </c>
      <c r="R1332" t="s">
        <v>3197</v>
      </c>
      <c r="S1332" t="s">
        <v>33</v>
      </c>
      <c r="T1332" t="s">
        <v>183</v>
      </c>
    </row>
    <row r="1333" spans="1:20" ht="16.5" x14ac:dyDescent="0.45">
      <c r="A1333">
        <v>2332</v>
      </c>
      <c r="B1333" t="s">
        <v>3198</v>
      </c>
      <c r="C1333" t="s">
        <v>20</v>
      </c>
      <c r="D1333" t="s">
        <v>21</v>
      </c>
      <c r="E1333">
        <v>923078</v>
      </c>
      <c r="F1333" s="1">
        <v>45315</v>
      </c>
      <c r="G1333" s="1"/>
      <c r="I1333">
        <v>4772</v>
      </c>
      <c r="K1333">
        <v>3</v>
      </c>
      <c r="L1333">
        <v>3</v>
      </c>
      <c r="M1333" t="s">
        <v>30</v>
      </c>
      <c r="N1333">
        <v>2015</v>
      </c>
      <c r="O1333">
        <v>10</v>
      </c>
      <c r="P1333">
        <v>1</v>
      </c>
      <c r="Q1333" t="s">
        <v>38</v>
      </c>
      <c r="R1333" t="s">
        <v>3199</v>
      </c>
      <c r="S1333" t="s">
        <v>33</v>
      </c>
      <c r="T1333" t="s">
        <v>3200</v>
      </c>
    </row>
    <row r="1334" spans="1:20" ht="16.5" x14ac:dyDescent="0.45">
      <c r="A1334">
        <v>2333</v>
      </c>
      <c r="B1334" t="s">
        <v>3201</v>
      </c>
      <c r="C1334" t="s">
        <v>36</v>
      </c>
      <c r="D1334" t="s">
        <v>21</v>
      </c>
      <c r="E1334">
        <v>473406</v>
      </c>
      <c r="F1334" s="1">
        <v>45279</v>
      </c>
      <c r="G1334" s="1">
        <v>45616</v>
      </c>
      <c r="H1334">
        <v>498205</v>
      </c>
      <c r="I1334">
        <v>4663</v>
      </c>
      <c r="J1334" s="5">
        <v>2323129915</v>
      </c>
      <c r="K1334">
        <v>5</v>
      </c>
      <c r="L1334">
        <v>3</v>
      </c>
      <c r="M1334" t="s">
        <v>37</v>
      </c>
      <c r="N1334">
        <v>2008</v>
      </c>
      <c r="O1334">
        <v>5</v>
      </c>
      <c r="P1334">
        <v>2</v>
      </c>
      <c r="Q1334" t="s">
        <v>23</v>
      </c>
      <c r="R1334" t="s">
        <v>3202</v>
      </c>
      <c r="S1334" t="s">
        <v>25</v>
      </c>
      <c r="T1334" t="s">
        <v>3203</v>
      </c>
    </row>
    <row r="1335" spans="1:20" ht="16.5" x14ac:dyDescent="0.45">
      <c r="A1335">
        <v>2334</v>
      </c>
      <c r="B1335" t="s">
        <v>3204</v>
      </c>
      <c r="C1335" t="s">
        <v>20</v>
      </c>
      <c r="D1335" t="s">
        <v>21</v>
      </c>
      <c r="E1335">
        <v>783493</v>
      </c>
      <c r="F1335" s="1">
        <v>45624</v>
      </c>
      <c r="G1335" s="1"/>
      <c r="I1335">
        <v>1202</v>
      </c>
      <c r="K1335">
        <v>3</v>
      </c>
      <c r="L1335">
        <v>3</v>
      </c>
      <c r="M1335" t="s">
        <v>22</v>
      </c>
      <c r="N1335">
        <v>2007</v>
      </c>
      <c r="P1335">
        <v>2</v>
      </c>
      <c r="Q1335" t="s">
        <v>86</v>
      </c>
      <c r="R1335" t="s">
        <v>1120</v>
      </c>
      <c r="S1335" t="s">
        <v>33</v>
      </c>
      <c r="T1335" t="s">
        <v>183</v>
      </c>
    </row>
    <row r="1336" spans="1:20" ht="16.5" x14ac:dyDescent="0.45">
      <c r="A1336">
        <v>2335</v>
      </c>
      <c r="B1336" t="s">
        <v>3205</v>
      </c>
      <c r="C1336" t="s">
        <v>47</v>
      </c>
      <c r="D1336" t="s">
        <v>21</v>
      </c>
      <c r="E1336">
        <v>957904</v>
      </c>
      <c r="F1336" s="1">
        <v>45567</v>
      </c>
      <c r="G1336" s="1">
        <v>45462</v>
      </c>
      <c r="H1336">
        <v>1005036</v>
      </c>
      <c r="I1336">
        <v>3739</v>
      </c>
      <c r="J1336" s="5">
        <v>3757829604</v>
      </c>
      <c r="K1336">
        <v>5</v>
      </c>
      <c r="L1336">
        <v>3</v>
      </c>
      <c r="M1336" t="s">
        <v>22</v>
      </c>
      <c r="N1336">
        <v>2017</v>
      </c>
      <c r="P1336">
        <v>1</v>
      </c>
      <c r="Q1336" t="s">
        <v>132</v>
      </c>
      <c r="R1336" t="s">
        <v>3206</v>
      </c>
      <c r="S1336" t="s">
        <v>25</v>
      </c>
      <c r="T1336" t="s">
        <v>1412</v>
      </c>
    </row>
    <row r="1337" spans="1:20" ht="16.5" x14ac:dyDescent="0.45">
      <c r="A1337">
        <v>2336</v>
      </c>
      <c r="B1337" t="s">
        <v>3207</v>
      </c>
      <c r="C1337" t="s">
        <v>28</v>
      </c>
      <c r="D1337" t="s">
        <v>29</v>
      </c>
      <c r="E1337">
        <v>687327</v>
      </c>
      <c r="F1337" s="1">
        <v>45432</v>
      </c>
      <c r="G1337" s="1">
        <v>45526</v>
      </c>
      <c r="H1337">
        <v>715634</v>
      </c>
      <c r="I1337">
        <v>2036</v>
      </c>
      <c r="J1337" s="5">
        <v>1457030824</v>
      </c>
      <c r="K1337">
        <v>2</v>
      </c>
      <c r="L1337">
        <v>5</v>
      </c>
      <c r="M1337" t="s">
        <v>37</v>
      </c>
      <c r="N1337">
        <v>2008</v>
      </c>
      <c r="O1337">
        <v>6</v>
      </c>
      <c r="P1337">
        <v>2</v>
      </c>
      <c r="Q1337" t="s">
        <v>75</v>
      </c>
      <c r="R1337" t="s">
        <v>3208</v>
      </c>
      <c r="S1337" t="s">
        <v>25</v>
      </c>
      <c r="T1337" t="s">
        <v>1882</v>
      </c>
    </row>
    <row r="1338" spans="1:20" ht="16.5" x14ac:dyDescent="0.45">
      <c r="A1338">
        <v>2337</v>
      </c>
      <c r="B1338" t="s">
        <v>3209</v>
      </c>
      <c r="C1338" t="s">
        <v>20</v>
      </c>
      <c r="D1338" t="s">
        <v>21</v>
      </c>
      <c r="E1338">
        <v>331299</v>
      </c>
      <c r="F1338" s="1">
        <v>45480</v>
      </c>
      <c r="G1338" s="1"/>
      <c r="I1338">
        <v>4723</v>
      </c>
      <c r="K1338">
        <v>6</v>
      </c>
      <c r="L1338">
        <v>3</v>
      </c>
      <c r="M1338" t="s">
        <v>62</v>
      </c>
      <c r="N1338">
        <v>2015</v>
      </c>
      <c r="O1338">
        <v>9</v>
      </c>
      <c r="P1338">
        <v>1</v>
      </c>
      <c r="Q1338" t="s">
        <v>132</v>
      </c>
      <c r="R1338" t="s">
        <v>3210</v>
      </c>
      <c r="S1338" t="s">
        <v>33</v>
      </c>
      <c r="T1338" t="s">
        <v>2801</v>
      </c>
    </row>
    <row r="1339" spans="1:20" ht="16.5" x14ac:dyDescent="0.45">
      <c r="A1339">
        <v>2338</v>
      </c>
      <c r="B1339" t="s">
        <v>3211</v>
      </c>
      <c r="C1339" t="s">
        <v>36</v>
      </c>
      <c r="D1339" t="s">
        <v>21</v>
      </c>
      <c r="E1339">
        <v>457352</v>
      </c>
      <c r="F1339" s="1">
        <v>45391</v>
      </c>
      <c r="G1339" s="1"/>
      <c r="I1339">
        <v>4484</v>
      </c>
      <c r="K1339">
        <v>3</v>
      </c>
      <c r="L1339">
        <v>4</v>
      </c>
      <c r="M1339" t="s">
        <v>22</v>
      </c>
      <c r="N1339">
        <v>2002</v>
      </c>
      <c r="P1339">
        <v>1</v>
      </c>
      <c r="Q1339" t="s">
        <v>43</v>
      </c>
      <c r="R1339" t="s">
        <v>3212</v>
      </c>
      <c r="S1339" t="s">
        <v>33</v>
      </c>
      <c r="T1339" t="s">
        <v>1386</v>
      </c>
    </row>
    <row r="1340" spans="1:20" ht="16.5" x14ac:dyDescent="0.45">
      <c r="A1340">
        <v>2339</v>
      </c>
      <c r="B1340" t="s">
        <v>3213</v>
      </c>
      <c r="C1340" t="s">
        <v>20</v>
      </c>
      <c r="D1340" t="s">
        <v>29</v>
      </c>
      <c r="E1340">
        <v>607593</v>
      </c>
      <c r="F1340" s="1">
        <v>45401</v>
      </c>
      <c r="G1340" s="1">
        <v>45622</v>
      </c>
      <c r="H1340">
        <v>632591</v>
      </c>
      <c r="I1340">
        <v>2977</v>
      </c>
      <c r="J1340" s="5">
        <v>1883223407</v>
      </c>
      <c r="K1340">
        <v>6</v>
      </c>
      <c r="L1340">
        <v>3</v>
      </c>
      <c r="M1340" t="s">
        <v>62</v>
      </c>
      <c r="N1340">
        <v>2013</v>
      </c>
      <c r="O1340">
        <v>7</v>
      </c>
      <c r="P1340">
        <v>3</v>
      </c>
      <c r="Q1340" t="s">
        <v>58</v>
      </c>
      <c r="R1340" t="s">
        <v>3214</v>
      </c>
      <c r="S1340" t="s">
        <v>25</v>
      </c>
      <c r="T1340" t="s">
        <v>3215</v>
      </c>
    </row>
    <row r="1341" spans="1:20" ht="16.5" x14ac:dyDescent="0.45">
      <c r="A1341">
        <v>2340</v>
      </c>
      <c r="B1341" t="s">
        <v>3216</v>
      </c>
      <c r="C1341" t="s">
        <v>51</v>
      </c>
      <c r="D1341" t="s">
        <v>42</v>
      </c>
      <c r="E1341">
        <v>767012</v>
      </c>
      <c r="F1341" s="1">
        <v>45469</v>
      </c>
      <c r="G1341" s="1">
        <v>45301</v>
      </c>
      <c r="H1341">
        <v>810111</v>
      </c>
      <c r="I1341">
        <v>3824</v>
      </c>
      <c r="J1341" s="5">
        <v>3097864464</v>
      </c>
      <c r="K1341">
        <v>4</v>
      </c>
      <c r="L1341">
        <v>5</v>
      </c>
      <c r="M1341" t="s">
        <v>37</v>
      </c>
      <c r="N1341">
        <v>2021</v>
      </c>
      <c r="O1341">
        <v>6</v>
      </c>
      <c r="P1341">
        <v>1</v>
      </c>
      <c r="Q1341" t="s">
        <v>23</v>
      </c>
      <c r="R1341" t="s">
        <v>3217</v>
      </c>
      <c r="S1341" t="s">
        <v>25</v>
      </c>
      <c r="T1341" t="s">
        <v>3218</v>
      </c>
    </row>
    <row r="1342" spans="1:20" ht="16.5" x14ac:dyDescent="0.45">
      <c r="A1342">
        <v>2341</v>
      </c>
      <c r="B1342" t="s">
        <v>3219</v>
      </c>
      <c r="C1342" t="s">
        <v>28</v>
      </c>
      <c r="D1342" t="s">
        <v>29</v>
      </c>
      <c r="E1342">
        <v>815109</v>
      </c>
      <c r="F1342" s="1">
        <v>45557</v>
      </c>
      <c r="G1342" s="1"/>
      <c r="I1342">
        <v>2232</v>
      </c>
      <c r="K1342">
        <v>2</v>
      </c>
      <c r="L1342">
        <v>3</v>
      </c>
      <c r="M1342" t="s">
        <v>37</v>
      </c>
      <c r="N1342">
        <v>2018</v>
      </c>
      <c r="O1342">
        <v>4</v>
      </c>
      <c r="P1342">
        <v>1</v>
      </c>
      <c r="Q1342" t="s">
        <v>86</v>
      </c>
      <c r="R1342" t="s">
        <v>3220</v>
      </c>
      <c r="S1342" t="s">
        <v>33</v>
      </c>
      <c r="T1342" t="s">
        <v>581</v>
      </c>
    </row>
    <row r="1343" spans="1:20" ht="16.5" x14ac:dyDescent="0.45">
      <c r="A1343">
        <v>2342</v>
      </c>
      <c r="B1343" t="s">
        <v>3221</v>
      </c>
      <c r="C1343" t="s">
        <v>20</v>
      </c>
      <c r="D1343" t="s">
        <v>21</v>
      </c>
      <c r="E1343">
        <v>902974</v>
      </c>
      <c r="F1343" s="1">
        <v>45495</v>
      </c>
      <c r="G1343" s="1"/>
      <c r="I1343">
        <v>2755</v>
      </c>
      <c r="K1343">
        <v>2</v>
      </c>
      <c r="L1343">
        <v>4</v>
      </c>
      <c r="M1343" t="s">
        <v>62</v>
      </c>
      <c r="N1343">
        <v>2008</v>
      </c>
      <c r="O1343">
        <v>7</v>
      </c>
      <c r="P1343">
        <v>4</v>
      </c>
      <c r="Q1343" t="s">
        <v>58</v>
      </c>
      <c r="R1343" t="s">
        <v>3222</v>
      </c>
      <c r="S1343" t="s">
        <v>33</v>
      </c>
      <c r="T1343" t="s">
        <v>3223</v>
      </c>
    </row>
    <row r="1344" spans="1:20" ht="16.5" x14ac:dyDescent="0.45">
      <c r="A1344">
        <v>2343</v>
      </c>
      <c r="B1344" t="s">
        <v>3224</v>
      </c>
      <c r="C1344" t="s">
        <v>28</v>
      </c>
      <c r="D1344" t="s">
        <v>42</v>
      </c>
      <c r="E1344">
        <v>582483</v>
      </c>
      <c r="F1344" s="1">
        <v>45554</v>
      </c>
      <c r="G1344" s="1">
        <v>45381</v>
      </c>
      <c r="H1344">
        <v>603263</v>
      </c>
      <c r="I1344">
        <v>2101</v>
      </c>
      <c r="J1344" s="5">
        <v>1267455563</v>
      </c>
      <c r="K1344">
        <v>4</v>
      </c>
      <c r="L1344">
        <v>5</v>
      </c>
      <c r="M1344" t="s">
        <v>30</v>
      </c>
      <c r="N1344">
        <v>2009</v>
      </c>
      <c r="O1344">
        <v>8</v>
      </c>
      <c r="P1344">
        <v>1</v>
      </c>
      <c r="Q1344" t="s">
        <v>43</v>
      </c>
      <c r="R1344" t="s">
        <v>3225</v>
      </c>
      <c r="S1344" t="s">
        <v>25</v>
      </c>
      <c r="T1344" t="s">
        <v>3226</v>
      </c>
    </row>
    <row r="1345" spans="1:20" ht="16.5" x14ac:dyDescent="0.45">
      <c r="A1345">
        <v>2344</v>
      </c>
      <c r="B1345" t="s">
        <v>3227</v>
      </c>
      <c r="C1345" t="s">
        <v>36</v>
      </c>
      <c r="D1345" t="s">
        <v>42</v>
      </c>
      <c r="E1345">
        <v>341165</v>
      </c>
      <c r="F1345" s="1">
        <v>45511</v>
      </c>
      <c r="G1345" s="1"/>
      <c r="I1345">
        <v>4110</v>
      </c>
      <c r="K1345">
        <v>3</v>
      </c>
      <c r="L1345">
        <v>4</v>
      </c>
      <c r="M1345" t="s">
        <v>37</v>
      </c>
      <c r="N1345">
        <v>2022</v>
      </c>
      <c r="O1345">
        <v>2</v>
      </c>
      <c r="P1345">
        <v>3</v>
      </c>
      <c r="Q1345" t="s">
        <v>86</v>
      </c>
      <c r="R1345" t="s">
        <v>3228</v>
      </c>
      <c r="S1345" t="s">
        <v>33</v>
      </c>
      <c r="T1345" t="s">
        <v>70</v>
      </c>
    </row>
    <row r="1346" spans="1:20" ht="16.5" x14ac:dyDescent="0.45">
      <c r="A1346">
        <v>2345</v>
      </c>
      <c r="B1346" t="s">
        <v>3229</v>
      </c>
      <c r="C1346" t="s">
        <v>36</v>
      </c>
      <c r="D1346" t="s">
        <v>21</v>
      </c>
      <c r="E1346">
        <v>686673</v>
      </c>
      <c r="F1346" s="1">
        <v>45394</v>
      </c>
      <c r="G1346" s="1">
        <v>45590</v>
      </c>
      <c r="H1346">
        <v>708684</v>
      </c>
      <c r="I1346">
        <v>1671</v>
      </c>
      <c r="J1346" s="5">
        <v>1184210964</v>
      </c>
      <c r="K1346">
        <v>2</v>
      </c>
      <c r="L1346">
        <v>4</v>
      </c>
      <c r="M1346" t="s">
        <v>22</v>
      </c>
      <c r="N1346">
        <v>2014</v>
      </c>
      <c r="P1346">
        <v>2</v>
      </c>
      <c r="Q1346" t="s">
        <v>93</v>
      </c>
      <c r="R1346" t="s">
        <v>2121</v>
      </c>
      <c r="S1346" t="s">
        <v>25</v>
      </c>
      <c r="T1346" t="s">
        <v>1412</v>
      </c>
    </row>
    <row r="1347" spans="1:20" ht="16.5" x14ac:dyDescent="0.45">
      <c r="A1347">
        <v>2346</v>
      </c>
      <c r="B1347" t="s">
        <v>3230</v>
      </c>
      <c r="C1347" t="s">
        <v>36</v>
      </c>
      <c r="D1347" t="s">
        <v>42</v>
      </c>
      <c r="E1347">
        <v>880401</v>
      </c>
      <c r="F1347" s="1">
        <v>45364</v>
      </c>
      <c r="G1347" s="1">
        <v>45575</v>
      </c>
      <c r="H1347">
        <v>901636</v>
      </c>
      <c r="I1347">
        <v>1127</v>
      </c>
      <c r="J1347" s="5">
        <v>1016143772</v>
      </c>
      <c r="K1347">
        <v>4</v>
      </c>
      <c r="L1347">
        <v>2</v>
      </c>
      <c r="M1347" t="s">
        <v>30</v>
      </c>
      <c r="N1347">
        <v>2011</v>
      </c>
      <c r="O1347">
        <v>1</v>
      </c>
      <c r="P1347">
        <v>4</v>
      </c>
      <c r="Q1347" t="s">
        <v>162</v>
      </c>
      <c r="R1347" t="s">
        <v>3231</v>
      </c>
      <c r="S1347" t="s">
        <v>25</v>
      </c>
      <c r="T1347" t="s">
        <v>475</v>
      </c>
    </row>
    <row r="1348" spans="1:20" ht="16.5" x14ac:dyDescent="0.45">
      <c r="A1348">
        <v>2347</v>
      </c>
      <c r="B1348" t="s">
        <v>3232</v>
      </c>
      <c r="C1348" t="s">
        <v>36</v>
      </c>
      <c r="D1348" t="s">
        <v>21</v>
      </c>
      <c r="E1348">
        <v>756778</v>
      </c>
      <c r="F1348" s="1">
        <v>45508</v>
      </c>
      <c r="G1348" s="1">
        <v>45361</v>
      </c>
      <c r="H1348">
        <v>789064</v>
      </c>
      <c r="I1348">
        <v>3140</v>
      </c>
      <c r="J1348" s="5">
        <v>2477660960</v>
      </c>
      <c r="K1348">
        <v>4</v>
      </c>
      <c r="L1348">
        <v>3</v>
      </c>
      <c r="M1348" t="s">
        <v>37</v>
      </c>
      <c r="N1348">
        <v>2002</v>
      </c>
      <c r="O1348">
        <v>4</v>
      </c>
      <c r="P1348">
        <v>3</v>
      </c>
      <c r="Q1348" t="s">
        <v>132</v>
      </c>
      <c r="R1348" t="s">
        <v>3233</v>
      </c>
      <c r="S1348" t="s">
        <v>25</v>
      </c>
      <c r="T1348" t="s">
        <v>77</v>
      </c>
    </row>
    <row r="1349" spans="1:20" ht="16.5" x14ac:dyDescent="0.45">
      <c r="A1349">
        <v>2348</v>
      </c>
      <c r="B1349" t="s">
        <v>3234</v>
      </c>
      <c r="C1349" t="s">
        <v>28</v>
      </c>
      <c r="D1349" t="s">
        <v>42</v>
      </c>
      <c r="E1349">
        <v>911297</v>
      </c>
      <c r="F1349" s="1">
        <v>45372</v>
      </c>
      <c r="G1349" s="1">
        <v>45507</v>
      </c>
      <c r="H1349">
        <v>947599</v>
      </c>
      <c r="I1349">
        <v>3349</v>
      </c>
      <c r="J1349" s="5">
        <v>3173509051</v>
      </c>
      <c r="K1349">
        <v>6</v>
      </c>
      <c r="L1349">
        <v>2</v>
      </c>
      <c r="M1349" t="s">
        <v>30</v>
      </c>
      <c r="N1349">
        <v>2015</v>
      </c>
      <c r="O1349">
        <v>1</v>
      </c>
      <c r="P1349">
        <v>3</v>
      </c>
      <c r="Q1349" t="s">
        <v>86</v>
      </c>
      <c r="R1349" t="s">
        <v>3235</v>
      </c>
      <c r="S1349" t="s">
        <v>25</v>
      </c>
      <c r="T1349" t="s">
        <v>183</v>
      </c>
    </row>
    <row r="1350" spans="1:20" ht="16.5" x14ac:dyDescent="0.45">
      <c r="A1350">
        <v>2349</v>
      </c>
      <c r="B1350" t="s">
        <v>3236</v>
      </c>
      <c r="C1350" t="s">
        <v>28</v>
      </c>
      <c r="D1350" t="s">
        <v>42</v>
      </c>
      <c r="E1350">
        <v>865040</v>
      </c>
      <c r="F1350" s="1">
        <v>45374</v>
      </c>
      <c r="G1350" s="1">
        <v>45372</v>
      </c>
      <c r="H1350">
        <v>898352</v>
      </c>
      <c r="I1350">
        <v>1976</v>
      </c>
      <c r="J1350" s="5">
        <v>1775143552</v>
      </c>
      <c r="K1350">
        <v>4</v>
      </c>
      <c r="L1350">
        <v>2</v>
      </c>
      <c r="M1350" t="s">
        <v>22</v>
      </c>
      <c r="N1350">
        <v>2018</v>
      </c>
      <c r="P1350">
        <v>1</v>
      </c>
      <c r="Q1350" t="s">
        <v>93</v>
      </c>
      <c r="R1350" t="s">
        <v>3192</v>
      </c>
      <c r="S1350" t="s">
        <v>25</v>
      </c>
      <c r="T1350" t="s">
        <v>3237</v>
      </c>
    </row>
    <row r="1351" spans="1:20" ht="16.5" x14ac:dyDescent="0.45">
      <c r="A1351">
        <v>2350</v>
      </c>
      <c r="B1351" t="s">
        <v>3238</v>
      </c>
      <c r="C1351" t="s">
        <v>47</v>
      </c>
      <c r="D1351" t="s">
        <v>42</v>
      </c>
      <c r="E1351">
        <v>335957</v>
      </c>
      <c r="F1351" s="1">
        <v>45616</v>
      </c>
      <c r="G1351" s="1"/>
      <c r="I1351">
        <v>3518</v>
      </c>
      <c r="K1351">
        <v>2</v>
      </c>
      <c r="L1351">
        <v>2</v>
      </c>
      <c r="M1351" t="s">
        <v>62</v>
      </c>
      <c r="N1351">
        <v>2016</v>
      </c>
      <c r="O1351">
        <v>4</v>
      </c>
      <c r="P1351">
        <v>1</v>
      </c>
      <c r="Q1351" t="s">
        <v>58</v>
      </c>
      <c r="R1351" t="s">
        <v>1818</v>
      </c>
      <c r="S1351" t="s">
        <v>33</v>
      </c>
      <c r="T1351" t="s">
        <v>3239</v>
      </c>
    </row>
    <row r="1352" spans="1:20" ht="16.5" x14ac:dyDescent="0.45">
      <c r="A1352">
        <v>2351</v>
      </c>
      <c r="B1352" t="s">
        <v>3240</v>
      </c>
      <c r="C1352" t="s">
        <v>36</v>
      </c>
      <c r="D1352" t="s">
        <v>42</v>
      </c>
      <c r="E1352">
        <v>989740</v>
      </c>
      <c r="F1352" s="1">
        <v>45498</v>
      </c>
      <c r="G1352" s="1">
        <v>45640</v>
      </c>
      <c r="H1352">
        <v>1003355</v>
      </c>
      <c r="I1352">
        <v>1045</v>
      </c>
      <c r="J1352" s="5">
        <v>1048505975</v>
      </c>
      <c r="K1352">
        <v>2</v>
      </c>
      <c r="L1352">
        <v>2</v>
      </c>
      <c r="M1352" t="s">
        <v>22</v>
      </c>
      <c r="N1352">
        <v>2019</v>
      </c>
      <c r="P1352">
        <v>3</v>
      </c>
      <c r="Q1352" t="s">
        <v>43</v>
      </c>
      <c r="R1352" t="s">
        <v>3241</v>
      </c>
      <c r="S1352" t="s">
        <v>25</v>
      </c>
      <c r="T1352" t="s">
        <v>137</v>
      </c>
    </row>
    <row r="1353" spans="1:20" ht="16.5" x14ac:dyDescent="0.45">
      <c r="A1353">
        <v>2352</v>
      </c>
      <c r="B1353" t="s">
        <v>3242</v>
      </c>
      <c r="C1353" t="s">
        <v>20</v>
      </c>
      <c r="D1353" t="s">
        <v>21</v>
      </c>
      <c r="E1353">
        <v>585190</v>
      </c>
      <c r="F1353" s="1">
        <v>45469</v>
      </c>
      <c r="G1353" s="1"/>
      <c r="I1353">
        <v>3989</v>
      </c>
      <c r="K1353">
        <v>2</v>
      </c>
      <c r="L1353">
        <v>3</v>
      </c>
      <c r="M1353" t="s">
        <v>22</v>
      </c>
      <c r="N1353">
        <v>2010</v>
      </c>
      <c r="P1353">
        <v>2</v>
      </c>
      <c r="Q1353" t="s">
        <v>75</v>
      </c>
      <c r="R1353" t="s">
        <v>3243</v>
      </c>
      <c r="S1353" t="s">
        <v>33</v>
      </c>
      <c r="T1353" t="s">
        <v>665</v>
      </c>
    </row>
    <row r="1354" spans="1:20" ht="16.5" x14ac:dyDescent="0.45">
      <c r="A1354">
        <v>2353</v>
      </c>
      <c r="B1354" t="s">
        <v>3244</v>
      </c>
      <c r="C1354" t="s">
        <v>28</v>
      </c>
      <c r="D1354" t="s">
        <v>42</v>
      </c>
      <c r="E1354">
        <v>458725</v>
      </c>
      <c r="F1354" s="1">
        <v>45616</v>
      </c>
      <c r="G1354" s="1">
        <v>45475</v>
      </c>
      <c r="H1354">
        <v>492244</v>
      </c>
      <c r="I1354">
        <v>2536</v>
      </c>
      <c r="J1354" s="5">
        <v>1248330784</v>
      </c>
      <c r="K1354">
        <v>3</v>
      </c>
      <c r="L1354">
        <v>5</v>
      </c>
      <c r="M1354" t="s">
        <v>30</v>
      </c>
      <c r="N1354">
        <v>2000</v>
      </c>
      <c r="O1354">
        <v>3</v>
      </c>
      <c r="P1354">
        <v>3</v>
      </c>
      <c r="Q1354" t="s">
        <v>93</v>
      </c>
      <c r="R1354" t="s">
        <v>3245</v>
      </c>
      <c r="S1354" t="s">
        <v>25</v>
      </c>
      <c r="T1354" t="s">
        <v>447</v>
      </c>
    </row>
    <row r="1355" spans="1:20" ht="16.5" x14ac:dyDescent="0.45">
      <c r="A1355">
        <v>2354</v>
      </c>
      <c r="B1355" t="s">
        <v>3246</v>
      </c>
      <c r="C1355" t="s">
        <v>47</v>
      </c>
      <c r="D1355" t="s">
        <v>21</v>
      </c>
      <c r="E1355">
        <v>436949</v>
      </c>
      <c r="F1355" s="1">
        <v>45429</v>
      </c>
      <c r="G1355" s="1">
        <v>45349</v>
      </c>
      <c r="H1355">
        <v>470946</v>
      </c>
      <c r="I1355">
        <v>2972</v>
      </c>
      <c r="J1355" s="5">
        <v>1399651512</v>
      </c>
      <c r="K1355">
        <v>3</v>
      </c>
      <c r="L1355">
        <v>2</v>
      </c>
      <c r="M1355" t="s">
        <v>62</v>
      </c>
      <c r="N1355">
        <v>2008</v>
      </c>
      <c r="O1355">
        <v>4</v>
      </c>
      <c r="P1355">
        <v>4</v>
      </c>
      <c r="Q1355" t="s">
        <v>58</v>
      </c>
      <c r="R1355" t="s">
        <v>2101</v>
      </c>
      <c r="S1355" t="s">
        <v>25</v>
      </c>
      <c r="T1355" t="s">
        <v>1449</v>
      </c>
    </row>
    <row r="1356" spans="1:20" ht="16.5" x14ac:dyDescent="0.45">
      <c r="A1356">
        <v>2355</v>
      </c>
      <c r="B1356" t="s">
        <v>3247</v>
      </c>
      <c r="C1356" t="s">
        <v>51</v>
      </c>
      <c r="D1356" t="s">
        <v>29</v>
      </c>
      <c r="E1356">
        <v>732265</v>
      </c>
      <c r="F1356" s="1">
        <v>45298</v>
      </c>
      <c r="G1356" s="1">
        <v>45435</v>
      </c>
      <c r="H1356">
        <v>750816</v>
      </c>
      <c r="I1356">
        <v>2571</v>
      </c>
      <c r="J1356" s="5">
        <v>1930347936</v>
      </c>
      <c r="K1356">
        <v>2</v>
      </c>
      <c r="L1356">
        <v>5</v>
      </c>
      <c r="M1356" t="s">
        <v>62</v>
      </c>
      <c r="N1356">
        <v>2010</v>
      </c>
      <c r="O1356">
        <v>5</v>
      </c>
      <c r="P1356">
        <v>3</v>
      </c>
      <c r="Q1356" t="s">
        <v>75</v>
      </c>
      <c r="R1356" t="s">
        <v>3248</v>
      </c>
      <c r="S1356" t="s">
        <v>25</v>
      </c>
      <c r="T1356" t="s">
        <v>1273</v>
      </c>
    </row>
    <row r="1357" spans="1:20" ht="16.5" x14ac:dyDescent="0.45">
      <c r="A1357">
        <v>2356</v>
      </c>
      <c r="B1357" t="s">
        <v>3249</v>
      </c>
      <c r="C1357" t="s">
        <v>36</v>
      </c>
      <c r="D1357" t="s">
        <v>29</v>
      </c>
      <c r="E1357">
        <v>893537</v>
      </c>
      <c r="F1357" s="1">
        <v>45311</v>
      </c>
      <c r="G1357" s="1">
        <v>45591</v>
      </c>
      <c r="H1357">
        <v>918672</v>
      </c>
      <c r="I1357">
        <v>2843</v>
      </c>
      <c r="J1357" s="5">
        <v>2611784496</v>
      </c>
      <c r="K1357">
        <v>6</v>
      </c>
      <c r="L1357">
        <v>4</v>
      </c>
      <c r="M1357" t="s">
        <v>22</v>
      </c>
      <c r="N1357">
        <v>2015</v>
      </c>
      <c r="P1357">
        <v>1</v>
      </c>
      <c r="Q1357" t="s">
        <v>31</v>
      </c>
      <c r="R1357" t="s">
        <v>1845</v>
      </c>
      <c r="S1357" t="s">
        <v>25</v>
      </c>
      <c r="T1357" t="s">
        <v>3250</v>
      </c>
    </row>
    <row r="1358" spans="1:20" ht="16.5" x14ac:dyDescent="0.45">
      <c r="A1358">
        <v>2357</v>
      </c>
      <c r="B1358" t="s">
        <v>3251</v>
      </c>
      <c r="C1358" t="s">
        <v>20</v>
      </c>
      <c r="D1358" t="s">
        <v>42</v>
      </c>
      <c r="E1358">
        <v>702655</v>
      </c>
      <c r="F1358" s="1">
        <v>45284</v>
      </c>
      <c r="G1358" s="1"/>
      <c r="I1358">
        <v>2447</v>
      </c>
      <c r="K1358">
        <v>6</v>
      </c>
      <c r="L1358">
        <v>5</v>
      </c>
      <c r="M1358" t="s">
        <v>22</v>
      </c>
      <c r="N1358">
        <v>2006</v>
      </c>
      <c r="P1358">
        <v>1</v>
      </c>
      <c r="Q1358" t="s">
        <v>162</v>
      </c>
      <c r="R1358" t="s">
        <v>2084</v>
      </c>
      <c r="S1358" t="s">
        <v>33</v>
      </c>
      <c r="T1358" t="s">
        <v>128</v>
      </c>
    </row>
    <row r="1359" spans="1:20" ht="16.5" x14ac:dyDescent="0.45">
      <c r="A1359">
        <v>2358</v>
      </c>
      <c r="B1359" t="s">
        <v>3252</v>
      </c>
      <c r="C1359" t="s">
        <v>47</v>
      </c>
      <c r="D1359" t="s">
        <v>21</v>
      </c>
      <c r="E1359">
        <v>889891</v>
      </c>
      <c r="F1359" s="1">
        <v>45362</v>
      </c>
      <c r="G1359" s="1"/>
      <c r="I1359">
        <v>4110</v>
      </c>
      <c r="K1359">
        <v>2</v>
      </c>
      <c r="L1359">
        <v>4</v>
      </c>
      <c r="M1359" t="s">
        <v>37</v>
      </c>
      <c r="N1359">
        <v>2004</v>
      </c>
      <c r="O1359">
        <v>1</v>
      </c>
      <c r="P1359">
        <v>3</v>
      </c>
      <c r="Q1359" t="s">
        <v>93</v>
      </c>
      <c r="R1359" t="s">
        <v>2512</v>
      </c>
      <c r="S1359" t="s">
        <v>33</v>
      </c>
      <c r="T1359" t="s">
        <v>180</v>
      </c>
    </row>
    <row r="1360" spans="1:20" ht="16.5" x14ac:dyDescent="0.45">
      <c r="A1360">
        <v>2359</v>
      </c>
      <c r="B1360" t="s">
        <v>3253</v>
      </c>
      <c r="C1360" t="s">
        <v>51</v>
      </c>
      <c r="D1360" t="s">
        <v>29</v>
      </c>
      <c r="E1360">
        <v>648544</v>
      </c>
      <c r="F1360" s="1">
        <v>45573</v>
      </c>
      <c r="G1360" s="1">
        <v>45278</v>
      </c>
      <c r="H1360">
        <v>663082</v>
      </c>
      <c r="I1360">
        <v>1288</v>
      </c>
      <c r="J1360" s="5">
        <v>854049616</v>
      </c>
      <c r="K1360">
        <v>6</v>
      </c>
      <c r="L1360">
        <v>2</v>
      </c>
      <c r="M1360" t="s">
        <v>37</v>
      </c>
      <c r="N1360">
        <v>2000</v>
      </c>
      <c r="O1360">
        <v>9</v>
      </c>
      <c r="P1360">
        <v>3</v>
      </c>
      <c r="Q1360" t="s">
        <v>162</v>
      </c>
      <c r="R1360" t="s">
        <v>3254</v>
      </c>
      <c r="S1360" t="s">
        <v>25</v>
      </c>
      <c r="T1360" t="s">
        <v>3255</v>
      </c>
    </row>
    <row r="1361" spans="1:20" ht="16.5" x14ac:dyDescent="0.45">
      <c r="A1361">
        <v>2360</v>
      </c>
      <c r="B1361" t="s">
        <v>3256</v>
      </c>
      <c r="C1361" t="s">
        <v>51</v>
      </c>
      <c r="D1361" t="s">
        <v>21</v>
      </c>
      <c r="E1361">
        <v>460788</v>
      </c>
      <c r="F1361" s="1">
        <v>45444</v>
      </c>
      <c r="G1361" s="1"/>
      <c r="I1361">
        <v>3377</v>
      </c>
      <c r="K1361">
        <v>5</v>
      </c>
      <c r="L1361">
        <v>4</v>
      </c>
      <c r="M1361" t="s">
        <v>22</v>
      </c>
      <c r="N1361">
        <v>2009</v>
      </c>
      <c r="P1361">
        <v>1</v>
      </c>
      <c r="Q1361" t="s">
        <v>162</v>
      </c>
      <c r="R1361" t="s">
        <v>3257</v>
      </c>
      <c r="S1361" t="s">
        <v>33</v>
      </c>
      <c r="T1361" t="s">
        <v>3258</v>
      </c>
    </row>
    <row r="1362" spans="1:20" ht="16.5" x14ac:dyDescent="0.45">
      <c r="A1362">
        <v>2361</v>
      </c>
      <c r="B1362" t="s">
        <v>3259</v>
      </c>
      <c r="C1362" t="s">
        <v>36</v>
      </c>
      <c r="D1362" t="s">
        <v>42</v>
      </c>
      <c r="E1362">
        <v>367089</v>
      </c>
      <c r="F1362" s="1">
        <v>45513</v>
      </c>
      <c r="G1362" s="1"/>
      <c r="I1362">
        <v>4783</v>
      </c>
      <c r="K1362">
        <v>6</v>
      </c>
      <c r="L1362">
        <v>4</v>
      </c>
      <c r="M1362" t="s">
        <v>62</v>
      </c>
      <c r="N1362">
        <v>2017</v>
      </c>
      <c r="O1362">
        <v>10</v>
      </c>
      <c r="P1362">
        <v>3</v>
      </c>
      <c r="Q1362" t="s">
        <v>75</v>
      </c>
      <c r="R1362" t="s">
        <v>3260</v>
      </c>
      <c r="S1362" t="s">
        <v>33</v>
      </c>
      <c r="T1362" t="s">
        <v>587</v>
      </c>
    </row>
    <row r="1363" spans="1:20" ht="16.5" x14ac:dyDescent="0.45">
      <c r="A1363">
        <v>2362</v>
      </c>
      <c r="B1363" t="s">
        <v>3261</v>
      </c>
      <c r="C1363" t="s">
        <v>51</v>
      </c>
      <c r="D1363" t="s">
        <v>21</v>
      </c>
      <c r="E1363">
        <v>302912</v>
      </c>
      <c r="F1363" s="1">
        <v>45346</v>
      </c>
      <c r="G1363" s="1"/>
      <c r="I1363">
        <v>4340</v>
      </c>
      <c r="K1363">
        <v>4</v>
      </c>
      <c r="L1363">
        <v>3</v>
      </c>
      <c r="M1363" t="s">
        <v>22</v>
      </c>
      <c r="N1363">
        <v>2000</v>
      </c>
      <c r="P1363">
        <v>4</v>
      </c>
      <c r="Q1363" t="s">
        <v>31</v>
      </c>
      <c r="R1363" t="s">
        <v>3262</v>
      </c>
      <c r="S1363" t="s">
        <v>33</v>
      </c>
      <c r="T1363" t="s">
        <v>287</v>
      </c>
    </row>
    <row r="1364" spans="1:20" ht="16.5" x14ac:dyDescent="0.45">
      <c r="A1364">
        <v>2363</v>
      </c>
      <c r="B1364" t="s">
        <v>3263</v>
      </c>
      <c r="C1364" t="s">
        <v>28</v>
      </c>
      <c r="D1364" t="s">
        <v>29</v>
      </c>
      <c r="E1364">
        <v>345628</v>
      </c>
      <c r="F1364" s="1">
        <v>45424</v>
      </c>
      <c r="G1364" s="1">
        <v>45484</v>
      </c>
      <c r="H1364">
        <v>381235</v>
      </c>
      <c r="I1364">
        <v>1939</v>
      </c>
      <c r="J1364" s="5">
        <v>739214665</v>
      </c>
      <c r="K1364">
        <v>6</v>
      </c>
      <c r="L1364">
        <v>3</v>
      </c>
      <c r="M1364" t="s">
        <v>37</v>
      </c>
      <c r="N1364">
        <v>2012</v>
      </c>
      <c r="O1364">
        <v>8</v>
      </c>
      <c r="P1364">
        <v>2</v>
      </c>
      <c r="Q1364" t="s">
        <v>43</v>
      </c>
      <c r="R1364" t="s">
        <v>2794</v>
      </c>
      <c r="S1364" t="s">
        <v>25</v>
      </c>
      <c r="T1364" t="s">
        <v>866</v>
      </c>
    </row>
    <row r="1365" spans="1:20" ht="16.5" x14ac:dyDescent="0.45">
      <c r="A1365">
        <v>2364</v>
      </c>
      <c r="B1365" t="s">
        <v>3264</v>
      </c>
      <c r="C1365" t="s">
        <v>28</v>
      </c>
      <c r="D1365" t="s">
        <v>42</v>
      </c>
      <c r="E1365">
        <v>337384</v>
      </c>
      <c r="F1365" s="1">
        <v>45454</v>
      </c>
      <c r="G1365" s="1">
        <v>45492</v>
      </c>
      <c r="H1365">
        <v>360427</v>
      </c>
      <c r="I1365">
        <v>3872</v>
      </c>
      <c r="J1365" s="5">
        <v>1395573344</v>
      </c>
      <c r="K1365">
        <v>5</v>
      </c>
      <c r="L1365">
        <v>4</v>
      </c>
      <c r="M1365" t="s">
        <v>30</v>
      </c>
      <c r="N1365">
        <v>2001</v>
      </c>
      <c r="O1365">
        <v>3</v>
      </c>
      <c r="P1365">
        <v>4</v>
      </c>
      <c r="Q1365" t="s">
        <v>43</v>
      </c>
      <c r="R1365" t="s">
        <v>3265</v>
      </c>
      <c r="S1365" t="s">
        <v>25</v>
      </c>
      <c r="T1365" t="s">
        <v>137</v>
      </c>
    </row>
    <row r="1366" spans="1:20" ht="16.5" x14ac:dyDescent="0.45">
      <c r="A1366">
        <v>2365</v>
      </c>
      <c r="B1366" t="s">
        <v>3266</v>
      </c>
      <c r="C1366" t="s">
        <v>36</v>
      </c>
      <c r="D1366" t="s">
        <v>29</v>
      </c>
      <c r="E1366">
        <v>407952</v>
      </c>
      <c r="F1366" s="1">
        <v>45596</v>
      </c>
      <c r="G1366" s="1"/>
      <c r="I1366">
        <v>1403</v>
      </c>
      <c r="K1366">
        <v>4</v>
      </c>
      <c r="L1366">
        <v>2</v>
      </c>
      <c r="M1366" t="s">
        <v>37</v>
      </c>
      <c r="N1366">
        <v>2006</v>
      </c>
      <c r="O1366">
        <v>10</v>
      </c>
      <c r="P1366">
        <v>2</v>
      </c>
      <c r="Q1366" t="s">
        <v>93</v>
      </c>
      <c r="R1366" t="s">
        <v>3267</v>
      </c>
      <c r="S1366" t="s">
        <v>33</v>
      </c>
      <c r="T1366" t="s">
        <v>183</v>
      </c>
    </row>
    <row r="1367" spans="1:20" ht="16.5" x14ac:dyDescent="0.45">
      <c r="A1367">
        <v>2366</v>
      </c>
      <c r="B1367" t="s">
        <v>3268</v>
      </c>
      <c r="C1367" t="s">
        <v>20</v>
      </c>
      <c r="D1367" t="s">
        <v>29</v>
      </c>
      <c r="E1367">
        <v>743684</v>
      </c>
      <c r="F1367" s="1">
        <v>45316</v>
      </c>
      <c r="G1367" s="1"/>
      <c r="I1367">
        <v>4492</v>
      </c>
      <c r="K1367">
        <v>4</v>
      </c>
      <c r="L1367">
        <v>4</v>
      </c>
      <c r="M1367" t="s">
        <v>22</v>
      </c>
      <c r="N1367">
        <v>2020</v>
      </c>
      <c r="P1367">
        <v>3</v>
      </c>
      <c r="Q1367" t="s">
        <v>93</v>
      </c>
      <c r="R1367" t="s">
        <v>3269</v>
      </c>
      <c r="S1367" t="s">
        <v>33</v>
      </c>
      <c r="T1367" t="s">
        <v>1242</v>
      </c>
    </row>
    <row r="1368" spans="1:20" ht="16.5" x14ac:dyDescent="0.45">
      <c r="A1368">
        <v>2367</v>
      </c>
      <c r="B1368" t="s">
        <v>3270</v>
      </c>
      <c r="C1368" t="s">
        <v>36</v>
      </c>
      <c r="D1368" t="s">
        <v>42</v>
      </c>
      <c r="E1368">
        <v>747202</v>
      </c>
      <c r="F1368" s="1">
        <v>45487</v>
      </c>
      <c r="G1368" s="1"/>
      <c r="I1368">
        <v>2650</v>
      </c>
      <c r="K1368">
        <v>4</v>
      </c>
      <c r="L1368">
        <v>2</v>
      </c>
      <c r="M1368" t="s">
        <v>30</v>
      </c>
      <c r="N1368">
        <v>2013</v>
      </c>
      <c r="O1368">
        <v>1</v>
      </c>
      <c r="P1368">
        <v>4</v>
      </c>
      <c r="Q1368" t="s">
        <v>23</v>
      </c>
      <c r="R1368" t="s">
        <v>3271</v>
      </c>
      <c r="S1368" t="s">
        <v>33</v>
      </c>
      <c r="T1368" t="s">
        <v>3272</v>
      </c>
    </row>
    <row r="1369" spans="1:20" ht="16.5" x14ac:dyDescent="0.45">
      <c r="A1369">
        <v>2368</v>
      </c>
      <c r="B1369" t="s">
        <v>3273</v>
      </c>
      <c r="C1369" t="s">
        <v>51</v>
      </c>
      <c r="D1369" t="s">
        <v>42</v>
      </c>
      <c r="E1369">
        <v>958658</v>
      </c>
      <c r="F1369" s="1">
        <v>45569</v>
      </c>
      <c r="G1369" s="1"/>
      <c r="I1369">
        <v>4768</v>
      </c>
      <c r="K1369">
        <v>2</v>
      </c>
      <c r="L1369">
        <v>3</v>
      </c>
      <c r="M1369" t="s">
        <v>30</v>
      </c>
      <c r="N1369">
        <v>2003</v>
      </c>
      <c r="O1369">
        <v>2</v>
      </c>
      <c r="P1369">
        <v>3</v>
      </c>
      <c r="Q1369" t="s">
        <v>38</v>
      </c>
      <c r="R1369" t="s">
        <v>3274</v>
      </c>
      <c r="S1369" t="s">
        <v>33</v>
      </c>
      <c r="T1369" t="s">
        <v>40</v>
      </c>
    </row>
    <row r="1370" spans="1:20" ht="16.5" x14ac:dyDescent="0.45">
      <c r="A1370">
        <v>2369</v>
      </c>
      <c r="B1370" t="s">
        <v>3275</v>
      </c>
      <c r="C1370" t="s">
        <v>51</v>
      </c>
      <c r="D1370" t="s">
        <v>21</v>
      </c>
      <c r="E1370">
        <v>888187</v>
      </c>
      <c r="F1370" s="1">
        <v>45348</v>
      </c>
      <c r="G1370" s="1">
        <v>45571</v>
      </c>
      <c r="H1370">
        <v>928475</v>
      </c>
      <c r="I1370">
        <v>5000</v>
      </c>
      <c r="J1370" s="5">
        <v>4642375000</v>
      </c>
      <c r="K1370">
        <v>4</v>
      </c>
      <c r="L1370">
        <v>2</v>
      </c>
      <c r="M1370" t="s">
        <v>62</v>
      </c>
      <c r="N1370">
        <v>2018</v>
      </c>
      <c r="O1370">
        <v>7</v>
      </c>
      <c r="P1370">
        <v>3</v>
      </c>
      <c r="Q1370" t="s">
        <v>23</v>
      </c>
      <c r="R1370" t="s">
        <v>3276</v>
      </c>
      <c r="S1370" t="s">
        <v>25</v>
      </c>
      <c r="T1370" t="s">
        <v>3277</v>
      </c>
    </row>
    <row r="1371" spans="1:20" ht="16.5" x14ac:dyDescent="0.45">
      <c r="A1371">
        <v>2370</v>
      </c>
      <c r="B1371" t="s">
        <v>3278</v>
      </c>
      <c r="C1371" t="s">
        <v>36</v>
      </c>
      <c r="D1371" t="s">
        <v>42</v>
      </c>
      <c r="E1371">
        <v>972526</v>
      </c>
      <c r="F1371" s="1">
        <v>45602</v>
      </c>
      <c r="G1371" s="1">
        <v>45278</v>
      </c>
      <c r="H1371">
        <v>1020710</v>
      </c>
      <c r="I1371">
        <v>1105</v>
      </c>
      <c r="J1371" s="5">
        <v>1127884550</v>
      </c>
      <c r="K1371">
        <v>2</v>
      </c>
      <c r="L1371">
        <v>3</v>
      </c>
      <c r="M1371" t="s">
        <v>30</v>
      </c>
      <c r="N1371">
        <v>2010</v>
      </c>
      <c r="O1371">
        <v>9</v>
      </c>
      <c r="P1371">
        <v>4</v>
      </c>
      <c r="Q1371" t="s">
        <v>93</v>
      </c>
      <c r="R1371" t="s">
        <v>3279</v>
      </c>
      <c r="S1371" t="s">
        <v>25</v>
      </c>
      <c r="T1371" t="s">
        <v>3280</v>
      </c>
    </row>
    <row r="1372" spans="1:20" ht="16.5" x14ac:dyDescent="0.45">
      <c r="A1372">
        <v>2371</v>
      </c>
      <c r="B1372" t="s">
        <v>3281</v>
      </c>
      <c r="C1372" t="s">
        <v>47</v>
      </c>
      <c r="D1372" t="s">
        <v>29</v>
      </c>
      <c r="E1372">
        <v>757019</v>
      </c>
      <c r="F1372" s="1">
        <v>45350</v>
      </c>
      <c r="G1372" s="1"/>
      <c r="I1372">
        <v>3329</v>
      </c>
      <c r="K1372">
        <v>2</v>
      </c>
      <c r="L1372">
        <v>5</v>
      </c>
      <c r="M1372" t="s">
        <v>30</v>
      </c>
      <c r="N1372">
        <v>2021</v>
      </c>
      <c r="O1372">
        <v>5</v>
      </c>
      <c r="P1372">
        <v>2</v>
      </c>
      <c r="Q1372" t="s">
        <v>31</v>
      </c>
      <c r="R1372" t="s">
        <v>3282</v>
      </c>
      <c r="S1372" t="s">
        <v>33</v>
      </c>
      <c r="T1372" t="s">
        <v>183</v>
      </c>
    </row>
    <row r="1373" spans="1:20" ht="16.5" x14ac:dyDescent="0.45">
      <c r="A1373">
        <v>2372</v>
      </c>
      <c r="B1373" t="s">
        <v>3283</v>
      </c>
      <c r="C1373" t="s">
        <v>47</v>
      </c>
      <c r="D1373" t="s">
        <v>29</v>
      </c>
      <c r="E1373">
        <v>542410</v>
      </c>
      <c r="F1373" s="1">
        <v>45394</v>
      </c>
      <c r="G1373" s="1">
        <v>45297</v>
      </c>
      <c r="H1373">
        <v>578464</v>
      </c>
      <c r="I1373">
        <v>1342</v>
      </c>
      <c r="J1373" s="5">
        <v>776298688</v>
      </c>
      <c r="K1373">
        <v>6</v>
      </c>
      <c r="L1373">
        <v>2</v>
      </c>
      <c r="M1373" t="s">
        <v>62</v>
      </c>
      <c r="N1373">
        <v>2000</v>
      </c>
      <c r="O1373">
        <v>3</v>
      </c>
      <c r="P1373">
        <v>3</v>
      </c>
      <c r="Q1373" t="s">
        <v>31</v>
      </c>
      <c r="R1373" t="s">
        <v>3284</v>
      </c>
      <c r="S1373" t="s">
        <v>25</v>
      </c>
      <c r="T1373" t="s">
        <v>183</v>
      </c>
    </row>
    <row r="1374" spans="1:20" ht="16.5" x14ac:dyDescent="0.45">
      <c r="A1374">
        <v>2373</v>
      </c>
      <c r="B1374" t="s">
        <v>3285</v>
      </c>
      <c r="C1374" t="s">
        <v>20</v>
      </c>
      <c r="D1374" t="s">
        <v>21</v>
      </c>
      <c r="E1374">
        <v>873191</v>
      </c>
      <c r="F1374" s="1">
        <v>45462</v>
      </c>
      <c r="G1374" s="1"/>
      <c r="I1374">
        <v>4770</v>
      </c>
      <c r="K1374">
        <v>5</v>
      </c>
      <c r="L1374">
        <v>5</v>
      </c>
      <c r="M1374" t="s">
        <v>30</v>
      </c>
      <c r="N1374">
        <v>2006</v>
      </c>
      <c r="O1374">
        <v>10</v>
      </c>
      <c r="P1374">
        <v>2</v>
      </c>
      <c r="Q1374" t="s">
        <v>43</v>
      </c>
      <c r="R1374" t="s">
        <v>3286</v>
      </c>
      <c r="S1374" t="s">
        <v>33</v>
      </c>
      <c r="T1374" t="s">
        <v>946</v>
      </c>
    </row>
    <row r="1375" spans="1:20" ht="16.5" x14ac:dyDescent="0.45">
      <c r="A1375">
        <v>2374</v>
      </c>
      <c r="B1375" t="s">
        <v>3287</v>
      </c>
      <c r="C1375" t="s">
        <v>47</v>
      </c>
      <c r="D1375" t="s">
        <v>29</v>
      </c>
      <c r="E1375">
        <v>924717</v>
      </c>
      <c r="F1375" s="1">
        <v>45430</v>
      </c>
      <c r="G1375" s="1">
        <v>45327</v>
      </c>
      <c r="H1375">
        <v>965545</v>
      </c>
      <c r="I1375">
        <v>4405</v>
      </c>
      <c r="J1375" s="5">
        <v>4253225725</v>
      </c>
      <c r="K1375">
        <v>4</v>
      </c>
      <c r="L1375">
        <v>4</v>
      </c>
      <c r="M1375" t="s">
        <v>22</v>
      </c>
      <c r="N1375">
        <v>2016</v>
      </c>
      <c r="P1375">
        <v>2</v>
      </c>
      <c r="Q1375" t="s">
        <v>75</v>
      </c>
      <c r="R1375" t="s">
        <v>1283</v>
      </c>
      <c r="S1375" t="s">
        <v>25</v>
      </c>
      <c r="T1375" t="s">
        <v>40</v>
      </c>
    </row>
    <row r="1376" spans="1:20" ht="16.5" x14ac:dyDescent="0.45">
      <c r="A1376">
        <v>2375</v>
      </c>
      <c r="B1376" t="s">
        <v>3288</v>
      </c>
      <c r="C1376" t="s">
        <v>47</v>
      </c>
      <c r="D1376" t="s">
        <v>42</v>
      </c>
      <c r="E1376">
        <v>717415</v>
      </c>
      <c r="F1376" s="1">
        <v>45418</v>
      </c>
      <c r="G1376" s="1"/>
      <c r="I1376">
        <v>1253</v>
      </c>
      <c r="K1376">
        <v>4</v>
      </c>
      <c r="L1376">
        <v>5</v>
      </c>
      <c r="M1376" t="s">
        <v>30</v>
      </c>
      <c r="N1376">
        <v>2009</v>
      </c>
      <c r="O1376">
        <v>2</v>
      </c>
      <c r="P1376">
        <v>3</v>
      </c>
      <c r="Q1376" t="s">
        <v>93</v>
      </c>
      <c r="R1376" t="s">
        <v>3289</v>
      </c>
      <c r="S1376" t="s">
        <v>33</v>
      </c>
      <c r="T1376" t="s">
        <v>91</v>
      </c>
    </row>
    <row r="1377" spans="1:20" ht="16.5" x14ac:dyDescent="0.45">
      <c r="A1377">
        <v>2376</v>
      </c>
      <c r="B1377" t="s">
        <v>3290</v>
      </c>
      <c r="C1377" t="s">
        <v>28</v>
      </c>
      <c r="D1377" t="s">
        <v>29</v>
      </c>
      <c r="E1377">
        <v>650668</v>
      </c>
      <c r="F1377" s="1">
        <v>45510</v>
      </c>
      <c r="G1377" s="1">
        <v>45365</v>
      </c>
      <c r="H1377">
        <v>686095</v>
      </c>
      <c r="I1377">
        <v>2255</v>
      </c>
      <c r="J1377" s="5">
        <v>1547144225</v>
      </c>
      <c r="K1377">
        <v>3</v>
      </c>
      <c r="L1377">
        <v>2</v>
      </c>
      <c r="M1377" t="s">
        <v>37</v>
      </c>
      <c r="N1377">
        <v>2008</v>
      </c>
      <c r="O1377">
        <v>9</v>
      </c>
      <c r="P1377">
        <v>3</v>
      </c>
      <c r="Q1377" t="s">
        <v>132</v>
      </c>
      <c r="R1377" t="s">
        <v>1342</v>
      </c>
      <c r="S1377" t="s">
        <v>25</v>
      </c>
      <c r="T1377" t="s">
        <v>3291</v>
      </c>
    </row>
    <row r="1378" spans="1:20" ht="16.5" x14ac:dyDescent="0.45">
      <c r="A1378">
        <v>2377</v>
      </c>
      <c r="B1378" t="s">
        <v>3292</v>
      </c>
      <c r="C1378" t="s">
        <v>47</v>
      </c>
      <c r="D1378" t="s">
        <v>29</v>
      </c>
      <c r="E1378">
        <v>891686</v>
      </c>
      <c r="F1378" s="1">
        <v>45503</v>
      </c>
      <c r="G1378" s="1"/>
      <c r="I1378">
        <v>1070</v>
      </c>
      <c r="K1378">
        <v>2</v>
      </c>
      <c r="L1378">
        <v>2</v>
      </c>
      <c r="M1378" t="s">
        <v>62</v>
      </c>
      <c r="N1378">
        <v>2010</v>
      </c>
      <c r="O1378">
        <v>7</v>
      </c>
      <c r="P1378">
        <v>3</v>
      </c>
      <c r="Q1378" t="s">
        <v>75</v>
      </c>
      <c r="R1378" t="s">
        <v>3293</v>
      </c>
      <c r="S1378" t="s">
        <v>33</v>
      </c>
      <c r="T1378" t="s">
        <v>550</v>
      </c>
    </row>
    <row r="1379" spans="1:20" ht="16.5" x14ac:dyDescent="0.45">
      <c r="A1379">
        <v>2378</v>
      </c>
      <c r="B1379" t="s">
        <v>3294</v>
      </c>
      <c r="C1379" t="s">
        <v>28</v>
      </c>
      <c r="D1379" t="s">
        <v>29</v>
      </c>
      <c r="E1379">
        <v>541150</v>
      </c>
      <c r="F1379" s="1">
        <v>45576</v>
      </c>
      <c r="G1379" s="1">
        <v>45403</v>
      </c>
      <c r="H1379">
        <v>584798</v>
      </c>
      <c r="I1379">
        <v>4159</v>
      </c>
      <c r="J1379" s="5">
        <v>2432174882</v>
      </c>
      <c r="K1379">
        <v>3</v>
      </c>
      <c r="L1379">
        <v>3</v>
      </c>
      <c r="M1379" t="s">
        <v>37</v>
      </c>
      <c r="N1379">
        <v>2013</v>
      </c>
      <c r="O1379">
        <v>7</v>
      </c>
      <c r="P1379">
        <v>3</v>
      </c>
      <c r="Q1379" t="s">
        <v>162</v>
      </c>
      <c r="R1379" t="s">
        <v>3295</v>
      </c>
      <c r="S1379" t="s">
        <v>25</v>
      </c>
      <c r="T1379" t="s">
        <v>3296</v>
      </c>
    </row>
    <row r="1380" spans="1:20" ht="16.5" x14ac:dyDescent="0.45">
      <c r="A1380">
        <v>2379</v>
      </c>
      <c r="B1380" t="s">
        <v>3297</v>
      </c>
      <c r="C1380" t="s">
        <v>47</v>
      </c>
      <c r="D1380" t="s">
        <v>29</v>
      </c>
      <c r="E1380">
        <v>483711</v>
      </c>
      <c r="F1380" s="1">
        <v>45306</v>
      </c>
      <c r="G1380" s="1">
        <v>45543</v>
      </c>
      <c r="H1380">
        <v>522336</v>
      </c>
      <c r="I1380">
        <v>3179</v>
      </c>
      <c r="J1380" s="5">
        <v>1660506144</v>
      </c>
      <c r="K1380">
        <v>4</v>
      </c>
      <c r="L1380">
        <v>3</v>
      </c>
      <c r="M1380" t="s">
        <v>62</v>
      </c>
      <c r="N1380">
        <v>2017</v>
      </c>
      <c r="O1380">
        <v>7</v>
      </c>
      <c r="P1380">
        <v>1</v>
      </c>
      <c r="Q1380" t="s">
        <v>31</v>
      </c>
      <c r="R1380" t="s">
        <v>3298</v>
      </c>
      <c r="S1380" t="s">
        <v>25</v>
      </c>
      <c r="T1380" t="s">
        <v>77</v>
      </c>
    </row>
    <row r="1381" spans="1:20" ht="16.5" x14ac:dyDescent="0.45">
      <c r="A1381">
        <v>2380</v>
      </c>
      <c r="B1381" t="s">
        <v>3299</v>
      </c>
      <c r="C1381" t="s">
        <v>20</v>
      </c>
      <c r="D1381" t="s">
        <v>21</v>
      </c>
      <c r="E1381">
        <v>707167</v>
      </c>
      <c r="F1381" s="1">
        <v>45586</v>
      </c>
      <c r="G1381" s="1"/>
      <c r="I1381">
        <v>1220</v>
      </c>
      <c r="K1381">
        <v>5</v>
      </c>
      <c r="L1381">
        <v>5</v>
      </c>
      <c r="M1381" t="s">
        <v>22</v>
      </c>
      <c r="N1381">
        <v>2016</v>
      </c>
      <c r="P1381">
        <v>1</v>
      </c>
      <c r="Q1381" t="s">
        <v>86</v>
      </c>
      <c r="R1381" t="s">
        <v>3300</v>
      </c>
      <c r="S1381" t="s">
        <v>33</v>
      </c>
      <c r="T1381" t="s">
        <v>692</v>
      </c>
    </row>
    <row r="1382" spans="1:20" ht="16.5" x14ac:dyDescent="0.45">
      <c r="A1382">
        <v>2381</v>
      </c>
      <c r="B1382" t="s">
        <v>3301</v>
      </c>
      <c r="C1382" t="s">
        <v>20</v>
      </c>
      <c r="D1382" t="s">
        <v>21</v>
      </c>
      <c r="E1382">
        <v>570204</v>
      </c>
      <c r="F1382" s="1">
        <v>45463</v>
      </c>
      <c r="G1382" s="1">
        <v>45292</v>
      </c>
      <c r="H1382">
        <v>611776</v>
      </c>
      <c r="I1382">
        <v>2164</v>
      </c>
      <c r="J1382" s="5">
        <v>1323883264</v>
      </c>
      <c r="K1382">
        <v>6</v>
      </c>
      <c r="L1382">
        <v>5</v>
      </c>
      <c r="M1382" t="s">
        <v>30</v>
      </c>
      <c r="N1382">
        <v>2003</v>
      </c>
      <c r="O1382">
        <v>1</v>
      </c>
      <c r="P1382">
        <v>2</v>
      </c>
      <c r="Q1382" t="s">
        <v>75</v>
      </c>
      <c r="R1382" t="s">
        <v>3302</v>
      </c>
      <c r="S1382" t="s">
        <v>25</v>
      </c>
      <c r="T1382" t="s">
        <v>3303</v>
      </c>
    </row>
    <row r="1383" spans="1:20" ht="16.5" x14ac:dyDescent="0.45">
      <c r="A1383">
        <v>2382</v>
      </c>
      <c r="B1383" t="s">
        <v>3304</v>
      </c>
      <c r="C1383" t="s">
        <v>36</v>
      </c>
      <c r="D1383" t="s">
        <v>21</v>
      </c>
      <c r="E1383">
        <v>455110</v>
      </c>
      <c r="F1383" s="1">
        <v>45445</v>
      </c>
      <c r="G1383" s="1"/>
      <c r="I1383">
        <v>1875</v>
      </c>
      <c r="K1383">
        <v>4</v>
      </c>
      <c r="L1383">
        <v>3</v>
      </c>
      <c r="M1383" t="s">
        <v>37</v>
      </c>
      <c r="N1383">
        <v>2012</v>
      </c>
      <c r="O1383">
        <v>10</v>
      </c>
      <c r="P1383">
        <v>2</v>
      </c>
      <c r="Q1383" t="s">
        <v>31</v>
      </c>
      <c r="R1383" t="s">
        <v>3305</v>
      </c>
      <c r="S1383" t="s">
        <v>33</v>
      </c>
      <c r="T1383" t="s">
        <v>1792</v>
      </c>
    </row>
    <row r="1384" spans="1:20" ht="16.5" x14ac:dyDescent="0.45">
      <c r="A1384">
        <v>2383</v>
      </c>
      <c r="B1384" t="s">
        <v>3306</v>
      </c>
      <c r="C1384" t="s">
        <v>36</v>
      </c>
      <c r="D1384" t="s">
        <v>21</v>
      </c>
      <c r="E1384">
        <v>374344</v>
      </c>
      <c r="F1384" s="1">
        <v>45389</v>
      </c>
      <c r="G1384" s="1">
        <v>45507</v>
      </c>
      <c r="H1384">
        <v>402770</v>
      </c>
      <c r="I1384">
        <v>1819</v>
      </c>
      <c r="J1384" s="5">
        <v>732638630</v>
      </c>
      <c r="K1384">
        <v>2</v>
      </c>
      <c r="L1384">
        <v>2</v>
      </c>
      <c r="M1384" t="s">
        <v>30</v>
      </c>
      <c r="N1384">
        <v>2022</v>
      </c>
      <c r="O1384">
        <v>5</v>
      </c>
      <c r="P1384">
        <v>3</v>
      </c>
      <c r="Q1384" t="s">
        <v>132</v>
      </c>
      <c r="R1384" t="s">
        <v>3307</v>
      </c>
      <c r="S1384" t="s">
        <v>25</v>
      </c>
      <c r="T1384" t="s">
        <v>1573</v>
      </c>
    </row>
    <row r="1385" spans="1:20" ht="16.5" x14ac:dyDescent="0.45">
      <c r="A1385">
        <v>2384</v>
      </c>
      <c r="B1385" t="s">
        <v>3308</v>
      </c>
      <c r="C1385" t="s">
        <v>28</v>
      </c>
      <c r="D1385" t="s">
        <v>21</v>
      </c>
      <c r="E1385">
        <v>703543</v>
      </c>
      <c r="F1385" s="1">
        <v>45524</v>
      </c>
      <c r="G1385" s="1"/>
      <c r="I1385">
        <v>2818</v>
      </c>
      <c r="K1385">
        <v>2</v>
      </c>
      <c r="L1385">
        <v>2</v>
      </c>
      <c r="M1385" t="s">
        <v>22</v>
      </c>
      <c r="N1385">
        <v>2004</v>
      </c>
      <c r="P1385">
        <v>3</v>
      </c>
      <c r="Q1385" t="s">
        <v>93</v>
      </c>
      <c r="R1385" t="s">
        <v>3309</v>
      </c>
      <c r="S1385" t="s">
        <v>33</v>
      </c>
      <c r="T1385" t="s">
        <v>3310</v>
      </c>
    </row>
    <row r="1386" spans="1:20" ht="16.5" x14ac:dyDescent="0.45">
      <c r="A1386">
        <v>2385</v>
      </c>
      <c r="B1386" t="s">
        <v>3311</v>
      </c>
      <c r="C1386" t="s">
        <v>20</v>
      </c>
      <c r="D1386" t="s">
        <v>42</v>
      </c>
      <c r="E1386">
        <v>954466</v>
      </c>
      <c r="F1386" s="1">
        <v>45314</v>
      </c>
      <c r="G1386" s="1">
        <v>45318</v>
      </c>
      <c r="H1386">
        <v>977456</v>
      </c>
      <c r="I1386">
        <v>4488</v>
      </c>
      <c r="J1386" s="5">
        <v>4386822528</v>
      </c>
      <c r="K1386">
        <v>3</v>
      </c>
      <c r="L1386">
        <v>4</v>
      </c>
      <c r="M1386" t="s">
        <v>62</v>
      </c>
      <c r="N1386">
        <v>2000</v>
      </c>
      <c r="O1386">
        <v>9</v>
      </c>
      <c r="P1386">
        <v>1</v>
      </c>
      <c r="Q1386" t="s">
        <v>162</v>
      </c>
      <c r="R1386" t="s">
        <v>2916</v>
      </c>
      <c r="S1386" t="s">
        <v>25</v>
      </c>
      <c r="T1386" t="s">
        <v>1599</v>
      </c>
    </row>
    <row r="1387" spans="1:20" ht="16.5" x14ac:dyDescent="0.45">
      <c r="A1387">
        <v>2386</v>
      </c>
      <c r="B1387" t="s">
        <v>3312</v>
      </c>
      <c r="C1387" t="s">
        <v>36</v>
      </c>
      <c r="D1387" t="s">
        <v>21</v>
      </c>
      <c r="E1387">
        <v>339267</v>
      </c>
      <c r="F1387" s="1">
        <v>45297</v>
      </c>
      <c r="G1387" s="1"/>
      <c r="I1387">
        <v>1375</v>
      </c>
      <c r="K1387">
        <v>3</v>
      </c>
      <c r="L1387">
        <v>2</v>
      </c>
      <c r="M1387" t="s">
        <v>30</v>
      </c>
      <c r="N1387">
        <v>2018</v>
      </c>
      <c r="O1387">
        <v>1</v>
      </c>
      <c r="P1387">
        <v>2</v>
      </c>
      <c r="Q1387" t="s">
        <v>162</v>
      </c>
      <c r="R1387" t="s">
        <v>3313</v>
      </c>
      <c r="S1387" t="s">
        <v>33</v>
      </c>
      <c r="T1387" t="s">
        <v>180</v>
      </c>
    </row>
    <row r="1388" spans="1:20" ht="16.5" x14ac:dyDescent="0.45">
      <c r="A1388">
        <v>2387</v>
      </c>
      <c r="B1388" t="s">
        <v>3314</v>
      </c>
      <c r="C1388" t="s">
        <v>20</v>
      </c>
      <c r="D1388" t="s">
        <v>21</v>
      </c>
      <c r="E1388">
        <v>423960</v>
      </c>
      <c r="F1388" s="1">
        <v>45476</v>
      </c>
      <c r="G1388" s="1">
        <v>45482</v>
      </c>
      <c r="H1388">
        <v>443459</v>
      </c>
      <c r="I1388">
        <v>3093</v>
      </c>
      <c r="J1388" s="5">
        <v>1371618687</v>
      </c>
      <c r="K1388">
        <v>3</v>
      </c>
      <c r="L1388">
        <v>2</v>
      </c>
      <c r="M1388" t="s">
        <v>30</v>
      </c>
      <c r="N1388">
        <v>2023</v>
      </c>
      <c r="O1388">
        <v>4</v>
      </c>
      <c r="P1388">
        <v>4</v>
      </c>
      <c r="Q1388" t="s">
        <v>132</v>
      </c>
      <c r="R1388" t="s">
        <v>3315</v>
      </c>
      <c r="S1388" t="s">
        <v>25</v>
      </c>
      <c r="T1388" t="s">
        <v>925</v>
      </c>
    </row>
    <row r="1389" spans="1:20" ht="16.5" x14ac:dyDescent="0.45">
      <c r="A1389">
        <v>2388</v>
      </c>
      <c r="B1389" t="s">
        <v>3316</v>
      </c>
      <c r="C1389" t="s">
        <v>36</v>
      </c>
      <c r="D1389" t="s">
        <v>42</v>
      </c>
      <c r="E1389">
        <v>820501</v>
      </c>
      <c r="F1389" s="1">
        <v>45388</v>
      </c>
      <c r="G1389" s="1"/>
      <c r="I1389">
        <v>3202</v>
      </c>
      <c r="K1389">
        <v>6</v>
      </c>
      <c r="L1389">
        <v>2</v>
      </c>
      <c r="M1389" t="s">
        <v>30</v>
      </c>
      <c r="N1389">
        <v>2015</v>
      </c>
      <c r="O1389">
        <v>9</v>
      </c>
      <c r="P1389">
        <v>3</v>
      </c>
      <c r="Q1389" t="s">
        <v>86</v>
      </c>
      <c r="R1389" t="s">
        <v>3317</v>
      </c>
      <c r="S1389" t="s">
        <v>33</v>
      </c>
      <c r="T1389" t="s">
        <v>2372</v>
      </c>
    </row>
    <row r="1390" spans="1:20" ht="16.5" x14ac:dyDescent="0.45">
      <c r="A1390">
        <v>2389</v>
      </c>
      <c r="B1390" t="s">
        <v>3318</v>
      </c>
      <c r="C1390" t="s">
        <v>28</v>
      </c>
      <c r="D1390" t="s">
        <v>21</v>
      </c>
      <c r="E1390">
        <v>641251</v>
      </c>
      <c r="F1390" s="1">
        <v>45501</v>
      </c>
      <c r="G1390" s="1">
        <v>45578</v>
      </c>
      <c r="H1390">
        <v>663115</v>
      </c>
      <c r="I1390">
        <v>2819</v>
      </c>
      <c r="J1390" s="5">
        <v>1869321185</v>
      </c>
      <c r="K1390">
        <v>5</v>
      </c>
      <c r="L1390">
        <v>4</v>
      </c>
      <c r="M1390" t="s">
        <v>62</v>
      </c>
      <c r="N1390">
        <v>2004</v>
      </c>
      <c r="O1390">
        <v>1</v>
      </c>
      <c r="P1390">
        <v>4</v>
      </c>
      <c r="Q1390" t="s">
        <v>58</v>
      </c>
      <c r="R1390" t="s">
        <v>3319</v>
      </c>
      <c r="S1390" t="s">
        <v>25</v>
      </c>
      <c r="T1390" t="s">
        <v>357</v>
      </c>
    </row>
    <row r="1391" spans="1:20" ht="16.5" x14ac:dyDescent="0.45">
      <c r="A1391">
        <v>2390</v>
      </c>
      <c r="B1391" t="s">
        <v>3320</v>
      </c>
      <c r="C1391" t="s">
        <v>47</v>
      </c>
      <c r="D1391" t="s">
        <v>29</v>
      </c>
      <c r="E1391">
        <v>571924</v>
      </c>
      <c r="F1391" s="1">
        <v>45544</v>
      </c>
      <c r="G1391" s="1"/>
      <c r="I1391">
        <v>4049</v>
      </c>
      <c r="K1391">
        <v>3</v>
      </c>
      <c r="L1391">
        <v>3</v>
      </c>
      <c r="M1391" t="s">
        <v>37</v>
      </c>
      <c r="N1391">
        <v>2023</v>
      </c>
      <c r="O1391">
        <v>9</v>
      </c>
      <c r="P1391">
        <v>4</v>
      </c>
      <c r="Q1391" t="s">
        <v>93</v>
      </c>
      <c r="R1391" t="s">
        <v>3321</v>
      </c>
      <c r="S1391" t="s">
        <v>33</v>
      </c>
      <c r="T1391" t="s">
        <v>3322</v>
      </c>
    </row>
    <row r="1392" spans="1:20" ht="16.5" x14ac:dyDescent="0.45">
      <c r="A1392">
        <v>2391</v>
      </c>
      <c r="B1392" t="s">
        <v>3323</v>
      </c>
      <c r="C1392" t="s">
        <v>36</v>
      </c>
      <c r="D1392" t="s">
        <v>42</v>
      </c>
      <c r="E1392">
        <v>412917</v>
      </c>
      <c r="F1392" s="1">
        <v>45481</v>
      </c>
      <c r="G1392" s="1">
        <v>45586</v>
      </c>
      <c r="H1392">
        <v>439138</v>
      </c>
      <c r="I1392">
        <v>3048</v>
      </c>
      <c r="J1392" s="5">
        <v>1338492624</v>
      </c>
      <c r="K1392">
        <v>6</v>
      </c>
      <c r="L1392">
        <v>5</v>
      </c>
      <c r="M1392" t="s">
        <v>62</v>
      </c>
      <c r="N1392">
        <v>2008</v>
      </c>
      <c r="O1392">
        <v>4</v>
      </c>
      <c r="P1392">
        <v>1</v>
      </c>
      <c r="Q1392" t="s">
        <v>86</v>
      </c>
      <c r="R1392" t="s">
        <v>3324</v>
      </c>
      <c r="S1392" t="s">
        <v>25</v>
      </c>
      <c r="T1392" t="s">
        <v>180</v>
      </c>
    </row>
    <row r="1393" spans="1:20" ht="16.5" x14ac:dyDescent="0.45">
      <c r="A1393">
        <v>2392</v>
      </c>
      <c r="B1393" t="s">
        <v>3325</v>
      </c>
      <c r="C1393" t="s">
        <v>28</v>
      </c>
      <c r="D1393" t="s">
        <v>21</v>
      </c>
      <c r="E1393">
        <v>876448</v>
      </c>
      <c r="F1393" s="1">
        <v>45581</v>
      </c>
      <c r="G1393" s="1"/>
      <c r="I1393">
        <v>1879</v>
      </c>
      <c r="K1393">
        <v>5</v>
      </c>
      <c r="L1393">
        <v>3</v>
      </c>
      <c r="M1393" t="s">
        <v>62</v>
      </c>
      <c r="N1393">
        <v>2015</v>
      </c>
      <c r="O1393">
        <v>3</v>
      </c>
      <c r="P1393">
        <v>4</v>
      </c>
      <c r="Q1393" t="s">
        <v>38</v>
      </c>
      <c r="R1393" t="s">
        <v>3326</v>
      </c>
      <c r="S1393" t="s">
        <v>33</v>
      </c>
      <c r="T1393" t="s">
        <v>40</v>
      </c>
    </row>
    <row r="1394" spans="1:20" ht="16.5" x14ac:dyDescent="0.45">
      <c r="A1394">
        <v>2393</v>
      </c>
      <c r="B1394" t="s">
        <v>3327</v>
      </c>
      <c r="C1394" t="s">
        <v>36</v>
      </c>
      <c r="D1394" t="s">
        <v>42</v>
      </c>
      <c r="E1394">
        <v>641100</v>
      </c>
      <c r="F1394" s="1">
        <v>45435</v>
      </c>
      <c r="G1394" s="1"/>
      <c r="I1394">
        <v>1263</v>
      </c>
      <c r="K1394">
        <v>5</v>
      </c>
      <c r="L1394">
        <v>5</v>
      </c>
      <c r="M1394" t="s">
        <v>22</v>
      </c>
      <c r="N1394">
        <v>2014</v>
      </c>
      <c r="P1394">
        <v>2</v>
      </c>
      <c r="Q1394" t="s">
        <v>132</v>
      </c>
      <c r="R1394" t="s">
        <v>3328</v>
      </c>
      <c r="S1394" t="s">
        <v>33</v>
      </c>
      <c r="T1394" t="s">
        <v>1792</v>
      </c>
    </row>
    <row r="1395" spans="1:20" ht="16.5" x14ac:dyDescent="0.45">
      <c r="A1395">
        <v>2394</v>
      </c>
      <c r="B1395" t="s">
        <v>3329</v>
      </c>
      <c r="C1395" t="s">
        <v>28</v>
      </c>
      <c r="D1395" t="s">
        <v>29</v>
      </c>
      <c r="E1395">
        <v>657341</v>
      </c>
      <c r="F1395" s="1">
        <v>45353</v>
      </c>
      <c r="G1395" s="1"/>
      <c r="I1395">
        <v>2395</v>
      </c>
      <c r="K1395">
        <v>3</v>
      </c>
      <c r="L1395">
        <v>3</v>
      </c>
      <c r="M1395" t="s">
        <v>37</v>
      </c>
      <c r="N1395">
        <v>2023</v>
      </c>
      <c r="O1395">
        <v>4</v>
      </c>
      <c r="P1395">
        <v>2</v>
      </c>
      <c r="Q1395" t="s">
        <v>132</v>
      </c>
      <c r="R1395" t="s">
        <v>3330</v>
      </c>
      <c r="S1395" t="s">
        <v>33</v>
      </c>
      <c r="T1395" t="s">
        <v>137</v>
      </c>
    </row>
    <row r="1396" spans="1:20" ht="16.5" x14ac:dyDescent="0.45">
      <c r="A1396">
        <v>2395</v>
      </c>
      <c r="B1396" t="s">
        <v>3331</v>
      </c>
      <c r="C1396" t="s">
        <v>28</v>
      </c>
      <c r="D1396" t="s">
        <v>21</v>
      </c>
      <c r="E1396">
        <v>620393</v>
      </c>
      <c r="F1396" s="1">
        <v>45450</v>
      </c>
      <c r="G1396" s="1"/>
      <c r="I1396">
        <v>3974</v>
      </c>
      <c r="K1396">
        <v>3</v>
      </c>
      <c r="L1396">
        <v>5</v>
      </c>
      <c r="M1396" t="s">
        <v>62</v>
      </c>
      <c r="N1396">
        <v>2010</v>
      </c>
      <c r="O1396">
        <v>3</v>
      </c>
      <c r="P1396">
        <v>4</v>
      </c>
      <c r="Q1396" t="s">
        <v>132</v>
      </c>
      <c r="R1396" t="s">
        <v>3332</v>
      </c>
      <c r="S1396" t="s">
        <v>33</v>
      </c>
      <c r="T1396" t="s">
        <v>107</v>
      </c>
    </row>
    <row r="1397" spans="1:20" ht="16.5" x14ac:dyDescent="0.45">
      <c r="A1397">
        <v>2396</v>
      </c>
      <c r="B1397" t="s">
        <v>3333</v>
      </c>
      <c r="C1397" t="s">
        <v>36</v>
      </c>
      <c r="D1397" t="s">
        <v>42</v>
      </c>
      <c r="E1397">
        <v>752693</v>
      </c>
      <c r="F1397" s="1">
        <v>45460</v>
      </c>
      <c r="G1397" s="1"/>
      <c r="I1397">
        <v>2655</v>
      </c>
      <c r="K1397">
        <v>3</v>
      </c>
      <c r="L1397">
        <v>5</v>
      </c>
      <c r="M1397" t="s">
        <v>62</v>
      </c>
      <c r="N1397">
        <v>2000</v>
      </c>
      <c r="O1397">
        <v>6</v>
      </c>
      <c r="P1397">
        <v>1</v>
      </c>
      <c r="Q1397" t="s">
        <v>43</v>
      </c>
      <c r="R1397" t="s">
        <v>3334</v>
      </c>
      <c r="S1397" t="s">
        <v>33</v>
      </c>
      <c r="T1397" t="s">
        <v>40</v>
      </c>
    </row>
    <row r="1398" spans="1:20" ht="16.5" x14ac:dyDescent="0.45">
      <c r="A1398">
        <v>2397</v>
      </c>
      <c r="B1398" t="s">
        <v>3335</v>
      </c>
      <c r="C1398" t="s">
        <v>47</v>
      </c>
      <c r="D1398" t="s">
        <v>21</v>
      </c>
      <c r="E1398">
        <v>915740</v>
      </c>
      <c r="F1398" s="1">
        <v>45317</v>
      </c>
      <c r="G1398" s="1"/>
      <c r="I1398">
        <v>4611</v>
      </c>
      <c r="K1398">
        <v>2</v>
      </c>
      <c r="L1398">
        <v>4</v>
      </c>
      <c r="M1398" t="s">
        <v>62</v>
      </c>
      <c r="N1398">
        <v>2021</v>
      </c>
      <c r="O1398">
        <v>1</v>
      </c>
      <c r="P1398">
        <v>1</v>
      </c>
      <c r="Q1398" t="s">
        <v>23</v>
      </c>
      <c r="R1398" t="s">
        <v>1961</v>
      </c>
      <c r="S1398" t="s">
        <v>33</v>
      </c>
      <c r="T1398" t="s">
        <v>3336</v>
      </c>
    </row>
    <row r="1399" spans="1:20" ht="16.5" x14ac:dyDescent="0.45">
      <c r="A1399">
        <v>2398</v>
      </c>
      <c r="B1399" t="s">
        <v>3337</v>
      </c>
      <c r="C1399" t="s">
        <v>51</v>
      </c>
      <c r="D1399" t="s">
        <v>42</v>
      </c>
      <c r="E1399">
        <v>430401</v>
      </c>
      <c r="F1399" s="1">
        <v>45416</v>
      </c>
      <c r="G1399" s="1"/>
      <c r="I1399">
        <v>1394</v>
      </c>
      <c r="K1399">
        <v>2</v>
      </c>
      <c r="L1399">
        <v>5</v>
      </c>
      <c r="M1399" t="s">
        <v>62</v>
      </c>
      <c r="N1399">
        <v>2017</v>
      </c>
      <c r="O1399">
        <v>6</v>
      </c>
      <c r="P1399">
        <v>2</v>
      </c>
      <c r="Q1399" t="s">
        <v>43</v>
      </c>
      <c r="R1399" t="s">
        <v>3338</v>
      </c>
      <c r="S1399" t="s">
        <v>33</v>
      </c>
      <c r="T1399" t="s">
        <v>91</v>
      </c>
    </row>
    <row r="1400" spans="1:20" ht="16.5" x14ac:dyDescent="0.45">
      <c r="A1400">
        <v>2399</v>
      </c>
      <c r="B1400" t="s">
        <v>3339</v>
      </c>
      <c r="C1400" t="s">
        <v>51</v>
      </c>
      <c r="D1400" t="s">
        <v>21</v>
      </c>
      <c r="E1400">
        <v>377808</v>
      </c>
      <c r="F1400" s="1">
        <v>45332</v>
      </c>
      <c r="G1400" s="1"/>
      <c r="I1400">
        <v>1294</v>
      </c>
      <c r="K1400">
        <v>4</v>
      </c>
      <c r="L1400">
        <v>2</v>
      </c>
      <c r="M1400" t="s">
        <v>62</v>
      </c>
      <c r="N1400">
        <v>2013</v>
      </c>
      <c r="O1400">
        <v>6</v>
      </c>
      <c r="P1400">
        <v>1</v>
      </c>
      <c r="Q1400" t="s">
        <v>23</v>
      </c>
      <c r="R1400" t="s">
        <v>3340</v>
      </c>
      <c r="S1400" t="s">
        <v>33</v>
      </c>
      <c r="T1400" t="s">
        <v>158</v>
      </c>
    </row>
    <row r="1401" spans="1:20" ht="16.5" x14ac:dyDescent="0.45">
      <c r="A1401">
        <v>2400</v>
      </c>
      <c r="B1401" t="s">
        <v>3341</v>
      </c>
      <c r="C1401" t="s">
        <v>28</v>
      </c>
      <c r="D1401" t="s">
        <v>29</v>
      </c>
      <c r="E1401">
        <v>728903</v>
      </c>
      <c r="F1401" s="1">
        <v>45495</v>
      </c>
      <c r="G1401" s="1"/>
      <c r="I1401">
        <v>3600</v>
      </c>
      <c r="K1401">
        <v>2</v>
      </c>
      <c r="L1401">
        <v>5</v>
      </c>
      <c r="M1401" t="s">
        <v>37</v>
      </c>
      <c r="N1401">
        <v>2013</v>
      </c>
      <c r="O1401">
        <v>7</v>
      </c>
      <c r="P1401">
        <v>2</v>
      </c>
      <c r="Q1401" t="s">
        <v>93</v>
      </c>
      <c r="R1401" t="s">
        <v>3342</v>
      </c>
      <c r="S1401" t="s">
        <v>33</v>
      </c>
      <c r="T1401" t="s">
        <v>183</v>
      </c>
    </row>
    <row r="1402" spans="1:20" ht="16.5" x14ac:dyDescent="0.45">
      <c r="A1402">
        <v>2401</v>
      </c>
      <c r="B1402" t="s">
        <v>3343</v>
      </c>
      <c r="C1402" t="s">
        <v>28</v>
      </c>
      <c r="D1402" t="s">
        <v>29</v>
      </c>
      <c r="E1402">
        <v>437834</v>
      </c>
      <c r="F1402" s="1">
        <v>45461</v>
      </c>
      <c r="G1402" s="1">
        <v>45355</v>
      </c>
      <c r="H1402">
        <v>486366</v>
      </c>
      <c r="I1402">
        <v>4118</v>
      </c>
      <c r="J1402" s="5">
        <v>2002855188</v>
      </c>
      <c r="K1402">
        <v>5</v>
      </c>
      <c r="L1402">
        <v>2</v>
      </c>
      <c r="M1402" t="s">
        <v>62</v>
      </c>
      <c r="N1402">
        <v>2010</v>
      </c>
      <c r="O1402">
        <v>2</v>
      </c>
      <c r="P1402">
        <v>1</v>
      </c>
      <c r="Q1402" t="s">
        <v>93</v>
      </c>
      <c r="R1402" t="s">
        <v>1734</v>
      </c>
      <c r="S1402" t="s">
        <v>25</v>
      </c>
      <c r="T1402" t="s">
        <v>500</v>
      </c>
    </row>
    <row r="1403" spans="1:20" ht="16.5" x14ac:dyDescent="0.45">
      <c r="A1403">
        <v>2402</v>
      </c>
      <c r="B1403" t="s">
        <v>3344</v>
      </c>
      <c r="C1403" t="s">
        <v>47</v>
      </c>
      <c r="D1403" t="s">
        <v>42</v>
      </c>
      <c r="E1403">
        <v>381337</v>
      </c>
      <c r="F1403" s="1">
        <v>45296</v>
      </c>
      <c r="G1403" s="1">
        <v>45544</v>
      </c>
      <c r="H1403">
        <v>402968</v>
      </c>
      <c r="I1403">
        <v>2771</v>
      </c>
      <c r="J1403" s="5">
        <v>1116624328</v>
      </c>
      <c r="K1403">
        <v>3</v>
      </c>
      <c r="L1403">
        <v>3</v>
      </c>
      <c r="M1403" t="s">
        <v>62</v>
      </c>
      <c r="N1403">
        <v>2019</v>
      </c>
      <c r="O1403">
        <v>6</v>
      </c>
      <c r="P1403">
        <v>1</v>
      </c>
      <c r="Q1403" t="s">
        <v>132</v>
      </c>
      <c r="R1403" t="s">
        <v>205</v>
      </c>
      <c r="S1403" t="s">
        <v>25</v>
      </c>
      <c r="T1403" t="s">
        <v>45</v>
      </c>
    </row>
    <row r="1404" spans="1:20" ht="16.5" x14ac:dyDescent="0.45">
      <c r="A1404">
        <v>2403</v>
      </c>
      <c r="B1404" t="s">
        <v>3345</v>
      </c>
      <c r="C1404" t="s">
        <v>36</v>
      </c>
      <c r="D1404" t="s">
        <v>21</v>
      </c>
      <c r="E1404">
        <v>703912</v>
      </c>
      <c r="F1404" s="1">
        <v>45551</v>
      </c>
      <c r="G1404" s="1">
        <v>45397</v>
      </c>
      <c r="H1404">
        <v>716773</v>
      </c>
      <c r="I1404">
        <v>2913</v>
      </c>
      <c r="J1404" s="5">
        <v>2087959749</v>
      </c>
      <c r="K1404">
        <v>6</v>
      </c>
      <c r="L1404">
        <v>5</v>
      </c>
      <c r="M1404" t="s">
        <v>37</v>
      </c>
      <c r="N1404">
        <v>2019</v>
      </c>
      <c r="O1404">
        <v>9</v>
      </c>
      <c r="P1404">
        <v>4</v>
      </c>
      <c r="Q1404" t="s">
        <v>162</v>
      </c>
      <c r="R1404" t="s">
        <v>3346</v>
      </c>
      <c r="S1404" t="s">
        <v>25</v>
      </c>
      <c r="T1404" t="s">
        <v>70</v>
      </c>
    </row>
    <row r="1405" spans="1:20" ht="16.5" x14ac:dyDescent="0.45">
      <c r="A1405">
        <v>2404</v>
      </c>
      <c r="B1405" t="s">
        <v>3347</v>
      </c>
      <c r="C1405" t="s">
        <v>20</v>
      </c>
      <c r="D1405" t="s">
        <v>21</v>
      </c>
      <c r="E1405">
        <v>785627</v>
      </c>
      <c r="F1405" s="1">
        <v>45441</v>
      </c>
      <c r="G1405" s="1">
        <v>45581</v>
      </c>
      <c r="H1405">
        <v>831509</v>
      </c>
      <c r="I1405">
        <v>3966</v>
      </c>
      <c r="J1405" s="5">
        <v>3297764694</v>
      </c>
      <c r="K1405">
        <v>3</v>
      </c>
      <c r="L1405">
        <v>5</v>
      </c>
      <c r="M1405" t="s">
        <v>62</v>
      </c>
      <c r="N1405">
        <v>2013</v>
      </c>
      <c r="O1405">
        <v>9</v>
      </c>
      <c r="P1405">
        <v>1</v>
      </c>
      <c r="Q1405" t="s">
        <v>162</v>
      </c>
      <c r="R1405" t="s">
        <v>3348</v>
      </c>
      <c r="S1405" t="s">
        <v>25</v>
      </c>
      <c r="T1405" t="s">
        <v>2462</v>
      </c>
    </row>
    <row r="1406" spans="1:20" ht="16.5" x14ac:dyDescent="0.45">
      <c r="A1406">
        <v>2405</v>
      </c>
      <c r="B1406" t="s">
        <v>3349</v>
      </c>
      <c r="C1406" t="s">
        <v>47</v>
      </c>
      <c r="D1406" t="s">
        <v>21</v>
      </c>
      <c r="E1406">
        <v>561354</v>
      </c>
      <c r="F1406" s="1">
        <v>45624</v>
      </c>
      <c r="G1406" s="1">
        <v>45390</v>
      </c>
      <c r="H1406">
        <v>585361</v>
      </c>
      <c r="I1406">
        <v>2086</v>
      </c>
      <c r="J1406" s="5">
        <v>1221063046</v>
      </c>
      <c r="K1406">
        <v>2</v>
      </c>
      <c r="L1406">
        <v>2</v>
      </c>
      <c r="M1406" t="s">
        <v>62</v>
      </c>
      <c r="N1406">
        <v>2003</v>
      </c>
      <c r="O1406">
        <v>10</v>
      </c>
      <c r="P1406">
        <v>4</v>
      </c>
      <c r="Q1406" t="s">
        <v>23</v>
      </c>
      <c r="R1406" t="s">
        <v>3350</v>
      </c>
      <c r="S1406" t="s">
        <v>25</v>
      </c>
      <c r="T1406" t="s">
        <v>1882</v>
      </c>
    </row>
    <row r="1407" spans="1:20" ht="16.5" x14ac:dyDescent="0.45">
      <c r="A1407">
        <v>2406</v>
      </c>
      <c r="B1407" t="s">
        <v>3351</v>
      </c>
      <c r="C1407" t="s">
        <v>51</v>
      </c>
      <c r="D1407" t="s">
        <v>21</v>
      </c>
      <c r="E1407">
        <v>679021</v>
      </c>
      <c r="F1407" s="1">
        <v>45316</v>
      </c>
      <c r="G1407" s="1">
        <v>45551</v>
      </c>
      <c r="H1407">
        <v>697490</v>
      </c>
      <c r="I1407">
        <v>4649</v>
      </c>
      <c r="J1407" s="5">
        <v>3242631010</v>
      </c>
      <c r="K1407">
        <v>2</v>
      </c>
      <c r="L1407">
        <v>5</v>
      </c>
      <c r="M1407" t="s">
        <v>37</v>
      </c>
      <c r="N1407">
        <v>2021</v>
      </c>
      <c r="O1407">
        <v>1</v>
      </c>
      <c r="P1407">
        <v>2</v>
      </c>
      <c r="Q1407" t="s">
        <v>93</v>
      </c>
      <c r="R1407" t="s">
        <v>3352</v>
      </c>
      <c r="S1407" t="s">
        <v>25</v>
      </c>
      <c r="T1407" t="s">
        <v>1141</v>
      </c>
    </row>
    <row r="1408" spans="1:20" ht="16.5" x14ac:dyDescent="0.45">
      <c r="A1408">
        <v>2407</v>
      </c>
      <c r="B1408" t="s">
        <v>3353</v>
      </c>
      <c r="C1408" t="s">
        <v>20</v>
      </c>
      <c r="D1408" t="s">
        <v>42</v>
      </c>
      <c r="E1408">
        <v>584026</v>
      </c>
      <c r="F1408" s="1">
        <v>45459</v>
      </c>
      <c r="G1408" s="1"/>
      <c r="I1408">
        <v>4507</v>
      </c>
      <c r="K1408">
        <v>3</v>
      </c>
      <c r="L1408">
        <v>4</v>
      </c>
      <c r="M1408" t="s">
        <v>30</v>
      </c>
      <c r="N1408">
        <v>2018</v>
      </c>
      <c r="O1408">
        <v>9</v>
      </c>
      <c r="P1408">
        <v>1</v>
      </c>
      <c r="Q1408" t="s">
        <v>58</v>
      </c>
      <c r="R1408" t="s">
        <v>3354</v>
      </c>
      <c r="S1408" t="s">
        <v>33</v>
      </c>
      <c r="T1408" t="s">
        <v>3355</v>
      </c>
    </row>
    <row r="1409" spans="1:20" ht="16.5" x14ac:dyDescent="0.45">
      <c r="A1409">
        <v>2408</v>
      </c>
      <c r="B1409" t="s">
        <v>3356</v>
      </c>
      <c r="C1409" t="s">
        <v>36</v>
      </c>
      <c r="D1409" t="s">
        <v>42</v>
      </c>
      <c r="E1409">
        <v>568411</v>
      </c>
      <c r="F1409" s="1">
        <v>45547</v>
      </c>
      <c r="G1409" s="1">
        <v>45352</v>
      </c>
      <c r="H1409">
        <v>613614</v>
      </c>
      <c r="I1409">
        <v>2804</v>
      </c>
      <c r="J1409" s="5">
        <v>1720573656</v>
      </c>
      <c r="K1409">
        <v>4</v>
      </c>
      <c r="L1409">
        <v>4</v>
      </c>
      <c r="M1409" t="s">
        <v>22</v>
      </c>
      <c r="N1409">
        <v>2005</v>
      </c>
      <c r="P1409">
        <v>2</v>
      </c>
      <c r="Q1409" t="s">
        <v>93</v>
      </c>
      <c r="R1409" t="s">
        <v>3187</v>
      </c>
      <c r="S1409" t="s">
        <v>25</v>
      </c>
      <c r="T1409" t="s">
        <v>3357</v>
      </c>
    </row>
    <row r="1410" spans="1:20" ht="16.5" x14ac:dyDescent="0.45">
      <c r="A1410">
        <v>2409</v>
      </c>
      <c r="B1410" t="s">
        <v>3358</v>
      </c>
      <c r="C1410" t="s">
        <v>47</v>
      </c>
      <c r="D1410" t="s">
        <v>42</v>
      </c>
      <c r="E1410">
        <v>778280</v>
      </c>
      <c r="F1410" s="1">
        <v>45551</v>
      </c>
      <c r="G1410" s="1"/>
      <c r="I1410">
        <v>4668</v>
      </c>
      <c r="K1410">
        <v>4</v>
      </c>
      <c r="L1410">
        <v>3</v>
      </c>
      <c r="M1410" t="s">
        <v>37</v>
      </c>
      <c r="N1410">
        <v>2017</v>
      </c>
      <c r="O1410">
        <v>10</v>
      </c>
      <c r="P1410">
        <v>2</v>
      </c>
      <c r="Q1410" t="s">
        <v>58</v>
      </c>
      <c r="R1410" t="s">
        <v>3359</v>
      </c>
      <c r="S1410" t="s">
        <v>33</v>
      </c>
      <c r="T1410" t="s">
        <v>3360</v>
      </c>
    </row>
    <row r="1411" spans="1:20" ht="16.5" x14ac:dyDescent="0.45">
      <c r="A1411">
        <v>2410</v>
      </c>
      <c r="B1411" t="s">
        <v>3361</v>
      </c>
      <c r="C1411" t="s">
        <v>28</v>
      </c>
      <c r="D1411" t="s">
        <v>42</v>
      </c>
      <c r="E1411">
        <v>373040</v>
      </c>
      <c r="F1411" s="1">
        <v>45284</v>
      </c>
      <c r="G1411" s="1">
        <v>45374</v>
      </c>
      <c r="H1411">
        <v>384969</v>
      </c>
      <c r="I1411">
        <v>3798</v>
      </c>
      <c r="J1411" s="5">
        <v>1462112262</v>
      </c>
      <c r="K1411">
        <v>3</v>
      </c>
      <c r="L1411">
        <v>5</v>
      </c>
      <c r="M1411" t="s">
        <v>22</v>
      </c>
      <c r="N1411">
        <v>2015</v>
      </c>
      <c r="P1411">
        <v>1</v>
      </c>
      <c r="Q1411" t="s">
        <v>43</v>
      </c>
      <c r="R1411" t="s">
        <v>3362</v>
      </c>
      <c r="S1411" t="s">
        <v>25</v>
      </c>
      <c r="T1411" t="s">
        <v>2927</v>
      </c>
    </row>
    <row r="1412" spans="1:20" ht="16.5" x14ac:dyDescent="0.45">
      <c r="A1412">
        <v>2411</v>
      </c>
      <c r="B1412" t="s">
        <v>3363</v>
      </c>
      <c r="C1412" t="s">
        <v>51</v>
      </c>
      <c r="D1412" t="s">
        <v>29</v>
      </c>
      <c r="E1412">
        <v>743159</v>
      </c>
      <c r="F1412" s="1">
        <v>45571</v>
      </c>
      <c r="G1412" s="1">
        <v>45566</v>
      </c>
      <c r="H1412">
        <v>790530</v>
      </c>
      <c r="I1412">
        <v>4078</v>
      </c>
      <c r="J1412" s="5">
        <v>3223781340</v>
      </c>
      <c r="K1412">
        <v>5</v>
      </c>
      <c r="L1412">
        <v>5</v>
      </c>
      <c r="M1412" t="s">
        <v>30</v>
      </c>
      <c r="N1412">
        <v>2008</v>
      </c>
      <c r="O1412">
        <v>3</v>
      </c>
      <c r="P1412">
        <v>3</v>
      </c>
      <c r="Q1412" t="s">
        <v>132</v>
      </c>
      <c r="R1412" t="s">
        <v>3364</v>
      </c>
      <c r="S1412" t="s">
        <v>25</v>
      </c>
      <c r="T1412" t="s">
        <v>500</v>
      </c>
    </row>
    <row r="1413" spans="1:20" ht="16.5" x14ac:dyDescent="0.45">
      <c r="A1413">
        <v>2412</v>
      </c>
      <c r="B1413" t="s">
        <v>3365</v>
      </c>
      <c r="C1413" t="s">
        <v>20</v>
      </c>
      <c r="D1413" t="s">
        <v>42</v>
      </c>
      <c r="E1413">
        <v>996809</v>
      </c>
      <c r="F1413" s="1">
        <v>45465</v>
      </c>
      <c r="G1413" s="1"/>
      <c r="I1413">
        <v>1863</v>
      </c>
      <c r="K1413">
        <v>6</v>
      </c>
      <c r="L1413">
        <v>2</v>
      </c>
      <c r="M1413" t="s">
        <v>22</v>
      </c>
      <c r="N1413">
        <v>2023</v>
      </c>
      <c r="P1413">
        <v>4</v>
      </c>
      <c r="Q1413" t="s">
        <v>23</v>
      </c>
      <c r="R1413" t="s">
        <v>3366</v>
      </c>
      <c r="S1413" t="s">
        <v>33</v>
      </c>
      <c r="T1413" t="s">
        <v>3367</v>
      </c>
    </row>
    <row r="1414" spans="1:20" ht="16.5" x14ac:dyDescent="0.45">
      <c r="A1414">
        <v>2413</v>
      </c>
      <c r="B1414" t="s">
        <v>3368</v>
      </c>
      <c r="C1414" t="s">
        <v>47</v>
      </c>
      <c r="D1414" t="s">
        <v>21</v>
      </c>
      <c r="E1414">
        <v>593684</v>
      </c>
      <c r="F1414" s="1">
        <v>45514</v>
      </c>
      <c r="G1414" s="1">
        <v>45614</v>
      </c>
      <c r="H1414">
        <v>636798</v>
      </c>
      <c r="I1414">
        <v>4406</v>
      </c>
      <c r="J1414" s="5">
        <v>2805731988</v>
      </c>
      <c r="K1414">
        <v>6</v>
      </c>
      <c r="L1414">
        <v>4</v>
      </c>
      <c r="M1414" t="s">
        <v>30</v>
      </c>
      <c r="N1414">
        <v>2006</v>
      </c>
      <c r="O1414">
        <v>9</v>
      </c>
      <c r="P1414">
        <v>2</v>
      </c>
      <c r="Q1414" t="s">
        <v>31</v>
      </c>
      <c r="R1414" t="s">
        <v>3369</v>
      </c>
      <c r="S1414" t="s">
        <v>25</v>
      </c>
      <c r="T1414" t="s">
        <v>3370</v>
      </c>
    </row>
    <row r="1415" spans="1:20" ht="16.5" x14ac:dyDescent="0.45">
      <c r="A1415">
        <v>2414</v>
      </c>
      <c r="B1415" t="s">
        <v>3371</v>
      </c>
      <c r="C1415" t="s">
        <v>36</v>
      </c>
      <c r="D1415" t="s">
        <v>42</v>
      </c>
      <c r="E1415">
        <v>440656</v>
      </c>
      <c r="F1415" s="1">
        <v>45283</v>
      </c>
      <c r="G1415" s="1">
        <v>45506</v>
      </c>
      <c r="H1415">
        <v>483914</v>
      </c>
      <c r="I1415">
        <v>1620</v>
      </c>
      <c r="J1415" s="5">
        <v>783940680</v>
      </c>
      <c r="K1415">
        <v>6</v>
      </c>
      <c r="L1415">
        <v>4</v>
      </c>
      <c r="M1415" t="s">
        <v>30</v>
      </c>
      <c r="N1415">
        <v>2004</v>
      </c>
      <c r="O1415">
        <v>5</v>
      </c>
      <c r="P1415">
        <v>3</v>
      </c>
      <c r="Q1415" t="s">
        <v>162</v>
      </c>
      <c r="R1415" t="s">
        <v>3372</v>
      </c>
      <c r="S1415" t="s">
        <v>25</v>
      </c>
      <c r="T1415" t="s">
        <v>183</v>
      </c>
    </row>
    <row r="1416" spans="1:20" ht="16.5" x14ac:dyDescent="0.45">
      <c r="A1416">
        <v>2415</v>
      </c>
      <c r="B1416" t="s">
        <v>3373</v>
      </c>
      <c r="C1416" t="s">
        <v>36</v>
      </c>
      <c r="D1416" t="s">
        <v>42</v>
      </c>
      <c r="E1416">
        <v>910483</v>
      </c>
      <c r="F1416" s="1">
        <v>45394</v>
      </c>
      <c r="G1416" s="1">
        <v>45510</v>
      </c>
      <c r="H1416">
        <v>943822</v>
      </c>
      <c r="I1416">
        <v>4425</v>
      </c>
      <c r="J1416" s="5">
        <v>4176412350</v>
      </c>
      <c r="K1416">
        <v>2</v>
      </c>
      <c r="L1416">
        <v>3</v>
      </c>
      <c r="M1416" t="s">
        <v>30</v>
      </c>
      <c r="N1416">
        <v>2012</v>
      </c>
      <c r="O1416">
        <v>9</v>
      </c>
      <c r="P1416">
        <v>3</v>
      </c>
      <c r="Q1416" t="s">
        <v>31</v>
      </c>
      <c r="R1416" t="s">
        <v>3374</v>
      </c>
      <c r="S1416" t="s">
        <v>25</v>
      </c>
      <c r="T1416" t="s">
        <v>1661</v>
      </c>
    </row>
    <row r="1417" spans="1:20" ht="16.5" x14ac:dyDescent="0.45">
      <c r="A1417">
        <v>2416</v>
      </c>
      <c r="B1417" t="s">
        <v>3375</v>
      </c>
      <c r="C1417" t="s">
        <v>36</v>
      </c>
      <c r="D1417" t="s">
        <v>29</v>
      </c>
      <c r="E1417">
        <v>665867</v>
      </c>
      <c r="F1417" s="1">
        <v>45404</v>
      </c>
      <c r="G1417" s="1"/>
      <c r="I1417">
        <v>3397</v>
      </c>
      <c r="K1417">
        <v>6</v>
      </c>
      <c r="L1417">
        <v>4</v>
      </c>
      <c r="M1417" t="s">
        <v>37</v>
      </c>
      <c r="N1417">
        <v>2020</v>
      </c>
      <c r="O1417">
        <v>2</v>
      </c>
      <c r="P1417">
        <v>3</v>
      </c>
      <c r="Q1417" t="s">
        <v>93</v>
      </c>
      <c r="R1417" t="s">
        <v>2312</v>
      </c>
      <c r="S1417" t="s">
        <v>33</v>
      </c>
      <c r="T1417" t="s">
        <v>70</v>
      </c>
    </row>
    <row r="1418" spans="1:20" ht="16.5" x14ac:dyDescent="0.45">
      <c r="A1418">
        <v>2417</v>
      </c>
      <c r="B1418" t="s">
        <v>3376</v>
      </c>
      <c r="C1418" t="s">
        <v>47</v>
      </c>
      <c r="D1418" t="s">
        <v>29</v>
      </c>
      <c r="E1418">
        <v>541937</v>
      </c>
      <c r="F1418" s="1">
        <v>45641</v>
      </c>
      <c r="G1418" s="1"/>
      <c r="I1418">
        <v>2722</v>
      </c>
      <c r="K1418">
        <v>6</v>
      </c>
      <c r="L1418">
        <v>3</v>
      </c>
      <c r="M1418" t="s">
        <v>62</v>
      </c>
      <c r="N1418">
        <v>2001</v>
      </c>
      <c r="O1418">
        <v>10</v>
      </c>
      <c r="P1418">
        <v>2</v>
      </c>
      <c r="Q1418" t="s">
        <v>86</v>
      </c>
      <c r="R1418" t="s">
        <v>3377</v>
      </c>
      <c r="S1418" t="s">
        <v>33</v>
      </c>
      <c r="T1418" t="s">
        <v>3378</v>
      </c>
    </row>
    <row r="1419" spans="1:20" ht="16.5" x14ac:dyDescent="0.45">
      <c r="A1419">
        <v>2418</v>
      </c>
      <c r="B1419" t="s">
        <v>3379</v>
      </c>
      <c r="C1419" t="s">
        <v>20</v>
      </c>
      <c r="D1419" t="s">
        <v>42</v>
      </c>
      <c r="E1419">
        <v>627724</v>
      </c>
      <c r="F1419" s="1">
        <v>45303</v>
      </c>
      <c r="G1419" s="1">
        <v>45567</v>
      </c>
      <c r="H1419">
        <v>664262</v>
      </c>
      <c r="I1419">
        <v>1711</v>
      </c>
      <c r="J1419" s="5">
        <v>1136552282</v>
      </c>
      <c r="K1419">
        <v>4</v>
      </c>
      <c r="L1419">
        <v>4</v>
      </c>
      <c r="M1419" t="s">
        <v>37</v>
      </c>
      <c r="N1419">
        <v>2011</v>
      </c>
      <c r="O1419">
        <v>6</v>
      </c>
      <c r="P1419">
        <v>1</v>
      </c>
      <c r="Q1419" t="s">
        <v>93</v>
      </c>
      <c r="R1419" t="s">
        <v>3380</v>
      </c>
      <c r="S1419" t="s">
        <v>25</v>
      </c>
      <c r="T1419" t="s">
        <v>137</v>
      </c>
    </row>
    <row r="1420" spans="1:20" ht="16.5" x14ac:dyDescent="0.45">
      <c r="A1420">
        <v>2419</v>
      </c>
      <c r="B1420" t="s">
        <v>3381</v>
      </c>
      <c r="C1420" t="s">
        <v>28</v>
      </c>
      <c r="D1420" t="s">
        <v>21</v>
      </c>
      <c r="E1420">
        <v>967222</v>
      </c>
      <c r="F1420" s="1">
        <v>45444</v>
      </c>
      <c r="G1420" s="1">
        <v>45371</v>
      </c>
      <c r="H1420">
        <v>984573</v>
      </c>
      <c r="I1420">
        <v>4340</v>
      </c>
      <c r="J1420" s="5">
        <v>4273046820</v>
      </c>
      <c r="K1420">
        <v>2</v>
      </c>
      <c r="L1420">
        <v>3</v>
      </c>
      <c r="M1420" t="s">
        <v>62</v>
      </c>
      <c r="N1420">
        <v>2022</v>
      </c>
      <c r="O1420">
        <v>2</v>
      </c>
      <c r="P1420">
        <v>2</v>
      </c>
      <c r="Q1420" t="s">
        <v>132</v>
      </c>
      <c r="R1420" t="s">
        <v>3382</v>
      </c>
      <c r="S1420" t="s">
        <v>25</v>
      </c>
      <c r="T1420" t="s">
        <v>172</v>
      </c>
    </row>
    <row r="1421" spans="1:20" ht="16.5" x14ac:dyDescent="0.45">
      <c r="A1421">
        <v>2420</v>
      </c>
      <c r="B1421" t="s">
        <v>3383</v>
      </c>
      <c r="C1421" t="s">
        <v>20</v>
      </c>
      <c r="D1421" t="s">
        <v>21</v>
      </c>
      <c r="E1421">
        <v>725892</v>
      </c>
      <c r="F1421" s="1">
        <v>45293</v>
      </c>
      <c r="G1421" s="1"/>
      <c r="I1421">
        <v>3135</v>
      </c>
      <c r="K1421">
        <v>3</v>
      </c>
      <c r="L1421">
        <v>4</v>
      </c>
      <c r="M1421" t="s">
        <v>22</v>
      </c>
      <c r="N1421">
        <v>2016</v>
      </c>
      <c r="P1421">
        <v>2</v>
      </c>
      <c r="Q1421" t="s">
        <v>162</v>
      </c>
      <c r="R1421" t="s">
        <v>3384</v>
      </c>
      <c r="S1421" t="s">
        <v>33</v>
      </c>
      <c r="T1421" t="s">
        <v>1658</v>
      </c>
    </row>
    <row r="1422" spans="1:20" ht="16.5" x14ac:dyDescent="0.45">
      <c r="A1422">
        <v>2421</v>
      </c>
      <c r="B1422" t="s">
        <v>3385</v>
      </c>
      <c r="C1422" t="s">
        <v>28</v>
      </c>
      <c r="D1422" t="s">
        <v>29</v>
      </c>
      <c r="E1422">
        <v>938728</v>
      </c>
      <c r="F1422" s="1">
        <v>45641</v>
      </c>
      <c r="G1422" s="1"/>
      <c r="I1422">
        <v>3625</v>
      </c>
      <c r="K1422">
        <v>4</v>
      </c>
      <c r="L1422">
        <v>3</v>
      </c>
      <c r="M1422" t="s">
        <v>22</v>
      </c>
      <c r="N1422">
        <v>2002</v>
      </c>
      <c r="P1422">
        <v>4</v>
      </c>
      <c r="Q1422" t="s">
        <v>93</v>
      </c>
      <c r="R1422" t="s">
        <v>776</v>
      </c>
      <c r="S1422" t="s">
        <v>33</v>
      </c>
      <c r="T1422" t="s">
        <v>603</v>
      </c>
    </row>
    <row r="1423" spans="1:20" ht="16.5" x14ac:dyDescent="0.45">
      <c r="A1423">
        <v>2422</v>
      </c>
      <c r="B1423" t="s">
        <v>3386</v>
      </c>
      <c r="C1423" t="s">
        <v>20</v>
      </c>
      <c r="D1423" t="s">
        <v>29</v>
      </c>
      <c r="E1423">
        <v>419363</v>
      </c>
      <c r="F1423" s="1">
        <v>45560</v>
      </c>
      <c r="G1423" s="1"/>
      <c r="I1423">
        <v>1461</v>
      </c>
      <c r="K1423">
        <v>5</v>
      </c>
      <c r="L1423">
        <v>4</v>
      </c>
      <c r="M1423" t="s">
        <v>37</v>
      </c>
      <c r="N1423">
        <v>2005</v>
      </c>
      <c r="O1423">
        <v>10</v>
      </c>
      <c r="P1423">
        <v>1</v>
      </c>
      <c r="Q1423" t="s">
        <v>162</v>
      </c>
      <c r="R1423" t="s">
        <v>3387</v>
      </c>
      <c r="S1423" t="s">
        <v>33</v>
      </c>
      <c r="T1423" t="s">
        <v>3388</v>
      </c>
    </row>
    <row r="1424" spans="1:20" ht="16.5" x14ac:dyDescent="0.45">
      <c r="A1424">
        <v>2423</v>
      </c>
      <c r="B1424" t="s">
        <v>3389</v>
      </c>
      <c r="C1424" t="s">
        <v>51</v>
      </c>
      <c r="D1424" t="s">
        <v>21</v>
      </c>
      <c r="E1424">
        <v>894292</v>
      </c>
      <c r="F1424" s="1">
        <v>45558</v>
      </c>
      <c r="G1424" s="1"/>
      <c r="I1424">
        <v>3518</v>
      </c>
      <c r="K1424">
        <v>6</v>
      </c>
      <c r="L1424">
        <v>4</v>
      </c>
      <c r="M1424" t="s">
        <v>30</v>
      </c>
      <c r="N1424">
        <v>2008</v>
      </c>
      <c r="O1424">
        <v>6</v>
      </c>
      <c r="P1424">
        <v>4</v>
      </c>
      <c r="Q1424" t="s">
        <v>93</v>
      </c>
      <c r="R1424" t="s">
        <v>3390</v>
      </c>
      <c r="S1424" t="s">
        <v>33</v>
      </c>
      <c r="T1424" t="s">
        <v>180</v>
      </c>
    </row>
    <row r="1425" spans="1:20" ht="16.5" x14ac:dyDescent="0.45">
      <c r="A1425">
        <v>2424</v>
      </c>
      <c r="B1425" t="s">
        <v>3391</v>
      </c>
      <c r="C1425" t="s">
        <v>28</v>
      </c>
      <c r="D1425" t="s">
        <v>29</v>
      </c>
      <c r="E1425">
        <v>698551</v>
      </c>
      <c r="F1425" s="1">
        <v>45329</v>
      </c>
      <c r="G1425" s="1"/>
      <c r="I1425">
        <v>1640</v>
      </c>
      <c r="K1425">
        <v>5</v>
      </c>
      <c r="L1425">
        <v>2</v>
      </c>
      <c r="M1425" t="s">
        <v>37</v>
      </c>
      <c r="N1425">
        <v>2013</v>
      </c>
      <c r="O1425">
        <v>7</v>
      </c>
      <c r="P1425">
        <v>1</v>
      </c>
      <c r="Q1425" t="s">
        <v>75</v>
      </c>
      <c r="R1425" t="s">
        <v>3392</v>
      </c>
      <c r="S1425" t="s">
        <v>33</v>
      </c>
      <c r="T1425" t="s">
        <v>1245</v>
      </c>
    </row>
    <row r="1426" spans="1:20" ht="16.5" x14ac:dyDescent="0.45">
      <c r="A1426">
        <v>2425</v>
      </c>
      <c r="B1426" t="s">
        <v>3393</v>
      </c>
      <c r="C1426" t="s">
        <v>36</v>
      </c>
      <c r="D1426" t="s">
        <v>21</v>
      </c>
      <c r="E1426">
        <v>804497</v>
      </c>
      <c r="F1426" s="1">
        <v>45313</v>
      </c>
      <c r="G1426" s="1">
        <v>45518</v>
      </c>
      <c r="H1426">
        <v>824677</v>
      </c>
      <c r="I1426">
        <v>4891</v>
      </c>
      <c r="J1426" s="5">
        <v>4033495207</v>
      </c>
      <c r="K1426">
        <v>3</v>
      </c>
      <c r="L1426">
        <v>5</v>
      </c>
      <c r="M1426" t="s">
        <v>37</v>
      </c>
      <c r="N1426">
        <v>2006</v>
      </c>
      <c r="O1426">
        <v>8</v>
      </c>
      <c r="P1426">
        <v>2</v>
      </c>
      <c r="Q1426" t="s">
        <v>31</v>
      </c>
      <c r="R1426" t="s">
        <v>3394</v>
      </c>
      <c r="S1426" t="s">
        <v>25</v>
      </c>
      <c r="T1426" t="s">
        <v>1593</v>
      </c>
    </row>
    <row r="1427" spans="1:20" ht="16.5" x14ac:dyDescent="0.45">
      <c r="A1427">
        <v>2426</v>
      </c>
      <c r="B1427" t="s">
        <v>3395</v>
      </c>
      <c r="C1427" t="s">
        <v>36</v>
      </c>
      <c r="D1427" t="s">
        <v>42</v>
      </c>
      <c r="E1427">
        <v>906788</v>
      </c>
      <c r="F1427" s="1">
        <v>45587</v>
      </c>
      <c r="G1427" s="1">
        <v>45288</v>
      </c>
      <c r="H1427">
        <v>939293</v>
      </c>
      <c r="I1427">
        <v>4650</v>
      </c>
      <c r="J1427" s="5">
        <v>4367712450</v>
      </c>
      <c r="K1427">
        <v>2</v>
      </c>
      <c r="L1427">
        <v>3</v>
      </c>
      <c r="M1427" t="s">
        <v>22</v>
      </c>
      <c r="N1427">
        <v>2011</v>
      </c>
      <c r="P1427">
        <v>4</v>
      </c>
      <c r="Q1427" t="s">
        <v>93</v>
      </c>
      <c r="R1427" t="s">
        <v>3396</v>
      </c>
      <c r="S1427" t="s">
        <v>25</v>
      </c>
      <c r="T1427" t="s">
        <v>77</v>
      </c>
    </row>
    <row r="1428" spans="1:20" ht="16.5" x14ac:dyDescent="0.45">
      <c r="A1428">
        <v>2427</v>
      </c>
      <c r="B1428" t="s">
        <v>3397</v>
      </c>
      <c r="C1428" t="s">
        <v>47</v>
      </c>
      <c r="D1428" t="s">
        <v>21</v>
      </c>
      <c r="E1428">
        <v>882863</v>
      </c>
      <c r="F1428" s="1">
        <v>45385</v>
      </c>
      <c r="G1428" s="1"/>
      <c r="I1428">
        <v>3411</v>
      </c>
      <c r="K1428">
        <v>4</v>
      </c>
      <c r="L1428">
        <v>3</v>
      </c>
      <c r="M1428" t="s">
        <v>30</v>
      </c>
      <c r="N1428">
        <v>2010</v>
      </c>
      <c r="O1428">
        <v>6</v>
      </c>
      <c r="P1428">
        <v>1</v>
      </c>
      <c r="Q1428" t="s">
        <v>58</v>
      </c>
      <c r="R1428" t="s">
        <v>3398</v>
      </c>
      <c r="S1428" t="s">
        <v>33</v>
      </c>
      <c r="T1428" t="s">
        <v>3399</v>
      </c>
    </row>
    <row r="1429" spans="1:20" ht="16.5" x14ac:dyDescent="0.45">
      <c r="A1429">
        <v>2428</v>
      </c>
      <c r="B1429" t="s">
        <v>3400</v>
      </c>
      <c r="C1429" t="s">
        <v>47</v>
      </c>
      <c r="D1429" t="s">
        <v>29</v>
      </c>
      <c r="E1429">
        <v>560377</v>
      </c>
      <c r="F1429" s="1">
        <v>45637</v>
      </c>
      <c r="G1429" s="1"/>
      <c r="I1429">
        <v>1906</v>
      </c>
      <c r="K1429">
        <v>5</v>
      </c>
      <c r="L1429">
        <v>3</v>
      </c>
      <c r="M1429" t="s">
        <v>37</v>
      </c>
      <c r="N1429">
        <v>2004</v>
      </c>
      <c r="O1429">
        <v>1</v>
      </c>
      <c r="P1429">
        <v>2</v>
      </c>
      <c r="Q1429" t="s">
        <v>86</v>
      </c>
      <c r="R1429" t="s">
        <v>3401</v>
      </c>
      <c r="S1429" t="s">
        <v>33</v>
      </c>
      <c r="T1429" t="s">
        <v>3402</v>
      </c>
    </row>
    <row r="1430" spans="1:20" ht="16.5" x14ac:dyDescent="0.45">
      <c r="A1430">
        <v>2429</v>
      </c>
      <c r="B1430" t="s">
        <v>3403</v>
      </c>
      <c r="C1430" t="s">
        <v>47</v>
      </c>
      <c r="D1430" t="s">
        <v>42</v>
      </c>
      <c r="E1430">
        <v>742732</v>
      </c>
      <c r="F1430" s="1">
        <v>45354</v>
      </c>
      <c r="G1430" s="1"/>
      <c r="I1430">
        <v>1642</v>
      </c>
      <c r="K1430">
        <v>4</v>
      </c>
      <c r="L1430">
        <v>4</v>
      </c>
      <c r="M1430" t="s">
        <v>22</v>
      </c>
      <c r="N1430">
        <v>2011</v>
      </c>
      <c r="P1430">
        <v>4</v>
      </c>
      <c r="Q1430" t="s">
        <v>93</v>
      </c>
      <c r="R1430" t="s">
        <v>3404</v>
      </c>
      <c r="S1430" t="s">
        <v>33</v>
      </c>
      <c r="T1430" t="s">
        <v>40</v>
      </c>
    </row>
    <row r="1431" spans="1:20" ht="16.5" x14ac:dyDescent="0.45">
      <c r="A1431">
        <v>2430</v>
      </c>
      <c r="B1431" t="s">
        <v>3405</v>
      </c>
      <c r="C1431" t="s">
        <v>51</v>
      </c>
      <c r="D1431" t="s">
        <v>21</v>
      </c>
      <c r="E1431">
        <v>888993</v>
      </c>
      <c r="F1431" s="1">
        <v>45574</v>
      </c>
      <c r="G1431" s="1">
        <v>45460</v>
      </c>
      <c r="H1431">
        <v>918527</v>
      </c>
      <c r="I1431">
        <v>3780</v>
      </c>
      <c r="J1431" s="5">
        <v>3472032060</v>
      </c>
      <c r="K1431">
        <v>2</v>
      </c>
      <c r="L1431">
        <v>2</v>
      </c>
      <c r="M1431" t="s">
        <v>62</v>
      </c>
      <c r="N1431">
        <v>2018</v>
      </c>
      <c r="O1431">
        <v>3</v>
      </c>
      <c r="P1431">
        <v>2</v>
      </c>
      <c r="Q1431" t="s">
        <v>93</v>
      </c>
      <c r="R1431" t="s">
        <v>3406</v>
      </c>
      <c r="S1431" t="s">
        <v>25</v>
      </c>
      <c r="T1431" t="s">
        <v>3407</v>
      </c>
    </row>
    <row r="1432" spans="1:20" ht="16.5" x14ac:dyDescent="0.45">
      <c r="A1432">
        <v>2431</v>
      </c>
      <c r="B1432" t="s">
        <v>3408</v>
      </c>
      <c r="C1432" t="s">
        <v>36</v>
      </c>
      <c r="D1432" t="s">
        <v>42</v>
      </c>
      <c r="E1432">
        <v>760350</v>
      </c>
      <c r="F1432" s="1">
        <v>45385</v>
      </c>
      <c r="G1432" s="1"/>
      <c r="I1432">
        <v>1633</v>
      </c>
      <c r="K1432">
        <v>3</v>
      </c>
      <c r="L1432">
        <v>2</v>
      </c>
      <c r="M1432" t="s">
        <v>62</v>
      </c>
      <c r="N1432">
        <v>2016</v>
      </c>
      <c r="O1432">
        <v>3</v>
      </c>
      <c r="P1432">
        <v>2</v>
      </c>
      <c r="Q1432" t="s">
        <v>132</v>
      </c>
      <c r="R1432" t="s">
        <v>3409</v>
      </c>
      <c r="S1432" t="s">
        <v>33</v>
      </c>
      <c r="T1432" t="s">
        <v>3410</v>
      </c>
    </row>
    <row r="1433" spans="1:20" ht="16.5" x14ac:dyDescent="0.45">
      <c r="A1433">
        <v>2432</v>
      </c>
      <c r="B1433" t="s">
        <v>3411</v>
      </c>
      <c r="C1433" t="s">
        <v>47</v>
      </c>
      <c r="D1433" t="s">
        <v>42</v>
      </c>
      <c r="E1433">
        <v>368376</v>
      </c>
      <c r="F1433" s="1">
        <v>45640</v>
      </c>
      <c r="G1433" s="1"/>
      <c r="I1433">
        <v>4637</v>
      </c>
      <c r="K1433">
        <v>4</v>
      </c>
      <c r="L1433">
        <v>4</v>
      </c>
      <c r="M1433" t="s">
        <v>30</v>
      </c>
      <c r="N1433">
        <v>2010</v>
      </c>
      <c r="O1433">
        <v>2</v>
      </c>
      <c r="P1433">
        <v>2</v>
      </c>
      <c r="Q1433" t="s">
        <v>31</v>
      </c>
      <c r="R1433" t="s">
        <v>2182</v>
      </c>
      <c r="S1433" t="s">
        <v>33</v>
      </c>
      <c r="T1433" t="s">
        <v>183</v>
      </c>
    </row>
    <row r="1434" spans="1:20" ht="16.5" x14ac:dyDescent="0.45">
      <c r="A1434">
        <v>2433</v>
      </c>
      <c r="B1434" t="s">
        <v>3412</v>
      </c>
      <c r="C1434" t="s">
        <v>51</v>
      </c>
      <c r="D1434" t="s">
        <v>29</v>
      </c>
      <c r="E1434">
        <v>672667</v>
      </c>
      <c r="F1434" s="1">
        <v>45504</v>
      </c>
      <c r="G1434" s="1">
        <v>45492</v>
      </c>
      <c r="H1434">
        <v>710544</v>
      </c>
      <c r="I1434">
        <v>4604</v>
      </c>
      <c r="J1434" s="5">
        <v>3271344576</v>
      </c>
      <c r="K1434">
        <v>5</v>
      </c>
      <c r="L1434">
        <v>2</v>
      </c>
      <c r="M1434" t="s">
        <v>37</v>
      </c>
      <c r="N1434">
        <v>2000</v>
      </c>
      <c r="O1434">
        <v>4</v>
      </c>
      <c r="P1434">
        <v>2</v>
      </c>
      <c r="Q1434" t="s">
        <v>132</v>
      </c>
      <c r="R1434" t="s">
        <v>3413</v>
      </c>
      <c r="S1434" t="s">
        <v>25</v>
      </c>
      <c r="T1434" t="s">
        <v>3414</v>
      </c>
    </row>
    <row r="1435" spans="1:20" ht="16.5" x14ac:dyDescent="0.45">
      <c r="A1435">
        <v>2434</v>
      </c>
      <c r="B1435" t="s">
        <v>3415</v>
      </c>
      <c r="C1435" t="s">
        <v>51</v>
      </c>
      <c r="D1435" t="s">
        <v>29</v>
      </c>
      <c r="E1435">
        <v>438132</v>
      </c>
      <c r="F1435" s="1">
        <v>45611</v>
      </c>
      <c r="G1435" s="1">
        <v>45609</v>
      </c>
      <c r="H1435">
        <v>486405</v>
      </c>
      <c r="I1435">
        <v>1341</v>
      </c>
      <c r="J1435" s="5">
        <v>652269105</v>
      </c>
      <c r="K1435">
        <v>5</v>
      </c>
      <c r="L1435">
        <v>2</v>
      </c>
      <c r="M1435" t="s">
        <v>22</v>
      </c>
      <c r="N1435">
        <v>2007</v>
      </c>
      <c r="P1435">
        <v>4</v>
      </c>
      <c r="Q1435" t="s">
        <v>31</v>
      </c>
      <c r="R1435" t="s">
        <v>3416</v>
      </c>
      <c r="S1435" t="s">
        <v>25</v>
      </c>
      <c r="T1435" t="s">
        <v>1412</v>
      </c>
    </row>
    <row r="1436" spans="1:20" ht="16.5" x14ac:dyDescent="0.45">
      <c r="A1436">
        <v>2435</v>
      </c>
      <c r="B1436" t="s">
        <v>3417</v>
      </c>
      <c r="C1436" t="s">
        <v>36</v>
      </c>
      <c r="D1436" t="s">
        <v>21</v>
      </c>
      <c r="E1436">
        <v>547731</v>
      </c>
      <c r="F1436" s="1">
        <v>45444</v>
      </c>
      <c r="G1436" s="1">
        <v>45433</v>
      </c>
      <c r="H1436">
        <v>586155</v>
      </c>
      <c r="I1436">
        <v>1869</v>
      </c>
      <c r="J1436" s="5">
        <v>1095523695</v>
      </c>
      <c r="K1436">
        <v>6</v>
      </c>
      <c r="L1436">
        <v>2</v>
      </c>
      <c r="M1436" t="s">
        <v>37</v>
      </c>
      <c r="N1436">
        <v>2009</v>
      </c>
      <c r="O1436">
        <v>7</v>
      </c>
      <c r="P1436">
        <v>1</v>
      </c>
      <c r="Q1436" t="s">
        <v>132</v>
      </c>
      <c r="R1436" t="s">
        <v>3418</v>
      </c>
      <c r="S1436" t="s">
        <v>25</v>
      </c>
      <c r="T1436" t="s">
        <v>3419</v>
      </c>
    </row>
    <row r="1437" spans="1:20" ht="16.5" x14ac:dyDescent="0.45">
      <c r="A1437">
        <v>2436</v>
      </c>
      <c r="B1437" t="s">
        <v>3420</v>
      </c>
      <c r="C1437" t="s">
        <v>51</v>
      </c>
      <c r="D1437" t="s">
        <v>21</v>
      </c>
      <c r="E1437">
        <v>764455</v>
      </c>
      <c r="F1437" s="1">
        <v>45504</v>
      </c>
      <c r="G1437" s="1">
        <v>45318</v>
      </c>
      <c r="H1437">
        <v>804233</v>
      </c>
      <c r="I1437">
        <v>4260</v>
      </c>
      <c r="J1437" s="5">
        <v>3426032580</v>
      </c>
      <c r="K1437">
        <v>2</v>
      </c>
      <c r="L1437">
        <v>2</v>
      </c>
      <c r="M1437" t="s">
        <v>22</v>
      </c>
      <c r="N1437">
        <v>2003</v>
      </c>
      <c r="P1437">
        <v>4</v>
      </c>
      <c r="Q1437" t="s">
        <v>38</v>
      </c>
      <c r="R1437" t="s">
        <v>3421</v>
      </c>
      <c r="S1437" t="s">
        <v>25</v>
      </c>
      <c r="T1437" t="s">
        <v>3422</v>
      </c>
    </row>
    <row r="1438" spans="1:20" ht="16.5" x14ac:dyDescent="0.45">
      <c r="A1438">
        <v>2437</v>
      </c>
      <c r="B1438" t="s">
        <v>3423</v>
      </c>
      <c r="C1438" t="s">
        <v>47</v>
      </c>
      <c r="D1438" t="s">
        <v>29</v>
      </c>
      <c r="E1438">
        <v>670568</v>
      </c>
      <c r="F1438" s="1">
        <v>45329</v>
      </c>
      <c r="G1438" s="1">
        <v>45620</v>
      </c>
      <c r="H1438">
        <v>720072</v>
      </c>
      <c r="I1438">
        <v>2600</v>
      </c>
      <c r="J1438" s="5">
        <v>1872187200</v>
      </c>
      <c r="K1438">
        <v>3</v>
      </c>
      <c r="L1438">
        <v>4</v>
      </c>
      <c r="M1438" t="s">
        <v>22</v>
      </c>
      <c r="N1438">
        <v>2004</v>
      </c>
      <c r="P1438">
        <v>1</v>
      </c>
      <c r="Q1438" t="s">
        <v>31</v>
      </c>
      <c r="R1438" t="s">
        <v>3424</v>
      </c>
      <c r="S1438" t="s">
        <v>25</v>
      </c>
      <c r="T1438" t="s">
        <v>2067</v>
      </c>
    </row>
    <row r="1439" spans="1:20" ht="16.5" x14ac:dyDescent="0.45">
      <c r="A1439">
        <v>2438</v>
      </c>
      <c r="B1439" t="s">
        <v>3425</v>
      </c>
      <c r="C1439" t="s">
        <v>36</v>
      </c>
      <c r="D1439" t="s">
        <v>42</v>
      </c>
      <c r="E1439">
        <v>536732</v>
      </c>
      <c r="F1439" s="1">
        <v>45431</v>
      </c>
      <c r="G1439" s="1">
        <v>45555</v>
      </c>
      <c r="H1439">
        <v>555187</v>
      </c>
      <c r="I1439">
        <v>2868</v>
      </c>
      <c r="J1439" s="5">
        <v>1592276316</v>
      </c>
      <c r="K1439">
        <v>3</v>
      </c>
      <c r="L1439">
        <v>2</v>
      </c>
      <c r="M1439" t="s">
        <v>62</v>
      </c>
      <c r="N1439">
        <v>2016</v>
      </c>
      <c r="O1439">
        <v>1</v>
      </c>
      <c r="P1439">
        <v>1</v>
      </c>
      <c r="Q1439" t="s">
        <v>93</v>
      </c>
      <c r="R1439" t="s">
        <v>3426</v>
      </c>
      <c r="S1439" t="s">
        <v>25</v>
      </c>
      <c r="T1439" t="s">
        <v>500</v>
      </c>
    </row>
    <row r="1440" spans="1:20" ht="16.5" x14ac:dyDescent="0.45">
      <c r="A1440">
        <v>2439</v>
      </c>
      <c r="B1440" t="s">
        <v>3427</v>
      </c>
      <c r="C1440" t="s">
        <v>28</v>
      </c>
      <c r="D1440" t="s">
        <v>21</v>
      </c>
      <c r="E1440">
        <v>322020</v>
      </c>
      <c r="F1440" s="1">
        <v>45557</v>
      </c>
      <c r="G1440" s="1">
        <v>45301</v>
      </c>
      <c r="H1440">
        <v>343455</v>
      </c>
      <c r="I1440">
        <v>4889</v>
      </c>
      <c r="J1440" s="5">
        <v>1679151495</v>
      </c>
      <c r="K1440">
        <v>3</v>
      </c>
      <c r="L1440">
        <v>2</v>
      </c>
      <c r="M1440" t="s">
        <v>30</v>
      </c>
      <c r="N1440">
        <v>2020</v>
      </c>
      <c r="O1440">
        <v>9</v>
      </c>
      <c r="P1440">
        <v>1</v>
      </c>
      <c r="Q1440" t="s">
        <v>43</v>
      </c>
      <c r="R1440" t="s">
        <v>3428</v>
      </c>
      <c r="S1440" t="s">
        <v>25</v>
      </c>
      <c r="T1440" t="s">
        <v>640</v>
      </c>
    </row>
    <row r="1441" spans="1:20" ht="16.5" x14ac:dyDescent="0.45">
      <c r="A1441">
        <v>2440</v>
      </c>
      <c r="B1441" t="s">
        <v>3429</v>
      </c>
      <c r="C1441" t="s">
        <v>20</v>
      </c>
      <c r="D1441" t="s">
        <v>21</v>
      </c>
      <c r="E1441">
        <v>468203</v>
      </c>
      <c r="F1441" s="1">
        <v>45380</v>
      </c>
      <c r="G1441" s="1">
        <v>45619</v>
      </c>
      <c r="H1441">
        <v>494390</v>
      </c>
      <c r="I1441">
        <v>1293</v>
      </c>
      <c r="J1441" s="5">
        <v>639246270</v>
      </c>
      <c r="K1441">
        <v>3</v>
      </c>
      <c r="L1441">
        <v>5</v>
      </c>
      <c r="M1441" t="s">
        <v>37</v>
      </c>
      <c r="N1441">
        <v>2020</v>
      </c>
      <c r="O1441">
        <v>7</v>
      </c>
      <c r="P1441">
        <v>4</v>
      </c>
      <c r="Q1441" t="s">
        <v>86</v>
      </c>
      <c r="R1441" t="s">
        <v>3430</v>
      </c>
      <c r="S1441" t="s">
        <v>25</v>
      </c>
      <c r="T1441" t="s">
        <v>275</v>
      </c>
    </row>
    <row r="1442" spans="1:20" ht="16.5" x14ac:dyDescent="0.45">
      <c r="A1442">
        <v>2441</v>
      </c>
      <c r="B1442" t="s">
        <v>3431</v>
      </c>
      <c r="C1442" t="s">
        <v>51</v>
      </c>
      <c r="D1442" t="s">
        <v>29</v>
      </c>
      <c r="E1442">
        <v>694204</v>
      </c>
      <c r="F1442" s="1">
        <v>45488</v>
      </c>
      <c r="G1442" s="1"/>
      <c r="I1442">
        <v>3609</v>
      </c>
      <c r="K1442">
        <v>5</v>
      </c>
      <c r="L1442">
        <v>5</v>
      </c>
      <c r="M1442" t="s">
        <v>30</v>
      </c>
      <c r="N1442">
        <v>2005</v>
      </c>
      <c r="O1442">
        <v>4</v>
      </c>
      <c r="P1442">
        <v>2</v>
      </c>
      <c r="Q1442" t="s">
        <v>86</v>
      </c>
      <c r="R1442" t="s">
        <v>3432</v>
      </c>
      <c r="S1442" t="s">
        <v>33</v>
      </c>
      <c r="T1442" t="s">
        <v>1962</v>
      </c>
    </row>
    <row r="1443" spans="1:20" ht="16.5" x14ac:dyDescent="0.45">
      <c r="A1443">
        <v>2442</v>
      </c>
      <c r="B1443" t="s">
        <v>3433</v>
      </c>
      <c r="C1443" t="s">
        <v>47</v>
      </c>
      <c r="D1443" t="s">
        <v>42</v>
      </c>
      <c r="E1443">
        <v>447914</v>
      </c>
      <c r="F1443" s="1">
        <v>45424</v>
      </c>
      <c r="G1443" s="1"/>
      <c r="I1443">
        <v>2537</v>
      </c>
      <c r="K1443">
        <v>4</v>
      </c>
      <c r="L1443">
        <v>3</v>
      </c>
      <c r="M1443" t="s">
        <v>37</v>
      </c>
      <c r="N1443">
        <v>2013</v>
      </c>
      <c r="O1443">
        <v>5</v>
      </c>
      <c r="P1443">
        <v>3</v>
      </c>
      <c r="Q1443" t="s">
        <v>75</v>
      </c>
      <c r="R1443" t="s">
        <v>3434</v>
      </c>
      <c r="S1443" t="s">
        <v>33</v>
      </c>
      <c r="T1443" t="s">
        <v>3435</v>
      </c>
    </row>
    <row r="1444" spans="1:20" ht="16.5" x14ac:dyDescent="0.45">
      <c r="A1444">
        <v>2443</v>
      </c>
      <c r="B1444" t="s">
        <v>3436</v>
      </c>
      <c r="C1444" t="s">
        <v>36</v>
      </c>
      <c r="D1444" t="s">
        <v>42</v>
      </c>
      <c r="E1444">
        <v>924916</v>
      </c>
      <c r="F1444" s="1">
        <v>45318</v>
      </c>
      <c r="G1444" s="1"/>
      <c r="I1444">
        <v>2640</v>
      </c>
      <c r="K1444">
        <v>5</v>
      </c>
      <c r="L1444">
        <v>4</v>
      </c>
      <c r="M1444" t="s">
        <v>37</v>
      </c>
      <c r="N1444">
        <v>2018</v>
      </c>
      <c r="O1444">
        <v>9</v>
      </c>
      <c r="P1444">
        <v>3</v>
      </c>
      <c r="Q1444" t="s">
        <v>43</v>
      </c>
      <c r="R1444" t="s">
        <v>3437</v>
      </c>
      <c r="S1444" t="s">
        <v>33</v>
      </c>
      <c r="T1444" t="s">
        <v>45</v>
      </c>
    </row>
    <row r="1445" spans="1:20" ht="16.5" x14ac:dyDescent="0.45">
      <c r="A1445">
        <v>2444</v>
      </c>
      <c r="B1445" t="s">
        <v>3438</v>
      </c>
      <c r="C1445" t="s">
        <v>51</v>
      </c>
      <c r="D1445" t="s">
        <v>42</v>
      </c>
      <c r="E1445">
        <v>679131</v>
      </c>
      <c r="F1445" s="1">
        <v>45532</v>
      </c>
      <c r="G1445" s="1"/>
      <c r="I1445">
        <v>2968</v>
      </c>
      <c r="K1445">
        <v>3</v>
      </c>
      <c r="L1445">
        <v>4</v>
      </c>
      <c r="M1445" t="s">
        <v>62</v>
      </c>
      <c r="N1445">
        <v>2014</v>
      </c>
      <c r="O1445">
        <v>3</v>
      </c>
      <c r="P1445">
        <v>3</v>
      </c>
      <c r="Q1445" t="s">
        <v>43</v>
      </c>
      <c r="R1445" t="s">
        <v>1979</v>
      </c>
      <c r="S1445" t="s">
        <v>33</v>
      </c>
      <c r="T1445" t="s">
        <v>128</v>
      </c>
    </row>
    <row r="1446" spans="1:20" ht="16.5" x14ac:dyDescent="0.45">
      <c r="A1446">
        <v>2445</v>
      </c>
      <c r="B1446" t="s">
        <v>3439</v>
      </c>
      <c r="C1446" t="s">
        <v>28</v>
      </c>
      <c r="D1446" t="s">
        <v>42</v>
      </c>
      <c r="E1446">
        <v>845881</v>
      </c>
      <c r="F1446" s="1">
        <v>45438</v>
      </c>
      <c r="G1446" s="1">
        <v>45389</v>
      </c>
      <c r="H1446">
        <v>877897</v>
      </c>
      <c r="I1446">
        <v>1948</v>
      </c>
      <c r="J1446" s="5">
        <v>1710143356</v>
      </c>
      <c r="K1446">
        <v>2</v>
      </c>
      <c r="L1446">
        <v>5</v>
      </c>
      <c r="M1446" t="s">
        <v>30</v>
      </c>
      <c r="N1446">
        <v>2018</v>
      </c>
      <c r="O1446">
        <v>2</v>
      </c>
      <c r="P1446">
        <v>2</v>
      </c>
      <c r="Q1446" t="s">
        <v>23</v>
      </c>
      <c r="R1446" t="s">
        <v>317</v>
      </c>
      <c r="S1446" t="s">
        <v>25</v>
      </c>
      <c r="T1446" t="s">
        <v>2062</v>
      </c>
    </row>
    <row r="1447" spans="1:20" ht="16.5" x14ac:dyDescent="0.45">
      <c r="A1447">
        <v>2446</v>
      </c>
      <c r="B1447" t="s">
        <v>3440</v>
      </c>
      <c r="C1447" t="s">
        <v>51</v>
      </c>
      <c r="D1447" t="s">
        <v>42</v>
      </c>
      <c r="E1447">
        <v>826636</v>
      </c>
      <c r="F1447" s="1">
        <v>45599</v>
      </c>
      <c r="G1447" s="1">
        <v>45342</v>
      </c>
      <c r="H1447">
        <v>839702</v>
      </c>
      <c r="I1447">
        <v>4618</v>
      </c>
      <c r="J1447" s="5">
        <v>3877743836</v>
      </c>
      <c r="K1447">
        <v>6</v>
      </c>
      <c r="L1447">
        <v>2</v>
      </c>
      <c r="M1447" t="s">
        <v>22</v>
      </c>
      <c r="N1447">
        <v>2017</v>
      </c>
      <c r="P1447">
        <v>3</v>
      </c>
      <c r="Q1447" t="s">
        <v>58</v>
      </c>
      <c r="R1447" t="s">
        <v>3441</v>
      </c>
      <c r="S1447" t="s">
        <v>25</v>
      </c>
      <c r="T1447" t="s">
        <v>3442</v>
      </c>
    </row>
    <row r="1448" spans="1:20" ht="16.5" x14ac:dyDescent="0.45">
      <c r="A1448">
        <v>2447</v>
      </c>
      <c r="B1448" t="s">
        <v>3443</v>
      </c>
      <c r="C1448" t="s">
        <v>51</v>
      </c>
      <c r="D1448" t="s">
        <v>21</v>
      </c>
      <c r="E1448">
        <v>882728</v>
      </c>
      <c r="F1448" s="1">
        <v>45478</v>
      </c>
      <c r="G1448" s="1"/>
      <c r="I1448">
        <v>3061</v>
      </c>
      <c r="K1448">
        <v>5</v>
      </c>
      <c r="L1448">
        <v>4</v>
      </c>
      <c r="M1448" t="s">
        <v>30</v>
      </c>
      <c r="N1448">
        <v>2022</v>
      </c>
      <c r="O1448">
        <v>8</v>
      </c>
      <c r="P1448">
        <v>4</v>
      </c>
      <c r="Q1448" t="s">
        <v>38</v>
      </c>
      <c r="R1448" t="s">
        <v>3444</v>
      </c>
      <c r="S1448" t="s">
        <v>33</v>
      </c>
      <c r="T1448" t="s">
        <v>137</v>
      </c>
    </row>
    <row r="1449" spans="1:20" ht="16.5" x14ac:dyDescent="0.45">
      <c r="A1449">
        <v>2448</v>
      </c>
      <c r="B1449" t="s">
        <v>3445</v>
      </c>
      <c r="C1449" t="s">
        <v>28</v>
      </c>
      <c r="D1449" t="s">
        <v>42</v>
      </c>
      <c r="E1449">
        <v>559870</v>
      </c>
      <c r="F1449" s="1">
        <v>45555</v>
      </c>
      <c r="G1449" s="1">
        <v>45446</v>
      </c>
      <c r="H1449">
        <v>578908</v>
      </c>
      <c r="I1449">
        <v>1800</v>
      </c>
      <c r="J1449" s="5">
        <v>1042034400</v>
      </c>
      <c r="K1449">
        <v>6</v>
      </c>
      <c r="L1449">
        <v>5</v>
      </c>
      <c r="M1449" t="s">
        <v>30</v>
      </c>
      <c r="N1449">
        <v>2011</v>
      </c>
      <c r="O1449">
        <v>3</v>
      </c>
      <c r="P1449">
        <v>4</v>
      </c>
      <c r="Q1449" t="s">
        <v>31</v>
      </c>
      <c r="R1449" t="s">
        <v>3446</v>
      </c>
      <c r="S1449" t="s">
        <v>25</v>
      </c>
      <c r="T1449" t="s">
        <v>128</v>
      </c>
    </row>
    <row r="1450" spans="1:20" ht="16.5" x14ac:dyDescent="0.45">
      <c r="A1450">
        <v>2449</v>
      </c>
      <c r="B1450" t="s">
        <v>3447</v>
      </c>
      <c r="C1450" t="s">
        <v>28</v>
      </c>
      <c r="D1450" t="s">
        <v>21</v>
      </c>
      <c r="E1450">
        <v>421492</v>
      </c>
      <c r="F1450" s="1">
        <v>45602</v>
      </c>
      <c r="G1450" s="1"/>
      <c r="I1450">
        <v>2456</v>
      </c>
      <c r="K1450">
        <v>5</v>
      </c>
      <c r="L1450">
        <v>4</v>
      </c>
      <c r="M1450" t="s">
        <v>37</v>
      </c>
      <c r="N1450">
        <v>2020</v>
      </c>
      <c r="O1450">
        <v>8</v>
      </c>
      <c r="P1450">
        <v>2</v>
      </c>
      <c r="Q1450" t="s">
        <v>93</v>
      </c>
      <c r="R1450" t="s">
        <v>3448</v>
      </c>
      <c r="S1450" t="s">
        <v>33</v>
      </c>
      <c r="T1450" t="s">
        <v>3449</v>
      </c>
    </row>
    <row r="1451" spans="1:20" ht="16.5" x14ac:dyDescent="0.45">
      <c r="A1451">
        <v>2450</v>
      </c>
      <c r="B1451" t="s">
        <v>3450</v>
      </c>
      <c r="C1451" t="s">
        <v>47</v>
      </c>
      <c r="D1451" t="s">
        <v>42</v>
      </c>
      <c r="E1451">
        <v>789739</v>
      </c>
      <c r="F1451" s="1">
        <v>45631</v>
      </c>
      <c r="G1451" s="1"/>
      <c r="I1451">
        <v>4568</v>
      </c>
      <c r="K1451">
        <v>4</v>
      </c>
      <c r="L1451">
        <v>4</v>
      </c>
      <c r="M1451" t="s">
        <v>22</v>
      </c>
      <c r="N1451">
        <v>2008</v>
      </c>
      <c r="P1451">
        <v>4</v>
      </c>
      <c r="Q1451" t="s">
        <v>58</v>
      </c>
      <c r="R1451" t="s">
        <v>3451</v>
      </c>
      <c r="S1451" t="s">
        <v>33</v>
      </c>
      <c r="T1451" t="s">
        <v>2132</v>
      </c>
    </row>
    <row r="1452" spans="1:20" ht="16.5" x14ac:dyDescent="0.45">
      <c r="A1452">
        <v>2451</v>
      </c>
      <c r="B1452" t="s">
        <v>3452</v>
      </c>
      <c r="C1452" t="s">
        <v>51</v>
      </c>
      <c r="D1452" t="s">
        <v>21</v>
      </c>
      <c r="E1452">
        <v>973559</v>
      </c>
      <c r="F1452" s="1">
        <v>45638</v>
      </c>
      <c r="G1452" s="1"/>
      <c r="I1452">
        <v>4420</v>
      </c>
      <c r="K1452">
        <v>5</v>
      </c>
      <c r="L1452">
        <v>3</v>
      </c>
      <c r="M1452" t="s">
        <v>62</v>
      </c>
      <c r="N1452">
        <v>2002</v>
      </c>
      <c r="O1452">
        <v>3</v>
      </c>
      <c r="P1452">
        <v>4</v>
      </c>
      <c r="Q1452" t="s">
        <v>132</v>
      </c>
      <c r="R1452" t="s">
        <v>3453</v>
      </c>
      <c r="S1452" t="s">
        <v>33</v>
      </c>
      <c r="T1452" t="s">
        <v>3454</v>
      </c>
    </row>
    <row r="1453" spans="1:20" ht="16.5" x14ac:dyDescent="0.45">
      <c r="A1453">
        <v>2452</v>
      </c>
      <c r="B1453" t="s">
        <v>3455</v>
      </c>
      <c r="C1453" t="s">
        <v>28</v>
      </c>
      <c r="D1453" t="s">
        <v>29</v>
      </c>
      <c r="E1453">
        <v>471350</v>
      </c>
      <c r="F1453" s="1">
        <v>45601</v>
      </c>
      <c r="G1453" s="1"/>
      <c r="I1453">
        <v>3376</v>
      </c>
      <c r="K1453">
        <v>5</v>
      </c>
      <c r="L1453">
        <v>4</v>
      </c>
      <c r="M1453" t="s">
        <v>30</v>
      </c>
      <c r="N1453">
        <v>2020</v>
      </c>
      <c r="O1453">
        <v>3</v>
      </c>
      <c r="P1453">
        <v>2</v>
      </c>
      <c r="Q1453" t="s">
        <v>75</v>
      </c>
      <c r="R1453" t="s">
        <v>2959</v>
      </c>
      <c r="S1453" t="s">
        <v>33</v>
      </c>
      <c r="T1453" t="s">
        <v>70</v>
      </c>
    </row>
    <row r="1454" spans="1:20" ht="16.5" x14ac:dyDescent="0.45">
      <c r="A1454">
        <v>2453</v>
      </c>
      <c r="B1454" t="s">
        <v>3456</v>
      </c>
      <c r="C1454" t="s">
        <v>20</v>
      </c>
      <c r="D1454" t="s">
        <v>21</v>
      </c>
      <c r="E1454">
        <v>484729</v>
      </c>
      <c r="F1454" s="1">
        <v>45481</v>
      </c>
      <c r="G1454" s="1"/>
      <c r="I1454">
        <v>1653</v>
      </c>
      <c r="K1454">
        <v>4</v>
      </c>
      <c r="L1454">
        <v>2</v>
      </c>
      <c r="M1454" t="s">
        <v>30</v>
      </c>
      <c r="N1454">
        <v>2019</v>
      </c>
      <c r="O1454">
        <v>7</v>
      </c>
      <c r="P1454">
        <v>4</v>
      </c>
      <c r="Q1454" t="s">
        <v>23</v>
      </c>
      <c r="R1454" t="s">
        <v>3457</v>
      </c>
      <c r="S1454" t="s">
        <v>33</v>
      </c>
      <c r="T1454" t="s">
        <v>3458</v>
      </c>
    </row>
    <row r="1455" spans="1:20" ht="16.5" x14ac:dyDescent="0.45">
      <c r="A1455">
        <v>2454</v>
      </c>
      <c r="B1455" t="s">
        <v>3459</v>
      </c>
      <c r="C1455" t="s">
        <v>20</v>
      </c>
      <c r="D1455" t="s">
        <v>29</v>
      </c>
      <c r="E1455">
        <v>855577</v>
      </c>
      <c r="F1455" s="1">
        <v>45511</v>
      </c>
      <c r="G1455" s="1"/>
      <c r="I1455">
        <v>3526</v>
      </c>
      <c r="K1455">
        <v>4</v>
      </c>
      <c r="L1455">
        <v>5</v>
      </c>
      <c r="M1455" t="s">
        <v>37</v>
      </c>
      <c r="N1455">
        <v>2014</v>
      </c>
      <c r="O1455">
        <v>7</v>
      </c>
      <c r="P1455">
        <v>2</v>
      </c>
      <c r="Q1455" t="s">
        <v>93</v>
      </c>
      <c r="R1455" t="s">
        <v>872</v>
      </c>
      <c r="S1455" t="s">
        <v>33</v>
      </c>
      <c r="T1455" t="s">
        <v>230</v>
      </c>
    </row>
    <row r="1456" spans="1:20" ht="16.5" x14ac:dyDescent="0.45">
      <c r="A1456">
        <v>2455</v>
      </c>
      <c r="B1456" t="s">
        <v>3460</v>
      </c>
      <c r="C1456" t="s">
        <v>36</v>
      </c>
      <c r="D1456" t="s">
        <v>29</v>
      </c>
      <c r="E1456">
        <v>709639</v>
      </c>
      <c r="F1456" s="1">
        <v>45481</v>
      </c>
      <c r="G1456" s="1">
        <v>45278</v>
      </c>
      <c r="H1456">
        <v>732417</v>
      </c>
      <c r="I1456">
        <v>4794</v>
      </c>
      <c r="J1456" s="5">
        <v>3511207098</v>
      </c>
      <c r="K1456">
        <v>2</v>
      </c>
      <c r="L1456">
        <v>3</v>
      </c>
      <c r="M1456" t="s">
        <v>37</v>
      </c>
      <c r="N1456">
        <v>2020</v>
      </c>
      <c r="O1456">
        <v>1</v>
      </c>
      <c r="P1456">
        <v>1</v>
      </c>
      <c r="Q1456" t="s">
        <v>132</v>
      </c>
      <c r="R1456" t="s">
        <v>3461</v>
      </c>
      <c r="S1456" t="s">
        <v>25</v>
      </c>
      <c r="T1456" t="s">
        <v>107</v>
      </c>
    </row>
    <row r="1457" spans="1:20" ht="16.5" x14ac:dyDescent="0.45">
      <c r="A1457">
        <v>2456</v>
      </c>
      <c r="B1457" t="s">
        <v>3462</v>
      </c>
      <c r="C1457" t="s">
        <v>51</v>
      </c>
      <c r="D1457" t="s">
        <v>21</v>
      </c>
      <c r="E1457">
        <v>935072</v>
      </c>
      <c r="F1457" s="1">
        <v>45482</v>
      </c>
      <c r="G1457" s="1"/>
      <c r="I1457">
        <v>4629</v>
      </c>
      <c r="K1457">
        <v>5</v>
      </c>
      <c r="L1457">
        <v>5</v>
      </c>
      <c r="M1457" t="s">
        <v>22</v>
      </c>
      <c r="N1457">
        <v>2006</v>
      </c>
      <c r="P1457">
        <v>3</v>
      </c>
      <c r="Q1457" t="s">
        <v>31</v>
      </c>
      <c r="R1457" t="s">
        <v>3463</v>
      </c>
      <c r="S1457" t="s">
        <v>33</v>
      </c>
      <c r="T1457" t="s">
        <v>3464</v>
      </c>
    </row>
    <row r="1458" spans="1:20" ht="16.5" x14ac:dyDescent="0.45">
      <c r="A1458">
        <v>2457</v>
      </c>
      <c r="B1458" t="s">
        <v>3465</v>
      </c>
      <c r="C1458" t="s">
        <v>28</v>
      </c>
      <c r="D1458" t="s">
        <v>29</v>
      </c>
      <c r="E1458">
        <v>469460</v>
      </c>
      <c r="F1458" s="1">
        <v>45519</v>
      </c>
      <c r="G1458" s="1">
        <v>45579</v>
      </c>
      <c r="H1458">
        <v>480287</v>
      </c>
      <c r="I1458">
        <v>2199</v>
      </c>
      <c r="J1458" s="5">
        <v>1056151113</v>
      </c>
      <c r="K1458">
        <v>5</v>
      </c>
      <c r="L1458">
        <v>2</v>
      </c>
      <c r="M1458" t="s">
        <v>37</v>
      </c>
      <c r="N1458">
        <v>2016</v>
      </c>
      <c r="O1458">
        <v>9</v>
      </c>
      <c r="P1458">
        <v>3</v>
      </c>
      <c r="Q1458" t="s">
        <v>86</v>
      </c>
      <c r="R1458" t="s">
        <v>3466</v>
      </c>
      <c r="S1458" t="s">
        <v>25</v>
      </c>
      <c r="T1458" t="s">
        <v>1590</v>
      </c>
    </row>
    <row r="1459" spans="1:20" ht="16.5" x14ac:dyDescent="0.45">
      <c r="A1459">
        <v>2458</v>
      </c>
      <c r="B1459" t="s">
        <v>3467</v>
      </c>
      <c r="C1459" t="s">
        <v>47</v>
      </c>
      <c r="D1459" t="s">
        <v>29</v>
      </c>
      <c r="E1459">
        <v>828884</v>
      </c>
      <c r="F1459" s="1">
        <v>45551</v>
      </c>
      <c r="G1459" s="1">
        <v>45433</v>
      </c>
      <c r="H1459">
        <v>862381</v>
      </c>
      <c r="I1459">
        <v>1856</v>
      </c>
      <c r="J1459" s="5">
        <v>1600579136</v>
      </c>
      <c r="K1459">
        <v>4</v>
      </c>
      <c r="L1459">
        <v>2</v>
      </c>
      <c r="M1459" t="s">
        <v>22</v>
      </c>
      <c r="N1459">
        <v>2012</v>
      </c>
      <c r="P1459">
        <v>3</v>
      </c>
      <c r="Q1459" t="s">
        <v>58</v>
      </c>
      <c r="R1459" t="s">
        <v>3468</v>
      </c>
      <c r="S1459" t="s">
        <v>25</v>
      </c>
      <c r="T1459" t="s">
        <v>3469</v>
      </c>
    </row>
    <row r="1460" spans="1:20" ht="16.5" x14ac:dyDescent="0.45">
      <c r="A1460">
        <v>2459</v>
      </c>
      <c r="B1460" t="s">
        <v>3470</v>
      </c>
      <c r="C1460" t="s">
        <v>47</v>
      </c>
      <c r="D1460" t="s">
        <v>21</v>
      </c>
      <c r="E1460">
        <v>542212</v>
      </c>
      <c r="F1460" s="1">
        <v>45556</v>
      </c>
      <c r="G1460" s="1"/>
      <c r="I1460">
        <v>2206</v>
      </c>
      <c r="K1460">
        <v>3</v>
      </c>
      <c r="L1460">
        <v>5</v>
      </c>
      <c r="M1460" t="s">
        <v>62</v>
      </c>
      <c r="N1460">
        <v>2013</v>
      </c>
      <c r="O1460">
        <v>1</v>
      </c>
      <c r="P1460">
        <v>1</v>
      </c>
      <c r="Q1460" t="s">
        <v>162</v>
      </c>
      <c r="R1460" t="s">
        <v>3471</v>
      </c>
      <c r="S1460" t="s">
        <v>33</v>
      </c>
      <c r="T1460" t="s">
        <v>3472</v>
      </c>
    </row>
    <row r="1461" spans="1:20" ht="16.5" x14ac:dyDescent="0.45">
      <c r="A1461">
        <v>2460</v>
      </c>
      <c r="B1461" t="s">
        <v>3473</v>
      </c>
      <c r="C1461" t="s">
        <v>36</v>
      </c>
      <c r="D1461" t="s">
        <v>42</v>
      </c>
      <c r="E1461">
        <v>427383</v>
      </c>
      <c r="F1461" s="1">
        <v>45317</v>
      </c>
      <c r="G1461" s="1">
        <v>45479</v>
      </c>
      <c r="H1461">
        <v>445084</v>
      </c>
      <c r="I1461">
        <v>2658</v>
      </c>
      <c r="J1461" s="5">
        <v>1183033272</v>
      </c>
      <c r="K1461">
        <v>2</v>
      </c>
      <c r="L1461">
        <v>2</v>
      </c>
      <c r="M1461" t="s">
        <v>37</v>
      </c>
      <c r="N1461">
        <v>2011</v>
      </c>
      <c r="O1461">
        <v>3</v>
      </c>
      <c r="P1461">
        <v>1</v>
      </c>
      <c r="Q1461" t="s">
        <v>31</v>
      </c>
      <c r="R1461" t="s">
        <v>3474</v>
      </c>
      <c r="S1461" t="s">
        <v>25</v>
      </c>
      <c r="T1461" t="s">
        <v>152</v>
      </c>
    </row>
    <row r="1462" spans="1:20" ht="16.5" x14ac:dyDescent="0.45">
      <c r="A1462">
        <v>2461</v>
      </c>
      <c r="B1462" t="s">
        <v>3475</v>
      </c>
      <c r="C1462" t="s">
        <v>28</v>
      </c>
      <c r="D1462" t="s">
        <v>29</v>
      </c>
      <c r="E1462">
        <v>488277</v>
      </c>
      <c r="F1462" s="1">
        <v>45476</v>
      </c>
      <c r="G1462" s="1"/>
      <c r="I1462">
        <v>1817</v>
      </c>
      <c r="K1462">
        <v>5</v>
      </c>
      <c r="L1462">
        <v>3</v>
      </c>
      <c r="M1462" t="s">
        <v>30</v>
      </c>
      <c r="N1462">
        <v>2022</v>
      </c>
      <c r="O1462">
        <v>9</v>
      </c>
      <c r="P1462">
        <v>4</v>
      </c>
      <c r="Q1462" t="s">
        <v>31</v>
      </c>
      <c r="R1462" t="s">
        <v>3476</v>
      </c>
      <c r="S1462" t="s">
        <v>33</v>
      </c>
      <c r="T1462" t="s">
        <v>3477</v>
      </c>
    </row>
    <row r="1463" spans="1:20" ht="16.5" x14ac:dyDescent="0.45">
      <c r="A1463">
        <v>2462</v>
      </c>
      <c r="B1463" t="s">
        <v>3478</v>
      </c>
      <c r="C1463" t="s">
        <v>20</v>
      </c>
      <c r="D1463" t="s">
        <v>29</v>
      </c>
      <c r="E1463">
        <v>731780</v>
      </c>
      <c r="F1463" s="1">
        <v>45600</v>
      </c>
      <c r="G1463" s="1"/>
      <c r="I1463">
        <v>1834</v>
      </c>
      <c r="K1463">
        <v>3</v>
      </c>
      <c r="L1463">
        <v>2</v>
      </c>
      <c r="M1463" t="s">
        <v>22</v>
      </c>
      <c r="N1463">
        <v>2017</v>
      </c>
      <c r="P1463">
        <v>3</v>
      </c>
      <c r="Q1463" t="s">
        <v>93</v>
      </c>
      <c r="R1463" t="s">
        <v>3479</v>
      </c>
      <c r="S1463" t="s">
        <v>33</v>
      </c>
      <c r="T1463" t="s">
        <v>91</v>
      </c>
    </row>
    <row r="1464" spans="1:20" ht="16.5" x14ac:dyDescent="0.45">
      <c r="A1464">
        <v>2463</v>
      </c>
      <c r="B1464" t="s">
        <v>3480</v>
      </c>
      <c r="C1464" t="s">
        <v>51</v>
      </c>
      <c r="D1464" t="s">
        <v>21</v>
      </c>
      <c r="E1464">
        <v>725750</v>
      </c>
      <c r="F1464" s="1">
        <v>45355</v>
      </c>
      <c r="G1464" s="1">
        <v>45331</v>
      </c>
      <c r="H1464">
        <v>766496</v>
      </c>
      <c r="I1464">
        <v>2877</v>
      </c>
      <c r="J1464" s="5">
        <v>2205208992</v>
      </c>
      <c r="K1464">
        <v>6</v>
      </c>
      <c r="L1464">
        <v>5</v>
      </c>
      <c r="M1464" t="s">
        <v>62</v>
      </c>
      <c r="N1464">
        <v>2001</v>
      </c>
      <c r="O1464">
        <v>6</v>
      </c>
      <c r="P1464">
        <v>4</v>
      </c>
      <c r="Q1464" t="s">
        <v>38</v>
      </c>
      <c r="R1464" t="s">
        <v>3481</v>
      </c>
      <c r="S1464" t="s">
        <v>25</v>
      </c>
      <c r="T1464" t="s">
        <v>925</v>
      </c>
    </row>
    <row r="1465" spans="1:20" ht="16.5" x14ac:dyDescent="0.45">
      <c r="A1465">
        <v>2464</v>
      </c>
      <c r="B1465" t="s">
        <v>3482</v>
      </c>
      <c r="C1465" t="s">
        <v>28</v>
      </c>
      <c r="D1465" t="s">
        <v>29</v>
      </c>
      <c r="E1465">
        <v>837091</v>
      </c>
      <c r="F1465" s="1">
        <v>45320</v>
      </c>
      <c r="G1465" s="1"/>
      <c r="I1465">
        <v>2005</v>
      </c>
      <c r="K1465">
        <v>6</v>
      </c>
      <c r="L1465">
        <v>5</v>
      </c>
      <c r="M1465" t="s">
        <v>22</v>
      </c>
      <c r="N1465">
        <v>2000</v>
      </c>
      <c r="P1465">
        <v>1</v>
      </c>
      <c r="Q1465" t="s">
        <v>38</v>
      </c>
      <c r="R1465" t="s">
        <v>3483</v>
      </c>
      <c r="S1465" t="s">
        <v>33</v>
      </c>
      <c r="T1465" t="s">
        <v>3454</v>
      </c>
    </row>
    <row r="1466" spans="1:20" ht="16.5" x14ac:dyDescent="0.45">
      <c r="A1466">
        <v>2465</v>
      </c>
      <c r="B1466" t="s">
        <v>3484</v>
      </c>
      <c r="C1466" t="s">
        <v>28</v>
      </c>
      <c r="D1466" t="s">
        <v>29</v>
      </c>
      <c r="E1466">
        <v>934370</v>
      </c>
      <c r="F1466" s="1">
        <v>45532</v>
      </c>
      <c r="G1466" s="1">
        <v>45324</v>
      </c>
      <c r="H1466">
        <v>969066</v>
      </c>
      <c r="I1466">
        <v>1376</v>
      </c>
      <c r="J1466" s="5">
        <v>1333434816</v>
      </c>
      <c r="K1466">
        <v>3</v>
      </c>
      <c r="L1466">
        <v>5</v>
      </c>
      <c r="M1466" t="s">
        <v>22</v>
      </c>
      <c r="N1466">
        <v>2015</v>
      </c>
      <c r="P1466">
        <v>3</v>
      </c>
      <c r="Q1466" t="s">
        <v>75</v>
      </c>
      <c r="R1466" t="s">
        <v>3485</v>
      </c>
      <c r="S1466" t="s">
        <v>25</v>
      </c>
      <c r="T1466" t="s">
        <v>3486</v>
      </c>
    </row>
    <row r="1467" spans="1:20" ht="16.5" x14ac:dyDescent="0.45">
      <c r="A1467">
        <v>2466</v>
      </c>
      <c r="B1467" t="s">
        <v>3487</v>
      </c>
      <c r="C1467" t="s">
        <v>47</v>
      </c>
      <c r="D1467" t="s">
        <v>29</v>
      </c>
      <c r="E1467">
        <v>330195</v>
      </c>
      <c r="F1467" s="1">
        <v>45612</v>
      </c>
      <c r="G1467" s="1"/>
      <c r="I1467">
        <v>2052</v>
      </c>
      <c r="K1467">
        <v>2</v>
      </c>
      <c r="L1467">
        <v>3</v>
      </c>
      <c r="M1467" t="s">
        <v>62</v>
      </c>
      <c r="N1467">
        <v>2003</v>
      </c>
      <c r="O1467">
        <v>1</v>
      </c>
      <c r="P1467">
        <v>4</v>
      </c>
      <c r="Q1467" t="s">
        <v>31</v>
      </c>
      <c r="R1467" t="s">
        <v>3028</v>
      </c>
      <c r="S1467" t="s">
        <v>33</v>
      </c>
      <c r="T1467" t="s">
        <v>70</v>
      </c>
    </row>
    <row r="1468" spans="1:20" ht="16.5" x14ac:dyDescent="0.45">
      <c r="A1468">
        <v>2467</v>
      </c>
      <c r="B1468" t="s">
        <v>3488</v>
      </c>
      <c r="C1468" t="s">
        <v>51</v>
      </c>
      <c r="D1468" t="s">
        <v>21</v>
      </c>
      <c r="E1468">
        <v>939242</v>
      </c>
      <c r="F1468" s="1">
        <v>45454</v>
      </c>
      <c r="G1468" s="1"/>
      <c r="I1468">
        <v>4420</v>
      </c>
      <c r="K1468">
        <v>4</v>
      </c>
      <c r="L1468">
        <v>2</v>
      </c>
      <c r="M1468" t="s">
        <v>30</v>
      </c>
      <c r="N1468">
        <v>2020</v>
      </c>
      <c r="O1468">
        <v>9</v>
      </c>
      <c r="P1468">
        <v>1</v>
      </c>
      <c r="Q1468" t="s">
        <v>38</v>
      </c>
      <c r="R1468" t="s">
        <v>3489</v>
      </c>
      <c r="S1468" t="s">
        <v>33</v>
      </c>
      <c r="T1468" t="s">
        <v>183</v>
      </c>
    </row>
    <row r="1469" spans="1:20" ht="16.5" x14ac:dyDescent="0.45">
      <c r="A1469">
        <v>2468</v>
      </c>
      <c r="B1469" t="s">
        <v>3490</v>
      </c>
      <c r="C1469" t="s">
        <v>47</v>
      </c>
      <c r="D1469" t="s">
        <v>42</v>
      </c>
      <c r="E1469">
        <v>774001</v>
      </c>
      <c r="F1469" s="1">
        <v>45419</v>
      </c>
      <c r="G1469" s="1">
        <v>45307</v>
      </c>
      <c r="H1469">
        <v>793997</v>
      </c>
      <c r="I1469">
        <v>3217</v>
      </c>
      <c r="J1469" s="5">
        <v>2554288349</v>
      </c>
      <c r="K1469">
        <v>2</v>
      </c>
      <c r="L1469">
        <v>2</v>
      </c>
      <c r="M1469" t="s">
        <v>62</v>
      </c>
      <c r="N1469">
        <v>2013</v>
      </c>
      <c r="O1469">
        <v>3</v>
      </c>
      <c r="P1469">
        <v>1</v>
      </c>
      <c r="Q1469" t="s">
        <v>43</v>
      </c>
      <c r="R1469" t="s">
        <v>3491</v>
      </c>
      <c r="S1469" t="s">
        <v>25</v>
      </c>
      <c r="T1469" t="s">
        <v>592</v>
      </c>
    </row>
    <row r="1470" spans="1:20" ht="16.5" x14ac:dyDescent="0.45">
      <c r="A1470">
        <v>2469</v>
      </c>
      <c r="B1470" t="s">
        <v>3492</v>
      </c>
      <c r="C1470" t="s">
        <v>47</v>
      </c>
      <c r="D1470" t="s">
        <v>21</v>
      </c>
      <c r="E1470">
        <v>612153</v>
      </c>
      <c r="F1470" s="1">
        <v>45513</v>
      </c>
      <c r="G1470" s="1"/>
      <c r="I1470">
        <v>3882</v>
      </c>
      <c r="K1470">
        <v>2</v>
      </c>
      <c r="L1470">
        <v>4</v>
      </c>
      <c r="M1470" t="s">
        <v>22</v>
      </c>
      <c r="N1470">
        <v>2001</v>
      </c>
      <c r="P1470">
        <v>1</v>
      </c>
      <c r="Q1470" t="s">
        <v>43</v>
      </c>
      <c r="R1470" t="s">
        <v>3493</v>
      </c>
      <c r="S1470" t="s">
        <v>33</v>
      </c>
      <c r="T1470" t="s">
        <v>998</v>
      </c>
    </row>
    <row r="1471" spans="1:20" ht="16.5" x14ac:dyDescent="0.45">
      <c r="A1471">
        <v>2470</v>
      </c>
      <c r="B1471" t="s">
        <v>3494</v>
      </c>
      <c r="C1471" t="s">
        <v>36</v>
      </c>
      <c r="D1471" t="s">
        <v>21</v>
      </c>
      <c r="E1471">
        <v>965697</v>
      </c>
      <c r="F1471" s="1">
        <v>45618</v>
      </c>
      <c r="G1471" s="1">
        <v>45504</v>
      </c>
      <c r="H1471">
        <v>981039</v>
      </c>
      <c r="I1471">
        <v>4039</v>
      </c>
      <c r="J1471" s="5">
        <v>3962416521</v>
      </c>
      <c r="K1471">
        <v>6</v>
      </c>
      <c r="L1471">
        <v>4</v>
      </c>
      <c r="M1471" t="s">
        <v>30</v>
      </c>
      <c r="N1471">
        <v>2023</v>
      </c>
      <c r="O1471">
        <v>1</v>
      </c>
      <c r="P1471">
        <v>1</v>
      </c>
      <c r="Q1471" t="s">
        <v>58</v>
      </c>
      <c r="R1471" t="s">
        <v>3495</v>
      </c>
      <c r="S1471" t="s">
        <v>25</v>
      </c>
      <c r="T1471" t="s">
        <v>3496</v>
      </c>
    </row>
    <row r="1472" spans="1:20" ht="16.5" x14ac:dyDescent="0.45">
      <c r="A1472">
        <v>2471</v>
      </c>
      <c r="B1472" t="s">
        <v>3497</v>
      </c>
      <c r="C1472" t="s">
        <v>36</v>
      </c>
      <c r="D1472" t="s">
        <v>42</v>
      </c>
      <c r="E1472">
        <v>560085</v>
      </c>
      <c r="F1472" s="1">
        <v>45513</v>
      </c>
      <c r="G1472" s="1"/>
      <c r="I1472">
        <v>3805</v>
      </c>
      <c r="K1472">
        <v>2</v>
      </c>
      <c r="L1472">
        <v>5</v>
      </c>
      <c r="M1472" t="s">
        <v>30</v>
      </c>
      <c r="N1472">
        <v>2003</v>
      </c>
      <c r="O1472">
        <v>5</v>
      </c>
      <c r="P1472">
        <v>1</v>
      </c>
      <c r="Q1472" t="s">
        <v>75</v>
      </c>
      <c r="R1472" t="s">
        <v>496</v>
      </c>
      <c r="S1472" t="s">
        <v>33</v>
      </c>
      <c r="T1472" t="s">
        <v>128</v>
      </c>
    </row>
    <row r="1473" spans="1:20" ht="16.5" x14ac:dyDescent="0.45">
      <c r="A1473">
        <v>2472</v>
      </c>
      <c r="B1473" t="s">
        <v>3498</v>
      </c>
      <c r="C1473" t="s">
        <v>20</v>
      </c>
      <c r="D1473" t="s">
        <v>29</v>
      </c>
      <c r="E1473">
        <v>862007</v>
      </c>
      <c r="F1473" s="1">
        <v>45503</v>
      </c>
      <c r="G1473" s="1">
        <v>45320</v>
      </c>
      <c r="H1473">
        <v>877586</v>
      </c>
      <c r="I1473">
        <v>3234</v>
      </c>
      <c r="J1473" s="5">
        <v>2838113124</v>
      </c>
      <c r="K1473">
        <v>2</v>
      </c>
      <c r="L1473">
        <v>5</v>
      </c>
      <c r="M1473" t="s">
        <v>37</v>
      </c>
      <c r="N1473">
        <v>2012</v>
      </c>
      <c r="O1473">
        <v>10</v>
      </c>
      <c r="P1473">
        <v>3</v>
      </c>
      <c r="Q1473" t="s">
        <v>162</v>
      </c>
      <c r="R1473" t="s">
        <v>2353</v>
      </c>
      <c r="S1473" t="s">
        <v>25</v>
      </c>
      <c r="T1473" t="s">
        <v>40</v>
      </c>
    </row>
    <row r="1474" spans="1:20" ht="16.5" x14ac:dyDescent="0.45">
      <c r="A1474">
        <v>2473</v>
      </c>
      <c r="B1474" t="s">
        <v>3499</v>
      </c>
      <c r="C1474" t="s">
        <v>47</v>
      </c>
      <c r="D1474" t="s">
        <v>21</v>
      </c>
      <c r="E1474">
        <v>827364</v>
      </c>
      <c r="F1474" s="1">
        <v>45395</v>
      </c>
      <c r="G1474" s="1">
        <v>45593</v>
      </c>
      <c r="H1474">
        <v>840083</v>
      </c>
      <c r="I1474">
        <v>1349</v>
      </c>
      <c r="J1474" s="5">
        <v>1133271967</v>
      </c>
      <c r="K1474">
        <v>6</v>
      </c>
      <c r="L1474">
        <v>4</v>
      </c>
      <c r="M1474" t="s">
        <v>62</v>
      </c>
      <c r="N1474">
        <v>2019</v>
      </c>
      <c r="O1474">
        <v>3</v>
      </c>
      <c r="P1474">
        <v>4</v>
      </c>
      <c r="Q1474" t="s">
        <v>23</v>
      </c>
      <c r="R1474" t="s">
        <v>3500</v>
      </c>
      <c r="S1474" t="s">
        <v>25</v>
      </c>
      <c r="T1474" t="s">
        <v>1544</v>
      </c>
    </row>
    <row r="1475" spans="1:20" ht="16.5" x14ac:dyDescent="0.45">
      <c r="A1475">
        <v>2474</v>
      </c>
      <c r="B1475" t="s">
        <v>3501</v>
      </c>
      <c r="C1475" t="s">
        <v>51</v>
      </c>
      <c r="D1475" t="s">
        <v>29</v>
      </c>
      <c r="E1475">
        <v>561142</v>
      </c>
      <c r="F1475" s="1">
        <v>45341</v>
      </c>
      <c r="G1475" s="1">
        <v>45417</v>
      </c>
      <c r="H1475">
        <v>594525</v>
      </c>
      <c r="I1475">
        <v>2557</v>
      </c>
      <c r="J1475" s="5">
        <v>1520200425</v>
      </c>
      <c r="K1475">
        <v>4</v>
      </c>
      <c r="L1475">
        <v>2</v>
      </c>
      <c r="M1475" t="s">
        <v>22</v>
      </c>
      <c r="N1475">
        <v>2009</v>
      </c>
      <c r="P1475">
        <v>3</v>
      </c>
      <c r="Q1475" t="s">
        <v>162</v>
      </c>
      <c r="R1475" t="s">
        <v>3502</v>
      </c>
      <c r="S1475" t="s">
        <v>25</v>
      </c>
      <c r="T1475" t="s">
        <v>40</v>
      </c>
    </row>
    <row r="1476" spans="1:20" ht="16.5" x14ac:dyDescent="0.45">
      <c r="A1476">
        <v>2475</v>
      </c>
      <c r="B1476" t="s">
        <v>3503</v>
      </c>
      <c r="C1476" t="s">
        <v>20</v>
      </c>
      <c r="D1476" t="s">
        <v>29</v>
      </c>
      <c r="E1476">
        <v>548280</v>
      </c>
      <c r="F1476" s="1">
        <v>45400</v>
      </c>
      <c r="G1476" s="1"/>
      <c r="I1476">
        <v>3928</v>
      </c>
      <c r="K1476">
        <v>5</v>
      </c>
      <c r="L1476">
        <v>2</v>
      </c>
      <c r="M1476" t="s">
        <v>37</v>
      </c>
      <c r="N1476">
        <v>2002</v>
      </c>
      <c r="O1476">
        <v>10</v>
      </c>
      <c r="P1476">
        <v>4</v>
      </c>
      <c r="Q1476" t="s">
        <v>86</v>
      </c>
      <c r="R1476" t="s">
        <v>3504</v>
      </c>
      <c r="S1476" t="s">
        <v>33</v>
      </c>
      <c r="T1476" t="s">
        <v>3505</v>
      </c>
    </row>
    <row r="1477" spans="1:20" ht="16.5" x14ac:dyDescent="0.45">
      <c r="A1477">
        <v>2476</v>
      </c>
      <c r="B1477" t="s">
        <v>3506</v>
      </c>
      <c r="C1477" t="s">
        <v>47</v>
      </c>
      <c r="D1477" t="s">
        <v>29</v>
      </c>
      <c r="E1477">
        <v>526648</v>
      </c>
      <c r="F1477" s="1">
        <v>45370</v>
      </c>
      <c r="G1477" s="1">
        <v>45478</v>
      </c>
      <c r="H1477">
        <v>549576</v>
      </c>
      <c r="I1477">
        <v>4672</v>
      </c>
      <c r="J1477" s="5">
        <v>2567619072</v>
      </c>
      <c r="K1477">
        <v>6</v>
      </c>
      <c r="L1477">
        <v>5</v>
      </c>
      <c r="M1477" t="s">
        <v>37</v>
      </c>
      <c r="N1477">
        <v>2014</v>
      </c>
      <c r="O1477">
        <v>6</v>
      </c>
      <c r="P1477">
        <v>3</v>
      </c>
      <c r="Q1477" t="s">
        <v>93</v>
      </c>
      <c r="R1477" t="s">
        <v>3507</v>
      </c>
      <c r="S1477" t="s">
        <v>25</v>
      </c>
      <c r="T1477" t="s">
        <v>1801</v>
      </c>
    </row>
    <row r="1478" spans="1:20" ht="16.5" x14ac:dyDescent="0.45">
      <c r="A1478">
        <v>2477</v>
      </c>
      <c r="B1478" t="s">
        <v>3508</v>
      </c>
      <c r="C1478" t="s">
        <v>28</v>
      </c>
      <c r="D1478" t="s">
        <v>29</v>
      </c>
      <c r="E1478">
        <v>982198</v>
      </c>
      <c r="F1478" s="1">
        <v>45577</v>
      </c>
      <c r="G1478" s="1"/>
      <c r="I1478">
        <v>3560</v>
      </c>
      <c r="K1478">
        <v>5</v>
      </c>
      <c r="L1478">
        <v>2</v>
      </c>
      <c r="M1478" t="s">
        <v>62</v>
      </c>
      <c r="N1478">
        <v>2014</v>
      </c>
      <c r="O1478">
        <v>9</v>
      </c>
      <c r="P1478">
        <v>2</v>
      </c>
      <c r="Q1478" t="s">
        <v>38</v>
      </c>
      <c r="R1478" t="s">
        <v>3509</v>
      </c>
      <c r="S1478" t="s">
        <v>33</v>
      </c>
      <c r="T1478" t="s">
        <v>1544</v>
      </c>
    </row>
    <row r="1479" spans="1:20" ht="16.5" x14ac:dyDescent="0.45">
      <c r="A1479">
        <v>2478</v>
      </c>
      <c r="B1479" t="s">
        <v>3510</v>
      </c>
      <c r="C1479" t="s">
        <v>47</v>
      </c>
      <c r="D1479" t="s">
        <v>42</v>
      </c>
      <c r="E1479">
        <v>428342</v>
      </c>
      <c r="F1479" s="1">
        <v>45381</v>
      </c>
      <c r="G1479" s="1"/>
      <c r="I1479">
        <v>1792</v>
      </c>
      <c r="K1479">
        <v>5</v>
      </c>
      <c r="L1479">
        <v>5</v>
      </c>
      <c r="M1479" t="s">
        <v>22</v>
      </c>
      <c r="N1479">
        <v>2004</v>
      </c>
      <c r="P1479">
        <v>4</v>
      </c>
      <c r="Q1479" t="s">
        <v>43</v>
      </c>
      <c r="R1479" t="s">
        <v>2578</v>
      </c>
      <c r="S1479" t="s">
        <v>33</v>
      </c>
      <c r="T1479" t="s">
        <v>955</v>
      </c>
    </row>
    <row r="1480" spans="1:20" ht="16.5" x14ac:dyDescent="0.45">
      <c r="A1480">
        <v>2479</v>
      </c>
      <c r="B1480" t="s">
        <v>3511</v>
      </c>
      <c r="C1480" t="s">
        <v>51</v>
      </c>
      <c r="D1480" t="s">
        <v>21</v>
      </c>
      <c r="E1480">
        <v>993458</v>
      </c>
      <c r="F1480" s="1">
        <v>45355</v>
      </c>
      <c r="G1480" s="1">
        <v>45581</v>
      </c>
      <c r="H1480">
        <v>1032015</v>
      </c>
      <c r="I1480">
        <v>3745</v>
      </c>
      <c r="J1480" s="5">
        <v>3864896175</v>
      </c>
      <c r="K1480">
        <v>4</v>
      </c>
      <c r="L1480">
        <v>4</v>
      </c>
      <c r="M1480" t="s">
        <v>62</v>
      </c>
      <c r="N1480">
        <v>2005</v>
      </c>
      <c r="O1480">
        <v>2</v>
      </c>
      <c r="P1480">
        <v>4</v>
      </c>
      <c r="Q1480" t="s">
        <v>93</v>
      </c>
      <c r="R1480" t="s">
        <v>3512</v>
      </c>
      <c r="S1480" t="s">
        <v>25</v>
      </c>
      <c r="T1480" t="s">
        <v>3442</v>
      </c>
    </row>
    <row r="1481" spans="1:20" ht="16.5" x14ac:dyDescent="0.45">
      <c r="A1481">
        <v>2480</v>
      </c>
      <c r="B1481" t="s">
        <v>3513</v>
      </c>
      <c r="C1481" t="s">
        <v>51</v>
      </c>
      <c r="D1481" t="s">
        <v>42</v>
      </c>
      <c r="E1481">
        <v>877137</v>
      </c>
      <c r="F1481" s="1">
        <v>45570</v>
      </c>
      <c r="G1481" s="1"/>
      <c r="I1481">
        <v>4677</v>
      </c>
      <c r="K1481">
        <v>2</v>
      </c>
      <c r="L1481">
        <v>2</v>
      </c>
      <c r="M1481" t="s">
        <v>62</v>
      </c>
      <c r="N1481">
        <v>2019</v>
      </c>
      <c r="O1481">
        <v>4</v>
      </c>
      <c r="P1481">
        <v>4</v>
      </c>
      <c r="Q1481" t="s">
        <v>58</v>
      </c>
      <c r="R1481" t="s">
        <v>3514</v>
      </c>
      <c r="S1481" t="s">
        <v>33</v>
      </c>
      <c r="T1481" t="s">
        <v>1273</v>
      </c>
    </row>
    <row r="1482" spans="1:20" ht="16.5" x14ac:dyDescent="0.45">
      <c r="A1482">
        <v>2481</v>
      </c>
      <c r="B1482" t="s">
        <v>3515</v>
      </c>
      <c r="C1482" t="s">
        <v>47</v>
      </c>
      <c r="D1482" t="s">
        <v>29</v>
      </c>
      <c r="E1482">
        <v>758017</v>
      </c>
      <c r="F1482" s="1">
        <v>45326</v>
      </c>
      <c r="G1482" s="1">
        <v>45641</v>
      </c>
      <c r="H1482">
        <v>768649</v>
      </c>
      <c r="I1482">
        <v>3004</v>
      </c>
      <c r="J1482" s="5">
        <v>2309021596</v>
      </c>
      <c r="K1482">
        <v>3</v>
      </c>
      <c r="L1482">
        <v>2</v>
      </c>
      <c r="M1482" t="s">
        <v>22</v>
      </c>
      <c r="N1482">
        <v>2006</v>
      </c>
      <c r="P1482">
        <v>1</v>
      </c>
      <c r="Q1482" t="s">
        <v>132</v>
      </c>
      <c r="R1482" t="s">
        <v>3516</v>
      </c>
      <c r="S1482" t="s">
        <v>25</v>
      </c>
      <c r="T1482" t="s">
        <v>3517</v>
      </c>
    </row>
    <row r="1483" spans="1:20" ht="16.5" x14ac:dyDescent="0.45">
      <c r="A1483">
        <v>2482</v>
      </c>
      <c r="B1483" t="s">
        <v>3518</v>
      </c>
      <c r="C1483" t="s">
        <v>51</v>
      </c>
      <c r="D1483" t="s">
        <v>21</v>
      </c>
      <c r="E1483">
        <v>484860</v>
      </c>
      <c r="F1483" s="1">
        <v>45632</v>
      </c>
      <c r="G1483" s="1"/>
      <c r="I1483">
        <v>3577</v>
      </c>
      <c r="K1483">
        <v>4</v>
      </c>
      <c r="L1483">
        <v>5</v>
      </c>
      <c r="M1483" t="s">
        <v>37</v>
      </c>
      <c r="N1483">
        <v>2017</v>
      </c>
      <c r="O1483">
        <v>8</v>
      </c>
      <c r="P1483">
        <v>3</v>
      </c>
      <c r="Q1483" t="s">
        <v>132</v>
      </c>
      <c r="R1483" t="s">
        <v>3519</v>
      </c>
      <c r="S1483" t="s">
        <v>33</v>
      </c>
      <c r="T1483" t="s">
        <v>3357</v>
      </c>
    </row>
    <row r="1484" spans="1:20" ht="16.5" x14ac:dyDescent="0.45">
      <c r="A1484">
        <v>2483</v>
      </c>
      <c r="B1484" t="s">
        <v>3520</v>
      </c>
      <c r="C1484" t="s">
        <v>36</v>
      </c>
      <c r="D1484" t="s">
        <v>42</v>
      </c>
      <c r="E1484">
        <v>406805</v>
      </c>
      <c r="F1484" s="1">
        <v>45598</v>
      </c>
      <c r="G1484" s="1">
        <v>45514</v>
      </c>
      <c r="H1484">
        <v>436145</v>
      </c>
      <c r="I1484">
        <v>4733</v>
      </c>
      <c r="J1484" s="5">
        <v>2064274285</v>
      </c>
      <c r="K1484">
        <v>4</v>
      </c>
      <c r="L1484">
        <v>5</v>
      </c>
      <c r="M1484" t="s">
        <v>62</v>
      </c>
      <c r="N1484">
        <v>2006</v>
      </c>
      <c r="O1484">
        <v>4</v>
      </c>
      <c r="P1484">
        <v>1</v>
      </c>
      <c r="Q1484" t="s">
        <v>58</v>
      </c>
      <c r="R1484" t="s">
        <v>3521</v>
      </c>
      <c r="S1484" t="s">
        <v>25</v>
      </c>
      <c r="T1484" t="s">
        <v>1220</v>
      </c>
    </row>
    <row r="1485" spans="1:20" ht="16.5" x14ac:dyDescent="0.45">
      <c r="A1485">
        <v>2484</v>
      </c>
      <c r="B1485" t="s">
        <v>3522</v>
      </c>
      <c r="C1485" t="s">
        <v>28</v>
      </c>
      <c r="D1485" t="s">
        <v>29</v>
      </c>
      <c r="E1485">
        <v>968071</v>
      </c>
      <c r="F1485" s="1">
        <v>45497</v>
      </c>
      <c r="G1485" s="1">
        <v>45291</v>
      </c>
      <c r="H1485">
        <v>1002957</v>
      </c>
      <c r="I1485">
        <v>1681</v>
      </c>
      <c r="J1485" s="5">
        <v>1685970717</v>
      </c>
      <c r="K1485">
        <v>4</v>
      </c>
      <c r="L1485">
        <v>2</v>
      </c>
      <c r="M1485" t="s">
        <v>22</v>
      </c>
      <c r="N1485">
        <v>2002</v>
      </c>
      <c r="P1485">
        <v>1</v>
      </c>
      <c r="Q1485" t="s">
        <v>31</v>
      </c>
      <c r="R1485" t="s">
        <v>3523</v>
      </c>
      <c r="S1485" t="s">
        <v>25</v>
      </c>
      <c r="T1485" t="s">
        <v>1527</v>
      </c>
    </row>
    <row r="1486" spans="1:20" ht="16.5" x14ac:dyDescent="0.45">
      <c r="A1486">
        <v>2485</v>
      </c>
      <c r="B1486" t="s">
        <v>3524</v>
      </c>
      <c r="C1486" t="s">
        <v>51</v>
      </c>
      <c r="D1486" t="s">
        <v>21</v>
      </c>
      <c r="E1486">
        <v>709507</v>
      </c>
      <c r="F1486" s="1">
        <v>45406</v>
      </c>
      <c r="G1486" s="1">
        <v>45525</v>
      </c>
      <c r="H1486">
        <v>750854</v>
      </c>
      <c r="I1486">
        <v>1652</v>
      </c>
      <c r="J1486" s="5">
        <v>1240410808</v>
      </c>
      <c r="K1486">
        <v>5</v>
      </c>
      <c r="L1486">
        <v>4</v>
      </c>
      <c r="M1486" t="s">
        <v>62</v>
      </c>
      <c r="N1486">
        <v>2005</v>
      </c>
      <c r="O1486">
        <v>3</v>
      </c>
      <c r="P1486">
        <v>1</v>
      </c>
      <c r="Q1486" t="s">
        <v>23</v>
      </c>
      <c r="R1486" t="s">
        <v>3525</v>
      </c>
      <c r="S1486" t="s">
        <v>25</v>
      </c>
      <c r="T1486" t="s">
        <v>180</v>
      </c>
    </row>
    <row r="1487" spans="1:20" ht="16.5" x14ac:dyDescent="0.45">
      <c r="A1487">
        <v>2486</v>
      </c>
      <c r="B1487" t="s">
        <v>3526</v>
      </c>
      <c r="C1487" t="s">
        <v>20</v>
      </c>
      <c r="D1487" t="s">
        <v>42</v>
      </c>
      <c r="E1487">
        <v>691971</v>
      </c>
      <c r="F1487" s="1">
        <v>45358</v>
      </c>
      <c r="G1487" s="1"/>
      <c r="I1487">
        <v>3133</v>
      </c>
      <c r="K1487">
        <v>3</v>
      </c>
      <c r="L1487">
        <v>3</v>
      </c>
      <c r="M1487" t="s">
        <v>22</v>
      </c>
      <c r="N1487">
        <v>2014</v>
      </c>
      <c r="P1487">
        <v>1</v>
      </c>
      <c r="Q1487" t="s">
        <v>58</v>
      </c>
      <c r="R1487" t="s">
        <v>3527</v>
      </c>
      <c r="S1487" t="s">
        <v>33</v>
      </c>
      <c r="T1487" t="s">
        <v>183</v>
      </c>
    </row>
    <row r="1488" spans="1:20" ht="16.5" x14ac:dyDescent="0.45">
      <c r="A1488">
        <v>2487</v>
      </c>
      <c r="B1488" t="s">
        <v>3528</v>
      </c>
      <c r="C1488" t="s">
        <v>20</v>
      </c>
      <c r="D1488" t="s">
        <v>42</v>
      </c>
      <c r="E1488">
        <v>748132</v>
      </c>
      <c r="F1488" s="1">
        <v>45349</v>
      </c>
      <c r="G1488" s="1">
        <v>45310</v>
      </c>
      <c r="H1488">
        <v>786021</v>
      </c>
      <c r="I1488">
        <v>1565</v>
      </c>
      <c r="J1488" s="5">
        <v>1230122865</v>
      </c>
      <c r="K1488">
        <v>5</v>
      </c>
      <c r="L1488">
        <v>3</v>
      </c>
      <c r="M1488" t="s">
        <v>22</v>
      </c>
      <c r="N1488">
        <v>2017</v>
      </c>
      <c r="P1488">
        <v>2</v>
      </c>
      <c r="Q1488" t="s">
        <v>58</v>
      </c>
      <c r="R1488" t="s">
        <v>3529</v>
      </c>
      <c r="S1488" t="s">
        <v>25</v>
      </c>
      <c r="T1488" t="s">
        <v>3530</v>
      </c>
    </row>
    <row r="1489" spans="1:20" ht="16.5" x14ac:dyDescent="0.45">
      <c r="A1489">
        <v>2488</v>
      </c>
      <c r="B1489" t="s">
        <v>3531</v>
      </c>
      <c r="C1489" t="s">
        <v>20</v>
      </c>
      <c r="D1489" t="s">
        <v>29</v>
      </c>
      <c r="E1489">
        <v>521958</v>
      </c>
      <c r="F1489" s="1">
        <v>45394</v>
      </c>
      <c r="G1489" s="1">
        <v>45626</v>
      </c>
      <c r="H1489">
        <v>563433</v>
      </c>
      <c r="I1489">
        <v>4347</v>
      </c>
      <c r="J1489" s="5">
        <v>2449243251</v>
      </c>
      <c r="K1489">
        <v>3</v>
      </c>
      <c r="L1489">
        <v>5</v>
      </c>
      <c r="M1489" t="s">
        <v>62</v>
      </c>
      <c r="N1489">
        <v>2006</v>
      </c>
      <c r="O1489">
        <v>9</v>
      </c>
      <c r="P1489">
        <v>1</v>
      </c>
      <c r="Q1489" t="s">
        <v>31</v>
      </c>
      <c r="R1489" t="s">
        <v>3532</v>
      </c>
      <c r="S1489" t="s">
        <v>25</v>
      </c>
      <c r="T1489" t="s">
        <v>180</v>
      </c>
    </row>
    <row r="1490" spans="1:20" ht="16.5" x14ac:dyDescent="0.45">
      <c r="A1490">
        <v>2489</v>
      </c>
      <c r="B1490" t="s">
        <v>3533</v>
      </c>
      <c r="C1490" t="s">
        <v>20</v>
      </c>
      <c r="D1490" t="s">
        <v>29</v>
      </c>
      <c r="E1490">
        <v>402771</v>
      </c>
      <c r="F1490" s="1">
        <v>45465</v>
      </c>
      <c r="G1490" s="1">
        <v>45631</v>
      </c>
      <c r="H1490">
        <v>436249</v>
      </c>
      <c r="I1490">
        <v>3982</v>
      </c>
      <c r="J1490" s="5">
        <v>1737143518</v>
      </c>
      <c r="K1490">
        <v>2</v>
      </c>
      <c r="L1490">
        <v>3</v>
      </c>
      <c r="M1490" t="s">
        <v>22</v>
      </c>
      <c r="N1490">
        <v>2000</v>
      </c>
      <c r="P1490">
        <v>4</v>
      </c>
      <c r="Q1490" t="s">
        <v>38</v>
      </c>
      <c r="R1490" t="s">
        <v>3534</v>
      </c>
      <c r="S1490" t="s">
        <v>25</v>
      </c>
      <c r="T1490" t="s">
        <v>2475</v>
      </c>
    </row>
    <row r="1491" spans="1:20" ht="16.5" x14ac:dyDescent="0.45">
      <c r="A1491">
        <v>2490</v>
      </c>
      <c r="B1491" t="s">
        <v>3535</v>
      </c>
      <c r="C1491" t="s">
        <v>20</v>
      </c>
      <c r="D1491" t="s">
        <v>42</v>
      </c>
      <c r="E1491">
        <v>679654</v>
      </c>
      <c r="F1491" s="1">
        <v>45555</v>
      </c>
      <c r="G1491" s="1"/>
      <c r="I1491">
        <v>3118</v>
      </c>
      <c r="K1491">
        <v>2</v>
      </c>
      <c r="L1491">
        <v>5</v>
      </c>
      <c r="M1491" t="s">
        <v>30</v>
      </c>
      <c r="N1491">
        <v>2016</v>
      </c>
      <c r="O1491">
        <v>10</v>
      </c>
      <c r="P1491">
        <v>1</v>
      </c>
      <c r="Q1491" t="s">
        <v>75</v>
      </c>
      <c r="R1491" t="s">
        <v>3536</v>
      </c>
      <c r="S1491" t="s">
        <v>33</v>
      </c>
      <c r="T1491" t="s">
        <v>3537</v>
      </c>
    </row>
    <row r="1492" spans="1:20" ht="16.5" x14ac:dyDescent="0.45">
      <c r="A1492">
        <v>2491</v>
      </c>
      <c r="B1492" t="s">
        <v>3538</v>
      </c>
      <c r="C1492" t="s">
        <v>20</v>
      </c>
      <c r="D1492" t="s">
        <v>42</v>
      </c>
      <c r="E1492">
        <v>486430</v>
      </c>
      <c r="F1492" s="1">
        <v>45336</v>
      </c>
      <c r="G1492" s="1">
        <v>45571</v>
      </c>
      <c r="H1492">
        <v>505029</v>
      </c>
      <c r="I1492">
        <v>1957</v>
      </c>
      <c r="J1492" s="5">
        <v>988341753</v>
      </c>
      <c r="K1492">
        <v>3</v>
      </c>
      <c r="L1492">
        <v>3</v>
      </c>
      <c r="M1492" t="s">
        <v>22</v>
      </c>
      <c r="N1492">
        <v>2013</v>
      </c>
      <c r="P1492">
        <v>3</v>
      </c>
      <c r="Q1492" t="s">
        <v>23</v>
      </c>
      <c r="R1492" t="s">
        <v>3539</v>
      </c>
      <c r="S1492" t="s">
        <v>25</v>
      </c>
      <c r="T1492" t="s">
        <v>1998</v>
      </c>
    </row>
    <row r="1493" spans="1:20" ht="16.5" x14ac:dyDescent="0.45">
      <c r="A1493">
        <v>2492</v>
      </c>
      <c r="B1493" t="s">
        <v>3540</v>
      </c>
      <c r="C1493" t="s">
        <v>20</v>
      </c>
      <c r="D1493" t="s">
        <v>29</v>
      </c>
      <c r="E1493">
        <v>429950</v>
      </c>
      <c r="F1493" s="1">
        <v>45532</v>
      </c>
      <c r="G1493" s="1">
        <v>45437</v>
      </c>
      <c r="H1493">
        <v>467512</v>
      </c>
      <c r="I1493">
        <v>3156</v>
      </c>
      <c r="J1493" s="5">
        <v>1475467872</v>
      </c>
      <c r="K1493">
        <v>5</v>
      </c>
      <c r="L1493">
        <v>5</v>
      </c>
      <c r="M1493" t="s">
        <v>62</v>
      </c>
      <c r="N1493">
        <v>2017</v>
      </c>
      <c r="O1493">
        <v>2</v>
      </c>
      <c r="P1493">
        <v>2</v>
      </c>
      <c r="Q1493" t="s">
        <v>23</v>
      </c>
      <c r="R1493" t="s">
        <v>3541</v>
      </c>
      <c r="S1493" t="s">
        <v>25</v>
      </c>
      <c r="T1493" t="s">
        <v>3542</v>
      </c>
    </row>
    <row r="1494" spans="1:20" ht="16.5" x14ac:dyDescent="0.45">
      <c r="A1494">
        <v>2493</v>
      </c>
      <c r="B1494" t="s">
        <v>3543</v>
      </c>
      <c r="C1494" t="s">
        <v>20</v>
      </c>
      <c r="D1494" t="s">
        <v>42</v>
      </c>
      <c r="E1494">
        <v>601373</v>
      </c>
      <c r="F1494" s="1">
        <v>45532</v>
      </c>
      <c r="G1494" s="1"/>
      <c r="I1494">
        <v>3908</v>
      </c>
      <c r="K1494">
        <v>2</v>
      </c>
      <c r="L1494">
        <v>2</v>
      </c>
      <c r="M1494" t="s">
        <v>37</v>
      </c>
      <c r="N1494">
        <v>2015</v>
      </c>
      <c r="O1494">
        <v>5</v>
      </c>
      <c r="P1494">
        <v>3</v>
      </c>
      <c r="Q1494" t="s">
        <v>86</v>
      </c>
      <c r="R1494" t="s">
        <v>3544</v>
      </c>
      <c r="S1494" t="s">
        <v>33</v>
      </c>
      <c r="T1494" t="s">
        <v>91</v>
      </c>
    </row>
    <row r="1495" spans="1:20" ht="16.5" x14ac:dyDescent="0.45">
      <c r="A1495">
        <v>2494</v>
      </c>
      <c r="B1495" t="s">
        <v>3545</v>
      </c>
      <c r="C1495" t="s">
        <v>51</v>
      </c>
      <c r="D1495" t="s">
        <v>42</v>
      </c>
      <c r="E1495">
        <v>470141</v>
      </c>
      <c r="F1495" s="1">
        <v>45396</v>
      </c>
      <c r="G1495" s="1">
        <v>45546</v>
      </c>
      <c r="H1495">
        <v>512360</v>
      </c>
      <c r="I1495">
        <v>4395</v>
      </c>
      <c r="J1495" s="5">
        <v>2251822200</v>
      </c>
      <c r="K1495">
        <v>6</v>
      </c>
      <c r="L1495">
        <v>3</v>
      </c>
      <c r="M1495" t="s">
        <v>37</v>
      </c>
      <c r="N1495">
        <v>2011</v>
      </c>
      <c r="O1495">
        <v>1</v>
      </c>
      <c r="P1495">
        <v>1</v>
      </c>
      <c r="Q1495" t="s">
        <v>23</v>
      </c>
      <c r="R1495" t="s">
        <v>3546</v>
      </c>
      <c r="S1495" t="s">
        <v>25</v>
      </c>
      <c r="T1495" t="s">
        <v>275</v>
      </c>
    </row>
    <row r="1496" spans="1:20" ht="16.5" x14ac:dyDescent="0.45">
      <c r="A1496">
        <v>2495</v>
      </c>
      <c r="B1496" t="s">
        <v>3547</v>
      </c>
      <c r="C1496" t="s">
        <v>28</v>
      </c>
      <c r="D1496" t="s">
        <v>42</v>
      </c>
      <c r="E1496">
        <v>771008</v>
      </c>
      <c r="F1496" s="1">
        <v>45402</v>
      </c>
      <c r="G1496" s="1">
        <v>45291</v>
      </c>
      <c r="H1496">
        <v>789746</v>
      </c>
      <c r="I1496">
        <v>4547</v>
      </c>
      <c r="J1496" s="5">
        <v>3590975062</v>
      </c>
      <c r="K1496">
        <v>3</v>
      </c>
      <c r="L1496">
        <v>5</v>
      </c>
      <c r="M1496" t="s">
        <v>22</v>
      </c>
      <c r="N1496">
        <v>2017</v>
      </c>
      <c r="P1496">
        <v>3</v>
      </c>
      <c r="Q1496" t="s">
        <v>23</v>
      </c>
      <c r="R1496" t="s">
        <v>3426</v>
      </c>
      <c r="S1496" t="s">
        <v>25</v>
      </c>
      <c r="T1496" t="s">
        <v>3548</v>
      </c>
    </row>
    <row r="1497" spans="1:20" ht="16.5" x14ac:dyDescent="0.45">
      <c r="A1497">
        <v>2496</v>
      </c>
      <c r="B1497" t="s">
        <v>3549</v>
      </c>
      <c r="C1497" t="s">
        <v>51</v>
      </c>
      <c r="D1497" t="s">
        <v>29</v>
      </c>
      <c r="E1497">
        <v>613755</v>
      </c>
      <c r="F1497" s="1">
        <v>45597</v>
      </c>
      <c r="G1497" s="1">
        <v>45479</v>
      </c>
      <c r="H1497">
        <v>630449</v>
      </c>
      <c r="I1497">
        <v>1432</v>
      </c>
      <c r="J1497" s="5">
        <v>902802968</v>
      </c>
      <c r="K1497">
        <v>3</v>
      </c>
      <c r="L1497">
        <v>4</v>
      </c>
      <c r="M1497" t="s">
        <v>30</v>
      </c>
      <c r="N1497">
        <v>2012</v>
      </c>
      <c r="O1497">
        <v>6</v>
      </c>
      <c r="P1497">
        <v>1</v>
      </c>
      <c r="Q1497" t="s">
        <v>75</v>
      </c>
      <c r="R1497" t="s">
        <v>3550</v>
      </c>
      <c r="S1497" t="s">
        <v>25</v>
      </c>
      <c r="T1497" t="s">
        <v>632</v>
      </c>
    </row>
    <row r="1498" spans="1:20" ht="16.5" x14ac:dyDescent="0.45">
      <c r="A1498">
        <v>2497</v>
      </c>
      <c r="B1498" t="s">
        <v>3551</v>
      </c>
      <c r="C1498" t="s">
        <v>36</v>
      </c>
      <c r="D1498" t="s">
        <v>42</v>
      </c>
      <c r="E1498">
        <v>741533</v>
      </c>
      <c r="F1498" s="1">
        <v>45623</v>
      </c>
      <c r="G1498" s="1">
        <v>45567</v>
      </c>
      <c r="H1498">
        <v>778410</v>
      </c>
      <c r="I1498">
        <v>4739</v>
      </c>
      <c r="J1498" s="5">
        <v>3688884990</v>
      </c>
      <c r="K1498">
        <v>2</v>
      </c>
      <c r="L1498">
        <v>4</v>
      </c>
      <c r="M1498" t="s">
        <v>37</v>
      </c>
      <c r="N1498">
        <v>2000</v>
      </c>
      <c r="O1498">
        <v>3</v>
      </c>
      <c r="P1498">
        <v>1</v>
      </c>
      <c r="Q1498" t="s">
        <v>23</v>
      </c>
      <c r="R1498" t="s">
        <v>3552</v>
      </c>
      <c r="S1498" t="s">
        <v>25</v>
      </c>
      <c r="T1498" t="s">
        <v>3553</v>
      </c>
    </row>
    <row r="1499" spans="1:20" ht="16.5" x14ac:dyDescent="0.45">
      <c r="A1499">
        <v>2498</v>
      </c>
      <c r="B1499" t="s">
        <v>3554</v>
      </c>
      <c r="C1499" t="s">
        <v>28</v>
      </c>
      <c r="D1499" t="s">
        <v>21</v>
      </c>
      <c r="E1499">
        <v>945632</v>
      </c>
      <c r="F1499" s="1">
        <v>45616</v>
      </c>
      <c r="G1499" s="1"/>
      <c r="I1499">
        <v>2788</v>
      </c>
      <c r="K1499">
        <v>6</v>
      </c>
      <c r="L1499">
        <v>3</v>
      </c>
      <c r="M1499" t="s">
        <v>30</v>
      </c>
      <c r="N1499">
        <v>2007</v>
      </c>
      <c r="O1499">
        <v>1</v>
      </c>
      <c r="P1499">
        <v>2</v>
      </c>
      <c r="Q1499" t="s">
        <v>38</v>
      </c>
      <c r="R1499" t="s">
        <v>3555</v>
      </c>
      <c r="S1499" t="s">
        <v>33</v>
      </c>
      <c r="T1499" t="s">
        <v>3556</v>
      </c>
    </row>
    <row r="1500" spans="1:20" ht="16.5" x14ac:dyDescent="0.45">
      <c r="A1500">
        <v>2499</v>
      </c>
      <c r="B1500" t="s">
        <v>3557</v>
      </c>
      <c r="C1500" t="s">
        <v>20</v>
      </c>
      <c r="D1500" t="s">
        <v>21</v>
      </c>
      <c r="E1500">
        <v>351546</v>
      </c>
      <c r="F1500" s="1">
        <v>45285</v>
      </c>
      <c r="G1500" s="1"/>
      <c r="I1500">
        <v>4528</v>
      </c>
      <c r="K1500">
        <v>4</v>
      </c>
      <c r="L1500">
        <v>3</v>
      </c>
      <c r="M1500" t="s">
        <v>37</v>
      </c>
      <c r="N1500">
        <v>2005</v>
      </c>
      <c r="O1500">
        <v>8</v>
      </c>
      <c r="P1500">
        <v>2</v>
      </c>
      <c r="Q1500" t="s">
        <v>38</v>
      </c>
      <c r="R1500" t="s">
        <v>3558</v>
      </c>
      <c r="S1500" t="s">
        <v>33</v>
      </c>
      <c r="T1500" t="s">
        <v>3378</v>
      </c>
    </row>
    <row r="1501" spans="1:20" ht="16.5" x14ac:dyDescent="0.45">
      <c r="A1501">
        <v>2500</v>
      </c>
      <c r="B1501" t="s">
        <v>3559</v>
      </c>
      <c r="C1501" t="s">
        <v>51</v>
      </c>
      <c r="D1501" t="s">
        <v>21</v>
      </c>
      <c r="E1501">
        <v>696146</v>
      </c>
      <c r="F1501" s="1">
        <v>45308</v>
      </c>
      <c r="G1501" s="1">
        <v>45548</v>
      </c>
      <c r="H1501">
        <v>739920</v>
      </c>
      <c r="I1501">
        <v>2446</v>
      </c>
      <c r="J1501" s="5">
        <v>1809844320</v>
      </c>
      <c r="K1501">
        <v>2</v>
      </c>
      <c r="L1501">
        <v>4</v>
      </c>
      <c r="M1501" t="s">
        <v>37</v>
      </c>
      <c r="N1501">
        <v>2017</v>
      </c>
      <c r="O1501">
        <v>5</v>
      </c>
      <c r="P1501">
        <v>4</v>
      </c>
      <c r="Q1501" t="s">
        <v>75</v>
      </c>
      <c r="R1501" t="s">
        <v>3560</v>
      </c>
      <c r="S1501" t="s">
        <v>25</v>
      </c>
      <c r="T1501" t="s">
        <v>1273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00E09-580D-444D-B142-43A53627A2AD}">
  <sheetPr codeName="Sheet5"/>
  <dimension ref="A1"/>
  <sheetViews>
    <sheetView showGridLines="0" showRowColHeaders="0" tabSelected="1" topLeftCell="A2" zoomScale="43" zoomScaleNormal="74" workbookViewId="0">
      <selection activeCell="U7" sqref="U7"/>
    </sheetView>
  </sheetViews>
  <sheetFormatPr defaultRowHeight="16.5" x14ac:dyDescent="0.45"/>
  <cols>
    <col min="23" max="31" width="7.382812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647E1-22B1-4EEA-942F-17C15D52D3E1}">
  <sheetPr codeName="Sheet6"/>
  <dimension ref="A1:B10"/>
  <sheetViews>
    <sheetView zoomScale="96" workbookViewId="0">
      <selection activeCell="D17" sqref="D17"/>
    </sheetView>
  </sheetViews>
  <sheetFormatPr defaultRowHeight="16.5" x14ac:dyDescent="0.45"/>
  <cols>
    <col min="1" max="1" width="19.765625" customWidth="1"/>
  </cols>
  <sheetData>
    <row r="1" spans="1:2" x14ac:dyDescent="0.45">
      <c r="A1" s="13" t="s">
        <v>3587</v>
      </c>
      <c r="B1" s="14"/>
    </row>
    <row r="2" spans="1:2" x14ac:dyDescent="0.45">
      <c r="A2" s="8" t="s">
        <v>3586</v>
      </c>
      <c r="B2" s="8">
        <f>COUNTIF(Data!S:S,"Sold")</f>
        <v>759</v>
      </c>
    </row>
    <row r="3" spans="1:2" x14ac:dyDescent="0.45">
      <c r="A3" s="7"/>
      <c r="B3" s="7"/>
    </row>
    <row r="4" spans="1:2" x14ac:dyDescent="0.45">
      <c r="A4" s="9" t="s">
        <v>3562</v>
      </c>
      <c r="B4" s="9">
        <f>AVERAGE(Data!H:H)</f>
        <v>670581.59815546777</v>
      </c>
    </row>
    <row r="5" spans="1:2" x14ac:dyDescent="0.45">
      <c r="A5" s="7"/>
      <c r="B5" s="7"/>
    </row>
    <row r="6" spans="1:2" x14ac:dyDescent="0.45">
      <c r="A6" s="10" t="s">
        <v>3563</v>
      </c>
      <c r="B6" s="10">
        <f>COUNT(Data!A:A)</f>
        <v>1500</v>
      </c>
    </row>
    <row r="7" spans="1:2" x14ac:dyDescent="0.45">
      <c r="A7" s="7"/>
      <c r="B7" s="7"/>
    </row>
    <row r="8" spans="1:2" x14ac:dyDescent="0.45">
      <c r="A8" s="11" t="s">
        <v>3585</v>
      </c>
      <c r="B8" s="11">
        <f>COUNTIF(Sheet1[Property Status],"Available")</f>
        <v>741</v>
      </c>
    </row>
    <row r="9" spans="1:2" x14ac:dyDescent="0.45">
      <c r="A9" s="7"/>
      <c r="B9" s="7"/>
    </row>
    <row r="10" spans="1:2" x14ac:dyDescent="0.45">
      <c r="A10" s="12" t="s">
        <v>3564</v>
      </c>
      <c r="B10" s="12">
        <f>B2 / B6</f>
        <v>0.50600000000000001</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7C585-B8E6-4DA7-A2B0-2BF7573C16B9}">
  <dimension ref="A3:B19"/>
  <sheetViews>
    <sheetView zoomScale="72" workbookViewId="0">
      <selection activeCell="O10" sqref="O10"/>
    </sheetView>
  </sheetViews>
  <sheetFormatPr defaultRowHeight="16.5" x14ac:dyDescent="0.45"/>
  <cols>
    <col min="1" max="1" width="10" bestFit="1" customWidth="1"/>
    <col min="2" max="2" width="13.61328125" bestFit="1" customWidth="1"/>
  </cols>
  <sheetData>
    <row r="3" spans="1:2" x14ac:dyDescent="0.45">
      <c r="A3" s="2" t="s">
        <v>3583</v>
      </c>
      <c r="B3" t="s">
        <v>3584</v>
      </c>
    </row>
    <row r="4" spans="1:2" x14ac:dyDescent="0.45">
      <c r="A4" s="3" t="s">
        <v>3568</v>
      </c>
      <c r="B4" s="5">
        <v>56609693929</v>
      </c>
    </row>
    <row r="5" spans="1:2" x14ac:dyDescent="0.45">
      <c r="A5" s="6" t="s">
        <v>3570</v>
      </c>
      <c r="B5" s="5">
        <v>56609693929</v>
      </c>
    </row>
    <row r="6" spans="1:2" x14ac:dyDescent="0.45">
      <c r="A6" s="3" t="s">
        <v>3569</v>
      </c>
      <c r="B6" s="5">
        <v>1467728517684</v>
      </c>
    </row>
    <row r="7" spans="1:2" x14ac:dyDescent="0.45">
      <c r="A7" s="6" t="s">
        <v>3573</v>
      </c>
      <c r="B7" s="5">
        <v>116557795482</v>
      </c>
    </row>
    <row r="8" spans="1:2" x14ac:dyDescent="0.45">
      <c r="A8" s="6" t="s">
        <v>3574</v>
      </c>
      <c r="B8" s="5">
        <v>157589575929</v>
      </c>
    </row>
    <row r="9" spans="1:2" x14ac:dyDescent="0.45">
      <c r="A9" s="6" t="s">
        <v>3575</v>
      </c>
      <c r="B9" s="5">
        <v>98781803656</v>
      </c>
    </row>
    <row r="10" spans="1:2" x14ac:dyDescent="0.45">
      <c r="A10" s="6" t="s">
        <v>3576</v>
      </c>
      <c r="B10" s="5">
        <v>119318678543</v>
      </c>
    </row>
    <row r="11" spans="1:2" x14ac:dyDescent="0.45">
      <c r="A11" s="6" t="s">
        <v>3577</v>
      </c>
      <c r="B11" s="5">
        <v>123908046462</v>
      </c>
    </row>
    <row r="12" spans="1:2" x14ac:dyDescent="0.45">
      <c r="A12" s="6" t="s">
        <v>3578</v>
      </c>
      <c r="B12" s="5">
        <v>114273839787</v>
      </c>
    </row>
    <row r="13" spans="1:2" x14ac:dyDescent="0.45">
      <c r="A13" s="6" t="s">
        <v>3579</v>
      </c>
      <c r="B13" s="5">
        <v>143319711900</v>
      </c>
    </row>
    <row r="14" spans="1:2" x14ac:dyDescent="0.45">
      <c r="A14" s="6" t="s">
        <v>3580</v>
      </c>
      <c r="B14" s="5">
        <v>146642986888</v>
      </c>
    </row>
    <row r="15" spans="1:2" x14ac:dyDescent="0.45">
      <c r="A15" s="6" t="s">
        <v>3581</v>
      </c>
      <c r="B15" s="5">
        <v>127748195535</v>
      </c>
    </row>
    <row r="16" spans="1:2" x14ac:dyDescent="0.45">
      <c r="A16" s="6" t="s">
        <v>3571</v>
      </c>
      <c r="B16" s="5">
        <v>132071774220</v>
      </c>
    </row>
    <row r="17" spans="1:2" x14ac:dyDescent="0.45">
      <c r="A17" s="6" t="s">
        <v>3572</v>
      </c>
      <c r="B17" s="5">
        <v>109634887818</v>
      </c>
    </row>
    <row r="18" spans="1:2" x14ac:dyDescent="0.45">
      <c r="A18" s="6" t="s">
        <v>3570</v>
      </c>
      <c r="B18" s="5">
        <v>77881221464</v>
      </c>
    </row>
    <row r="19" spans="1:2" x14ac:dyDescent="0.45">
      <c r="A19" s="3" t="s">
        <v>3566</v>
      </c>
      <c r="B19" s="5">
        <v>1524338211613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47D5-214D-4DE3-B760-5983533C4512}">
  <dimension ref="A3:B14"/>
  <sheetViews>
    <sheetView workbookViewId="0">
      <selection activeCell="C12" sqref="C12"/>
    </sheetView>
  </sheetViews>
  <sheetFormatPr defaultRowHeight="16.5" x14ac:dyDescent="0.45"/>
  <cols>
    <col min="1" max="1" width="12.3046875" bestFit="1" customWidth="1"/>
    <col min="2" max="2" width="13.53515625" bestFit="1" customWidth="1"/>
    <col min="3" max="117" width="9.84375" customWidth="1"/>
    <col min="118" max="760" width="10.84375" customWidth="1"/>
    <col min="761" max="761" width="6.84375" customWidth="1"/>
    <col min="762" max="762" width="14.3828125" customWidth="1"/>
  </cols>
  <sheetData>
    <row r="3" spans="1:2" x14ac:dyDescent="0.45">
      <c r="A3" s="2" t="s">
        <v>3582</v>
      </c>
      <c r="B3" t="s">
        <v>3567</v>
      </c>
    </row>
    <row r="4" spans="1:2" x14ac:dyDescent="0.45">
      <c r="A4" s="3" t="s">
        <v>75</v>
      </c>
      <c r="B4" s="5">
        <v>134384966593</v>
      </c>
    </row>
    <row r="5" spans="1:2" x14ac:dyDescent="0.45">
      <c r="A5" s="3" t="s">
        <v>38</v>
      </c>
      <c r="B5" s="5">
        <v>136345862376</v>
      </c>
    </row>
    <row r="6" spans="1:2" x14ac:dyDescent="0.45">
      <c r="A6" s="3" t="s">
        <v>31</v>
      </c>
      <c r="B6" s="5">
        <v>138933201106</v>
      </c>
    </row>
    <row r="7" spans="1:2" x14ac:dyDescent="0.45">
      <c r="A7" s="3" t="s">
        <v>86</v>
      </c>
      <c r="B7" s="5">
        <v>145899480919</v>
      </c>
    </row>
    <row r="8" spans="1:2" x14ac:dyDescent="0.45">
      <c r="A8" s="3" t="s">
        <v>43</v>
      </c>
      <c r="B8" s="5">
        <v>149214952583</v>
      </c>
    </row>
    <row r="9" spans="1:2" x14ac:dyDescent="0.45">
      <c r="A9" s="3" t="s">
        <v>23</v>
      </c>
      <c r="B9" s="5">
        <v>152631677016</v>
      </c>
    </row>
    <row r="10" spans="1:2" x14ac:dyDescent="0.45">
      <c r="A10" s="3" t="s">
        <v>162</v>
      </c>
      <c r="B10" s="5">
        <v>157202865799</v>
      </c>
    </row>
    <row r="11" spans="1:2" x14ac:dyDescent="0.45">
      <c r="A11" s="3" t="s">
        <v>93</v>
      </c>
      <c r="B11" s="5">
        <v>161806402229</v>
      </c>
    </row>
    <row r="12" spans="1:2" x14ac:dyDescent="0.45">
      <c r="A12" s="3" t="s">
        <v>132</v>
      </c>
      <c r="B12" s="5">
        <v>169388489179</v>
      </c>
    </row>
    <row r="13" spans="1:2" x14ac:dyDescent="0.45">
      <c r="A13" s="3" t="s">
        <v>58</v>
      </c>
      <c r="B13" s="5">
        <v>178530313813</v>
      </c>
    </row>
    <row r="14" spans="1:2" x14ac:dyDescent="0.45">
      <c r="A14" s="3" t="s">
        <v>3566</v>
      </c>
      <c r="B14" s="5">
        <v>1524338211613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99523-88AE-453C-8F8A-D0CB1AA24207}">
  <sheetPr codeName="Sheet2"/>
  <dimension ref="A3:B9"/>
  <sheetViews>
    <sheetView zoomScale="71" workbookViewId="0">
      <selection activeCell="K23" sqref="K23"/>
    </sheetView>
  </sheetViews>
  <sheetFormatPr defaultRowHeight="16.5" x14ac:dyDescent="0.45"/>
  <cols>
    <col min="1" max="1" width="12.53515625" bestFit="1" customWidth="1"/>
    <col min="2" max="2" width="13.921875" bestFit="1" customWidth="1"/>
  </cols>
  <sheetData>
    <row r="3" spans="1:2" x14ac:dyDescent="0.45">
      <c r="A3" s="2" t="s">
        <v>3565</v>
      </c>
      <c r="B3" s="4" t="s">
        <v>3567</v>
      </c>
    </row>
    <row r="4" spans="1:2" x14ac:dyDescent="0.45">
      <c r="A4" s="3" t="s">
        <v>28</v>
      </c>
      <c r="B4" s="5">
        <v>289504940882</v>
      </c>
    </row>
    <row r="5" spans="1:2" x14ac:dyDescent="0.45">
      <c r="A5" s="3" t="s">
        <v>36</v>
      </c>
      <c r="B5" s="5">
        <v>311325204041</v>
      </c>
    </row>
    <row r="6" spans="1:2" x14ac:dyDescent="0.45">
      <c r="A6" s="3" t="s">
        <v>51</v>
      </c>
      <c r="B6" s="5">
        <v>275649322723</v>
      </c>
    </row>
    <row r="7" spans="1:2" x14ac:dyDescent="0.45">
      <c r="A7" s="3" t="s">
        <v>20</v>
      </c>
      <c r="B7" s="5">
        <v>346998690261</v>
      </c>
    </row>
    <row r="8" spans="1:2" x14ac:dyDescent="0.45">
      <c r="A8" s="3" t="s">
        <v>47</v>
      </c>
      <c r="B8" s="5">
        <v>300860053706</v>
      </c>
    </row>
    <row r="9" spans="1:2" x14ac:dyDescent="0.45">
      <c r="A9" s="3" t="s">
        <v>3566</v>
      </c>
      <c r="B9" s="5">
        <v>1524338211613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D926D-4CE8-472C-BB0F-13640E15A143}">
  <sheetPr codeName="Sheet3"/>
  <dimension ref="A3:B7"/>
  <sheetViews>
    <sheetView zoomScale="87" workbookViewId="0">
      <selection activeCell="A7" sqref="A7"/>
    </sheetView>
  </sheetViews>
  <sheetFormatPr defaultRowHeight="16.5" x14ac:dyDescent="0.45"/>
  <cols>
    <col min="1" max="1" width="11.3828125" bestFit="1" customWidth="1"/>
    <col min="2" max="2" width="13.53515625" bestFit="1" customWidth="1"/>
  </cols>
  <sheetData>
    <row r="3" spans="1:2" x14ac:dyDescent="0.45">
      <c r="A3" s="2" t="s">
        <v>3565</v>
      </c>
      <c r="B3" t="s">
        <v>3567</v>
      </c>
    </row>
    <row r="4" spans="1:2" x14ac:dyDescent="0.45">
      <c r="A4" s="3" t="s">
        <v>29</v>
      </c>
      <c r="B4" s="5">
        <v>514879966347</v>
      </c>
    </row>
    <row r="5" spans="1:2" x14ac:dyDescent="0.45">
      <c r="A5" s="3" t="s">
        <v>42</v>
      </c>
      <c r="B5" s="5">
        <v>490742855680</v>
      </c>
    </row>
    <row r="6" spans="1:2" x14ac:dyDescent="0.45">
      <c r="A6" s="3" t="s">
        <v>21</v>
      </c>
      <c r="B6" s="5">
        <v>518715389586</v>
      </c>
    </row>
    <row r="7" spans="1:2" x14ac:dyDescent="0.45">
      <c r="A7" s="3" t="s">
        <v>3566</v>
      </c>
      <c r="B7" s="5">
        <v>1524338211613</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28A607-2443-4D94-B683-09EFC895C7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Data</vt:lpstr>
      <vt:lpstr>DashBoard</vt:lpstr>
      <vt:lpstr>kpis</vt:lpstr>
      <vt:lpstr>Monthly Sales Trend</vt:lpstr>
      <vt:lpstr> Agent Performance</vt:lpstr>
      <vt:lpstr>Revenue by City</vt:lpstr>
      <vt:lpstr>Revenue by Property Type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Zubair 07</dc:creator>
  <cp:lastModifiedBy>Zubair 07</cp:lastModifiedBy>
  <dcterms:created xsi:type="dcterms:W3CDTF">2026-01-04T06:51:35Z</dcterms:created>
  <dcterms:modified xsi:type="dcterms:W3CDTF">2026-01-04T11:49:04Z</dcterms:modified>
</cp:coreProperties>
</file>